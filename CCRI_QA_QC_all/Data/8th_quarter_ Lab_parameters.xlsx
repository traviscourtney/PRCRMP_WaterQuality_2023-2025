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PRCRMP_Chemistry_Variability/Data/"/>
    </mc:Choice>
  </mc:AlternateContent>
  <xr:revisionPtr revIDLastSave="8" documentId="11_DAC88921EB2CF15F12FAB167D827AFBAC23B7B1A" xr6:coauthVersionLast="47" xr6:coauthVersionMax="47" xr10:uidLastSave="{FF5DA59B-20D1-4E8B-B623-847FE2C9405D}"/>
  <bookViews>
    <workbookView xWindow="2955" yWindow="3375" windowWidth="21600" windowHeight="11175" firstSheet="2" activeTab="8" xr2:uid="{00000000-000D-0000-FFFF-FFFF00000000}"/>
  </bookViews>
  <sheets>
    <sheet name="Ent" sheetId="1" r:id="rId1"/>
    <sheet name="SS" sheetId="2" r:id="rId2"/>
    <sheet name="TSS" sheetId="3" r:id="rId3"/>
    <sheet name="BOD" sheetId="4" r:id="rId4"/>
    <sheet name="Chlor.a" sheetId="5" r:id="rId5"/>
    <sheet name="Turbidity" sheetId="6" r:id="rId6"/>
    <sheet name="DIC Temperatures" sheetId="7" r:id="rId7"/>
    <sheet name="All DIC raw data" sheetId="8" r:id="rId8"/>
    <sheet name="All TA raw data" sheetId="9" r:id="rId9"/>
    <sheet name="NOx_PO4" sheetId="10" r:id="rId10"/>
    <sheet name="TKN" sheetId="11" r:id="rId11"/>
  </sheets>
  <definedNames>
    <definedName name="_xlnm._FilterDatabase" localSheetId="3" hidden="1">BOD!$A$1:$P$51</definedName>
    <definedName name="_xlnm._FilterDatabase" localSheetId="1" hidden="1">SS!$A$1:$J$53</definedName>
    <definedName name="_xlnm._FilterDatabase" localSheetId="2" hidden="1">TSS!$A$1:$Q$553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kzqghR1DO4X+vhqSvMGH8CmY96rMB4gMOOvT6N8THFg="/>
    </ext>
  </extLst>
</workbook>
</file>

<file path=xl/calcChain.xml><?xml version="1.0" encoding="utf-8"?>
<calcChain xmlns="http://schemas.openxmlformats.org/spreadsheetml/2006/main">
  <c r="Q554" i="8" l="1"/>
  <c r="Q553" i="8"/>
  <c r="Q552" i="8"/>
  <c r="Q551" i="8"/>
  <c r="Q550" i="8"/>
  <c r="Q549" i="8"/>
  <c r="Q548" i="8"/>
  <c r="Q547" i="8"/>
  <c r="Q546" i="8"/>
  <c r="Q545" i="8"/>
  <c r="Q544" i="8"/>
  <c r="Q543" i="8"/>
  <c r="Q542" i="8"/>
  <c r="Q541" i="8"/>
  <c r="Q540" i="8"/>
  <c r="Q539" i="8"/>
  <c r="Q538" i="8"/>
  <c r="Q537" i="8"/>
  <c r="Q536" i="8"/>
  <c r="Q535" i="8"/>
  <c r="Q534" i="8"/>
  <c r="Q533" i="8"/>
  <c r="Q532" i="8"/>
  <c r="Q531" i="8"/>
  <c r="Q530" i="8"/>
  <c r="Q529" i="8"/>
  <c r="Q528" i="8"/>
  <c r="Q527" i="8"/>
  <c r="Q526" i="8"/>
  <c r="Q525" i="8"/>
  <c r="Q524" i="8"/>
  <c r="Q523" i="8"/>
  <c r="Q522" i="8"/>
  <c r="Q521" i="8"/>
  <c r="Q520" i="8"/>
  <c r="Q519" i="8"/>
  <c r="Q518" i="8"/>
  <c r="Q517" i="8"/>
  <c r="Q516" i="8"/>
  <c r="Q515" i="8"/>
  <c r="Q514" i="8"/>
  <c r="Q513" i="8"/>
  <c r="Q512" i="8"/>
  <c r="Q511" i="8"/>
  <c r="Q510" i="8"/>
  <c r="Q509" i="8"/>
  <c r="Q508" i="8"/>
  <c r="Q507" i="8"/>
  <c r="Q506" i="8"/>
  <c r="Q505" i="8"/>
  <c r="Q504" i="8"/>
  <c r="Q503" i="8"/>
  <c r="Q502" i="8"/>
  <c r="Q501" i="8"/>
  <c r="Q500" i="8"/>
  <c r="Q499" i="8"/>
  <c r="Q498" i="8"/>
  <c r="Q497" i="8"/>
  <c r="Q496" i="8"/>
  <c r="Q495" i="8"/>
  <c r="Q494" i="8"/>
  <c r="Q493" i="8"/>
  <c r="Q492" i="8"/>
  <c r="Q491" i="8"/>
  <c r="Q490" i="8"/>
  <c r="Q483" i="8"/>
  <c r="Q482" i="8"/>
  <c r="Q477" i="8"/>
  <c r="Q475" i="8"/>
  <c r="Q474" i="8"/>
  <c r="Q469" i="8"/>
  <c r="Q468" i="8"/>
  <c r="Q489" i="8" s="1"/>
  <c r="Q467" i="8"/>
  <c r="Q466" i="8"/>
  <c r="Q465" i="8"/>
  <c r="Q464" i="8"/>
  <c r="Q463" i="8"/>
  <c r="Q462" i="8"/>
  <c r="Q461" i="8"/>
  <c r="Q460" i="8"/>
  <c r="Q459" i="8"/>
  <c r="Q458" i="8"/>
  <c r="Q457" i="8"/>
  <c r="Q456" i="8"/>
  <c r="Q455" i="8"/>
  <c r="Q454" i="8"/>
  <c r="Q453" i="8"/>
  <c r="Q452" i="8"/>
  <c r="Q451" i="8"/>
  <c r="Q450" i="8"/>
  <c r="Q449" i="8"/>
  <c r="Q448" i="8"/>
  <c r="Q447" i="8"/>
  <c r="Q446" i="8"/>
  <c r="Q445" i="8"/>
  <c r="Q444" i="8"/>
  <c r="Q443" i="8"/>
  <c r="Q442" i="8"/>
  <c r="Q441" i="8"/>
  <c r="Q440" i="8"/>
  <c r="Q439" i="8"/>
  <c r="Q438" i="8"/>
  <c r="Q437" i="8"/>
  <c r="Q436" i="8"/>
  <c r="Q435" i="8"/>
  <c r="Q434" i="8"/>
  <c r="Q433" i="8"/>
  <c r="Q432" i="8"/>
  <c r="Q431" i="8"/>
  <c r="Q430" i="8"/>
  <c r="Q429" i="8"/>
  <c r="Q428" i="8"/>
  <c r="Q427" i="8"/>
  <c r="Q426" i="8"/>
  <c r="Q425" i="8"/>
  <c r="Q424" i="8"/>
  <c r="Q423" i="8"/>
  <c r="Q422" i="8"/>
  <c r="Q421" i="8"/>
  <c r="Q420" i="8"/>
  <c r="Q419" i="8"/>
  <c r="Q418" i="8"/>
  <c r="Q417" i="8"/>
  <c r="Q416" i="8"/>
  <c r="Q415" i="8"/>
  <c r="Q414" i="8"/>
  <c r="Q413" i="8"/>
  <c r="Q412" i="8"/>
  <c r="Q411" i="8"/>
  <c r="Q410" i="8"/>
  <c r="Q409" i="8"/>
  <c r="Q408" i="8"/>
  <c r="Q407" i="8"/>
  <c r="Q406" i="8"/>
  <c r="Q405" i="8"/>
  <c r="Q404" i="8"/>
  <c r="Q403" i="8"/>
  <c r="Q402" i="8"/>
  <c r="Q401" i="8"/>
  <c r="Q400" i="8"/>
  <c r="Q399" i="8"/>
  <c r="Q398" i="8"/>
  <c r="Q397" i="8"/>
  <c r="Q396" i="8"/>
  <c r="Q395" i="8"/>
  <c r="Q394" i="8"/>
  <c r="Q393" i="8"/>
  <c r="Q392" i="8"/>
  <c r="Q391" i="8"/>
  <c r="Q390" i="8"/>
  <c r="Q389" i="8"/>
  <c r="Q388" i="8"/>
  <c r="Q387" i="8"/>
  <c r="Q386" i="8"/>
  <c r="Q385" i="8"/>
  <c r="Q384" i="8"/>
  <c r="Q383" i="8"/>
  <c r="Q382" i="8"/>
  <c r="Q381" i="8"/>
  <c r="Q380" i="8"/>
  <c r="Q379" i="8"/>
  <c r="Q378" i="8"/>
  <c r="Q377" i="8"/>
  <c r="Q376" i="8"/>
  <c r="Q375" i="8"/>
  <c r="Q374" i="8"/>
  <c r="Q373" i="8"/>
  <c r="Q372" i="8"/>
  <c r="Q371" i="8"/>
  <c r="Q370" i="8"/>
  <c r="Q369" i="8"/>
  <c r="Q368" i="8"/>
  <c r="Q367" i="8"/>
  <c r="Q366" i="8"/>
  <c r="Q365" i="8"/>
  <c r="Q364" i="8"/>
  <c r="Q363" i="8"/>
  <c r="Q362" i="8"/>
  <c r="Q361" i="8"/>
  <c r="Q360" i="8"/>
  <c r="Q359" i="8"/>
  <c r="Q358" i="8"/>
  <c r="Q357" i="8"/>
  <c r="Q356" i="8"/>
  <c r="Q355" i="8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Q333" i="8"/>
  <c r="Q332" i="8"/>
  <c r="Q331" i="8"/>
  <c r="Q330" i="8"/>
  <c r="Q329" i="8"/>
  <c r="Q326" i="8" s="1"/>
  <c r="Q328" i="8"/>
  <c r="Q327" i="8"/>
  <c r="Q325" i="8"/>
  <c r="Q324" i="8"/>
  <c r="Q323" i="8"/>
  <c r="Q322" i="8"/>
  <c r="Q321" i="8"/>
  <c r="Q320" i="8"/>
  <c r="Q319" i="8"/>
  <c r="Q317" i="8"/>
  <c r="Q316" i="8"/>
  <c r="Q315" i="8"/>
  <c r="Q314" i="8"/>
  <c r="Q313" i="8"/>
  <c r="Q312" i="8"/>
  <c r="Q311" i="8"/>
  <c r="Q309" i="8"/>
  <c r="Q308" i="8"/>
  <c r="Q307" i="8"/>
  <c r="Q306" i="8"/>
  <c r="Q305" i="8"/>
  <c r="Q304" i="8"/>
  <c r="Q303" i="8"/>
  <c r="Q301" i="8"/>
  <c r="Q300" i="8"/>
  <c r="Q299" i="8"/>
  <c r="Q298" i="8"/>
  <c r="Q297" i="8"/>
  <c r="Q296" i="8"/>
  <c r="Q295" i="8"/>
  <c r="Q294" i="8"/>
  <c r="Q293" i="8"/>
  <c r="Q292" i="8"/>
  <c r="Q291" i="8"/>
  <c r="Q290" i="8"/>
  <c r="Q289" i="8"/>
  <c r="Q288" i="8"/>
  <c r="Q287" i="8"/>
  <c r="Q286" i="8"/>
  <c r="Q285" i="8"/>
  <c r="Q284" i="8"/>
  <c r="Q283" i="8"/>
  <c r="Q282" i="8"/>
  <c r="Q281" i="8"/>
  <c r="Q280" i="8"/>
  <c r="Q279" i="8"/>
  <c r="Q278" i="8"/>
  <c r="Q277" i="8"/>
  <c r="Q276" i="8"/>
  <c r="Q275" i="8"/>
  <c r="Q274" i="8"/>
  <c r="Q273" i="8"/>
  <c r="Q272" i="8"/>
  <c r="Q271" i="8"/>
  <c r="Q270" i="8"/>
  <c r="Q269" i="8"/>
  <c r="Q268" i="8"/>
  <c r="Q267" i="8"/>
  <c r="Q266" i="8"/>
  <c r="Q265" i="8"/>
  <c r="Q264" i="8"/>
  <c r="Q263" i="8"/>
  <c r="Q262" i="8"/>
  <c r="Q261" i="8"/>
  <c r="Q260" i="8"/>
  <c r="Q259" i="8"/>
  <c r="Q258" i="8"/>
  <c r="Q257" i="8"/>
  <c r="Q256" i="8"/>
  <c r="Q255" i="8"/>
  <c r="Q254" i="8"/>
  <c r="Q253" i="8"/>
  <c r="Q252" i="8"/>
  <c r="Q251" i="8"/>
  <c r="Q250" i="8"/>
  <c r="Q249" i="8"/>
  <c r="Q248" i="8"/>
  <c r="Q247" i="8"/>
  <c r="Q246" i="8"/>
  <c r="Q245" i="8"/>
  <c r="Q244" i="8"/>
  <c r="Q241" i="8" s="1"/>
  <c r="Q243" i="8"/>
  <c r="Q242" i="8"/>
  <c r="Q237" i="8"/>
  <c r="Q236" i="8"/>
  <c r="Q235" i="8"/>
  <c r="Q234" i="8"/>
  <c r="Q229" i="8"/>
  <c r="Q228" i="8"/>
  <c r="Q227" i="8"/>
  <c r="Q226" i="8"/>
  <c r="Q221" i="8"/>
  <c r="Q220" i="8"/>
  <c r="Q219" i="8"/>
  <c r="Q218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Q179" i="8"/>
  <c r="Q178" i="8"/>
  <c r="Q177" i="8"/>
  <c r="Q176" i="8"/>
  <c r="Q175" i="8"/>
  <c r="Q174" i="8"/>
  <c r="Q173" i="8"/>
  <c r="Q172" i="8"/>
  <c r="Q171" i="8"/>
  <c r="Q170" i="8"/>
  <c r="Q169" i="8"/>
  <c r="Q168" i="8"/>
  <c r="Q167" i="8"/>
  <c r="Q166" i="8"/>
  <c r="Q165" i="8"/>
  <c r="Q164" i="8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Q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C85" i="7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31" i="4"/>
  <c r="L130" i="4"/>
  <c r="L129" i="4"/>
  <c r="L128" i="4"/>
  <c r="L127" i="4"/>
  <c r="L126" i="4"/>
  <c r="L125" i="4"/>
  <c r="L124" i="4"/>
  <c r="L123" i="4"/>
  <c r="L122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Q476" i="8" l="1"/>
  <c r="Q484" i="8"/>
  <c r="Q485" i="8"/>
  <c r="Q222" i="8"/>
  <c r="Q230" i="8"/>
  <c r="Q238" i="8"/>
  <c r="Q302" i="8"/>
  <c r="Q310" i="8"/>
  <c r="Q318" i="8"/>
  <c r="Q470" i="8"/>
  <c r="Q478" i="8"/>
  <c r="Q486" i="8"/>
  <c r="Q223" i="8"/>
  <c r="Q231" i="8"/>
  <c r="Q239" i="8"/>
  <c r="Q471" i="8"/>
  <c r="Q479" i="8"/>
  <c r="Q487" i="8"/>
  <c r="Q224" i="8"/>
  <c r="Q232" i="8"/>
  <c r="Q240" i="8"/>
  <c r="Q472" i="8"/>
  <c r="Q480" i="8"/>
  <c r="Q488" i="8"/>
  <c r="Q217" i="8"/>
  <c r="Q225" i="8"/>
  <c r="Q233" i="8"/>
  <c r="Q473" i="8"/>
  <c r="Q481" i="8"/>
</calcChain>
</file>

<file path=xl/sharedStrings.xml><?xml version="1.0" encoding="utf-8"?>
<sst xmlns="http://schemas.openxmlformats.org/spreadsheetml/2006/main" count="8048" uniqueCount="1050">
  <si>
    <t>Sample ID</t>
  </si>
  <si>
    <t>Date collected</t>
  </si>
  <si>
    <t>Time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</si>
  <si>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</si>
  <si>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</si>
  <si>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</si>
  <si>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</si>
  <si>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</si>
  <si>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</si>
  <si>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</si>
  <si>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</si>
  <si>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</si>
  <si>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</si>
  <si>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QA Flag</t>
  </si>
  <si>
    <t>Analyst</t>
  </si>
  <si>
    <t>Notes</t>
  </si>
  <si>
    <t>Serratia marcenses</t>
  </si>
  <si>
    <t>N/A</t>
  </si>
  <si>
    <t>&lt; 1</t>
  </si>
  <si>
    <t>A</t>
  </si>
  <si>
    <t>MR</t>
  </si>
  <si>
    <r>
      <rPr>
        <sz val="11"/>
        <color theme="1"/>
        <rFont val="Calibri"/>
      </rPr>
      <t xml:space="preserve">Verified </t>
    </r>
    <r>
      <rPr>
        <i/>
        <sz val="11"/>
        <color theme="1"/>
        <rFont val="Calibri"/>
      </rPr>
      <t>Enterococcus</t>
    </r>
    <r>
      <rPr>
        <sz val="11"/>
        <color theme="1"/>
        <rFont val="Calibri"/>
      </rPr>
      <t xml:space="preserve"> lot number</t>
    </r>
  </si>
  <si>
    <t>Aerococcus viridans</t>
  </si>
  <si>
    <t>Enterococcus faecium</t>
  </si>
  <si>
    <t>Blank</t>
  </si>
  <si>
    <t>Ent_11</t>
  </si>
  <si>
    <t>MO/MR</t>
  </si>
  <si>
    <t>Ent_37</t>
  </si>
  <si>
    <t>Ent_141</t>
  </si>
  <si>
    <t>Ent_76</t>
  </si>
  <si>
    <t>Ent_24</t>
  </si>
  <si>
    <t>MR/VSM</t>
  </si>
  <si>
    <t>Ent_206</t>
  </si>
  <si>
    <t>Ent_63</t>
  </si>
  <si>
    <t>Ent_50</t>
  </si>
  <si>
    <t>Ent_115</t>
  </si>
  <si>
    <t>Ent_154</t>
  </si>
  <si>
    <t>Ent_102</t>
  </si>
  <si>
    <t>Ent_89</t>
  </si>
  <si>
    <t>Ent_570</t>
  </si>
  <si>
    <t>MO/AM/VM</t>
  </si>
  <si>
    <t>Ent_440</t>
  </si>
  <si>
    <t>Ent_414</t>
  </si>
  <si>
    <t>Ent_596</t>
  </si>
  <si>
    <t>Ent_180</t>
  </si>
  <si>
    <t>AMC/MR</t>
  </si>
  <si>
    <t>Ent_258</t>
  </si>
  <si>
    <t>Ent_167</t>
  </si>
  <si>
    <t>Ent_583</t>
  </si>
  <si>
    <t>Ent_505</t>
  </si>
  <si>
    <t>Ent_193</t>
  </si>
  <si>
    <t>Ent_466</t>
  </si>
  <si>
    <t>MR/VM</t>
  </si>
  <si>
    <t>Ent_557</t>
  </si>
  <si>
    <t>Ent_518</t>
  </si>
  <si>
    <t>Ent_336</t>
  </si>
  <si>
    <t>Ent_401</t>
  </si>
  <si>
    <t>Ent_323</t>
  </si>
  <si>
    <t>Ent_128</t>
  </si>
  <si>
    <t>Ent_362</t>
  </si>
  <si>
    <t>Ent_284</t>
  </si>
  <si>
    <t>Ent_349</t>
  </si>
  <si>
    <t>Ent_271</t>
  </si>
  <si>
    <t>Ent_297</t>
  </si>
  <si>
    <t>Ent_375</t>
  </si>
  <si>
    <t>Ent_388</t>
  </si>
  <si>
    <t>Ent_310</t>
  </si>
  <si>
    <t>Ent_219</t>
  </si>
  <si>
    <t>Ent_661</t>
  </si>
  <si>
    <t>Ent_492</t>
  </si>
  <si>
    <t>Ent_648</t>
  </si>
  <si>
    <r>
      <rPr>
        <sz val="11"/>
        <color theme="1"/>
        <rFont val="Calibri"/>
      </rPr>
      <t xml:space="preserve">Verified </t>
    </r>
    <r>
      <rPr>
        <i/>
        <sz val="11"/>
        <color theme="1"/>
        <rFont val="Calibri"/>
      </rPr>
      <t>Enterococcus</t>
    </r>
    <r>
      <rPr>
        <sz val="11"/>
        <color theme="1"/>
        <rFont val="Calibri"/>
      </rPr>
      <t xml:space="preserve"> lot number</t>
    </r>
  </si>
  <si>
    <t>Ent_544</t>
  </si>
  <si>
    <t>Ent_609</t>
  </si>
  <si>
    <t>Ent_674</t>
  </si>
  <si>
    <t>Ent_531</t>
  </si>
  <si>
    <t>Ent_622</t>
  </si>
  <si>
    <t>Ent_687</t>
  </si>
  <si>
    <t>Ent_700</t>
  </si>
  <si>
    <t>MO/CM</t>
  </si>
  <si>
    <t>Ent_453</t>
  </si>
  <si>
    <t>Ent_713</t>
  </si>
  <si>
    <t>Ent_726</t>
  </si>
  <si>
    <t>Date analysis</t>
  </si>
  <si>
    <t>Start time</t>
  </si>
  <si>
    <t>End time</t>
  </si>
  <si>
    <t>Results ml/L</t>
  </si>
  <si>
    <t>SS_7</t>
  </si>
  <si>
    <t>&lt; 0.1</t>
  </si>
  <si>
    <t>SS_33</t>
  </si>
  <si>
    <t>SS_137</t>
  </si>
  <si>
    <t>SS_72</t>
  </si>
  <si>
    <t>SS_20</t>
  </si>
  <si>
    <t>SS_202</t>
  </si>
  <si>
    <t>SS_59</t>
  </si>
  <si>
    <t>SS_46</t>
  </si>
  <si>
    <t>SS_111</t>
  </si>
  <si>
    <t>SS_150</t>
  </si>
  <si>
    <t>SS_98</t>
  </si>
  <si>
    <t>SS_85</t>
  </si>
  <si>
    <t>SS_566</t>
  </si>
  <si>
    <t>SS_436</t>
  </si>
  <si>
    <t>SS_410</t>
  </si>
  <si>
    <t>SS_592</t>
  </si>
  <si>
    <t>SS_176</t>
  </si>
  <si>
    <t>SS_254</t>
  </si>
  <si>
    <t>MR/CH</t>
  </si>
  <si>
    <t>SS_163</t>
  </si>
  <si>
    <t>SS_579</t>
  </si>
  <si>
    <t>SS_501</t>
  </si>
  <si>
    <t>SS_189</t>
  </si>
  <si>
    <t>SS_462</t>
  </si>
  <si>
    <t>SS_553</t>
  </si>
  <si>
    <t>SS_514</t>
  </si>
  <si>
    <t>SS_332</t>
  </si>
  <si>
    <t>SS_397</t>
  </si>
  <si>
    <t>SS_319</t>
  </si>
  <si>
    <t>SS_124</t>
  </si>
  <si>
    <t>SS_358</t>
  </si>
  <si>
    <t>SS_280</t>
  </si>
  <si>
    <t>SS_345</t>
  </si>
  <si>
    <t>SS_267</t>
  </si>
  <si>
    <t>SS_293</t>
  </si>
  <si>
    <t>SS_371</t>
  </si>
  <si>
    <t>SS_384</t>
  </si>
  <si>
    <t>SS_306</t>
  </si>
  <si>
    <t>SS_215</t>
  </si>
  <si>
    <t>SS_657</t>
  </si>
  <si>
    <t>SS_488</t>
  </si>
  <si>
    <t>MR/II</t>
  </si>
  <si>
    <t>SS_644</t>
  </si>
  <si>
    <t>SS_540</t>
  </si>
  <si>
    <t>SS_605</t>
  </si>
  <si>
    <t>SS_670</t>
  </si>
  <si>
    <t>SS_527</t>
  </si>
  <si>
    <t>SS_618</t>
  </si>
  <si>
    <t>SS_683</t>
  </si>
  <si>
    <t>SS_696</t>
  </si>
  <si>
    <t>AM/VM</t>
  </si>
  <si>
    <t>SS_449</t>
  </si>
  <si>
    <t>SS_709</t>
  </si>
  <si>
    <t>SS_722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</si>
  <si>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</si>
  <si>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</si>
  <si>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</si>
  <si>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</si>
  <si>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</si>
  <si>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</si>
  <si>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</si>
  <si>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</si>
  <si>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</si>
  <si>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</si>
  <si>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</si>
  <si>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</si>
  <si>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G0038658</t>
  </si>
  <si>
    <t xml:space="preserve">Cellulose </t>
  </si>
  <si>
    <t>G0038193</t>
  </si>
  <si>
    <t>TSS_8</t>
  </si>
  <si>
    <t>G0038197</t>
  </si>
  <si>
    <t>TSS_34</t>
  </si>
  <si>
    <t>G0038196</t>
  </si>
  <si>
    <t>TSS_138</t>
  </si>
  <si>
    <t>G0038195</t>
  </si>
  <si>
    <t>TSS_73</t>
  </si>
  <si>
    <t>G0038194</t>
  </si>
  <si>
    <t>TSS_21</t>
  </si>
  <si>
    <t>G0038300</t>
  </si>
  <si>
    <t>TSS_203</t>
  </si>
  <si>
    <t>G0038651</t>
  </si>
  <si>
    <t>TSS_60</t>
  </si>
  <si>
    <t>G0038652</t>
  </si>
  <si>
    <t>TSS_47</t>
  </si>
  <si>
    <t>G0038655</t>
  </si>
  <si>
    <t>TSS_112</t>
  </si>
  <si>
    <t>G0038654</t>
  </si>
  <si>
    <t>TSS_151</t>
  </si>
  <si>
    <t>G0038653</t>
  </si>
  <si>
    <t>TSS_99</t>
  </si>
  <si>
    <t>G0038657</t>
  </si>
  <si>
    <t>TSS_86</t>
  </si>
  <si>
    <t>G0038656</t>
  </si>
  <si>
    <t>TSS_567</t>
  </si>
  <si>
    <t>G0038299</t>
  </si>
  <si>
    <t>TSS_437</t>
  </si>
  <si>
    <t>G0038297</t>
  </si>
  <si>
    <t>TSS_411</t>
  </si>
  <si>
    <t>G0038298</t>
  </si>
  <si>
    <t>TSS_593</t>
  </si>
  <si>
    <t>G0038296</t>
  </si>
  <si>
    <t>TSS_177</t>
  </si>
  <si>
    <t>G0038295</t>
  </si>
  <si>
    <t>TSS_255</t>
  </si>
  <si>
    <t>G0038294</t>
  </si>
  <si>
    <t>TSS_164</t>
  </si>
  <si>
    <t>G0038293</t>
  </si>
  <si>
    <t>TSS_580</t>
  </si>
  <si>
    <t>G0038292</t>
  </si>
  <si>
    <t>G0038631</t>
  </si>
  <si>
    <t>G0038630</t>
  </si>
  <si>
    <t>TSS_502</t>
  </si>
  <si>
    <t>G0038291</t>
  </si>
  <si>
    <t>TSS_190</t>
  </si>
  <si>
    <t>G0038290</t>
  </si>
  <si>
    <t>TSS_463</t>
  </si>
  <si>
    <t>G0038288</t>
  </si>
  <si>
    <t>TSS_554</t>
  </si>
  <si>
    <t>G0038286</t>
  </si>
  <si>
    <t>TSS_515</t>
  </si>
  <si>
    <t>G0038287</t>
  </si>
  <si>
    <t>TSS_333</t>
  </si>
  <si>
    <t>G0038285</t>
  </si>
  <si>
    <t>TSS_398</t>
  </si>
  <si>
    <t>G0038284</t>
  </si>
  <si>
    <t>TSS_320</t>
  </si>
  <si>
    <t>G0038632</t>
  </si>
  <si>
    <t>TSS_125</t>
  </si>
  <si>
    <t>G0038289</t>
  </si>
  <si>
    <t>TSS_359</t>
  </si>
  <si>
    <t>G0037947</t>
  </si>
  <si>
    <t>TSS_281</t>
  </si>
  <si>
    <t>G0037946</t>
  </si>
  <si>
    <t>TSS_346</t>
  </si>
  <si>
    <t>G0037945</t>
  </si>
  <si>
    <t>TSS_268</t>
  </si>
  <si>
    <t>G0037944</t>
  </si>
  <si>
    <t>TSS_294</t>
  </si>
  <si>
    <t>G0037943</t>
  </si>
  <si>
    <t>TSS_372</t>
  </si>
  <si>
    <t>G0037942</t>
  </si>
  <si>
    <t>TSS_385</t>
  </si>
  <si>
    <t>G0037941</t>
  </si>
  <si>
    <t>TSS_307</t>
  </si>
  <si>
    <t>G0037940</t>
  </si>
  <si>
    <t>TSS_216</t>
  </si>
  <si>
    <t>G0037939</t>
  </si>
  <si>
    <t>TSS_658</t>
  </si>
  <si>
    <t>G0037935</t>
  </si>
  <si>
    <t>TSS_489</t>
  </si>
  <si>
    <t>G0037937</t>
  </si>
  <si>
    <t>G0037930</t>
  </si>
  <si>
    <t>G0037928</t>
  </si>
  <si>
    <t>TSS_645</t>
  </si>
  <si>
    <t>G0037936</t>
  </si>
  <si>
    <t>TSS_541</t>
  </si>
  <si>
    <t>G0037934</t>
  </si>
  <si>
    <t>TSS_606</t>
  </si>
  <si>
    <t>G0037933</t>
  </si>
  <si>
    <t>TSS_671</t>
  </si>
  <si>
    <t>TSS_528</t>
  </si>
  <si>
    <t>G0037932</t>
  </si>
  <si>
    <t>TSS_619</t>
  </si>
  <si>
    <t>G0037931</t>
  </si>
  <si>
    <t>TSS_684</t>
  </si>
  <si>
    <t>G0037929</t>
  </si>
  <si>
    <t>TSS_697</t>
  </si>
  <si>
    <t>G0037927</t>
  </si>
  <si>
    <t>TSS_450</t>
  </si>
  <si>
    <t>G0037926</t>
  </si>
  <si>
    <t>TSS_710</t>
  </si>
  <si>
    <t>G0038006</t>
  </si>
  <si>
    <t>TSS_723</t>
  </si>
  <si>
    <t>G0038005</t>
  </si>
  <si>
    <t>Date/Initial DO</t>
  </si>
  <si>
    <t>Time Initial DO measure</t>
  </si>
  <si>
    <t>Initial DO  mg/L</t>
  </si>
  <si>
    <t>Initial Temperature</t>
  </si>
  <si>
    <t>Time Final DO</t>
  </si>
  <si>
    <t>Final DO</t>
  </si>
  <si>
    <t>Final Temperature</t>
  </si>
  <si>
    <t>BOD in mg/L</t>
  </si>
  <si>
    <t>CALIBRATION</t>
  </si>
  <si>
    <t>MR/AM</t>
  </si>
  <si>
    <t>BOD_3+GGAn_surface</t>
  </si>
  <si>
    <t>BOD_3n_surface</t>
  </si>
  <si>
    <t>BOD_3_surface</t>
  </si>
  <si>
    <t>BOD_4_bottom</t>
  </si>
  <si>
    <t>BOD_29_surface</t>
  </si>
  <si>
    <t>BOD_30_bottom</t>
  </si>
  <si>
    <t>BOD_133_surface</t>
  </si>
  <si>
    <t>BOD_134_bottom</t>
  </si>
  <si>
    <t>BOD_68_surface</t>
  </si>
  <si>
    <t>BOD_69_bottom</t>
  </si>
  <si>
    <t>BOD_16_surface</t>
  </si>
  <si>
    <t>BOD_17_bottom</t>
  </si>
  <si>
    <t>BOD_198+GGAn_surface</t>
  </si>
  <si>
    <t>BOD_198n_surface</t>
  </si>
  <si>
    <t>BOD_198_surface</t>
  </si>
  <si>
    <t>BOD_199_bottom</t>
  </si>
  <si>
    <t>BOD_55_surface</t>
  </si>
  <si>
    <t>BOD_56_bottom</t>
  </si>
  <si>
    <t>BOD_42_surface</t>
  </si>
  <si>
    <t>BOD_43_bottom</t>
  </si>
  <si>
    <t>BOD_107_surface</t>
  </si>
  <si>
    <t>BOD_108_bottom</t>
  </si>
  <si>
    <t>BOD_146_surface</t>
  </si>
  <si>
    <t>BOD_147_bottom</t>
  </si>
  <si>
    <t>BOD_94+GGAn_surface</t>
  </si>
  <si>
    <t>BOD_94n_surface</t>
  </si>
  <si>
    <t>BOD_94_surface</t>
  </si>
  <si>
    <t>BOD_95_bottom</t>
  </si>
  <si>
    <t>BOD_81_surface</t>
  </si>
  <si>
    <t>BOD_82_bottom</t>
  </si>
  <si>
    <t>BOD_562_surface</t>
  </si>
  <si>
    <t>BOD_563_bottom</t>
  </si>
  <si>
    <t>BOD_432_surface</t>
  </si>
  <si>
    <t>BOD_433_bottom</t>
  </si>
  <si>
    <t>BOD_406_surface</t>
  </si>
  <si>
    <t>BOD_407_bottom</t>
  </si>
  <si>
    <t>BOD_588+GGAn_surface</t>
  </si>
  <si>
    <t>BOD_588n_surface</t>
  </si>
  <si>
    <t>BOD_588_surface</t>
  </si>
  <si>
    <t>BOD_589_bottom</t>
  </si>
  <si>
    <t>BOD_172_surface</t>
  </si>
  <si>
    <t>BOD_173_bottom</t>
  </si>
  <si>
    <t>BOD_250_surface</t>
  </si>
  <si>
    <t>BOD_251_bottom</t>
  </si>
  <si>
    <t>BOD_159_surface</t>
  </si>
  <si>
    <t>BOD_160_bottom</t>
  </si>
  <si>
    <t>BOD_575_surface</t>
  </si>
  <si>
    <t>BOD_576_bottom</t>
  </si>
  <si>
    <t>BOD_497+GGAn_surface</t>
  </si>
  <si>
    <t>BOD_497n_surface</t>
  </si>
  <si>
    <t>BOD_497_surface</t>
  </si>
  <si>
    <t>BOD_498_bottom</t>
  </si>
  <si>
    <t>BOD_185_surface</t>
  </si>
  <si>
    <t>BOD_186_bottom</t>
  </si>
  <si>
    <t>BOD_458_surface</t>
  </si>
  <si>
    <t>BOD_459_bottom</t>
  </si>
  <si>
    <t>BOD_549_surface</t>
  </si>
  <si>
    <t>BOD_550_bottom</t>
  </si>
  <si>
    <t>BOD_510_surface</t>
  </si>
  <si>
    <t>BOD_511_bottom</t>
  </si>
  <si>
    <t>BOD_328+GGAn_surface</t>
  </si>
  <si>
    <t>5:18 pm PM</t>
  </si>
  <si>
    <t>BOD_328n_surface</t>
  </si>
  <si>
    <t>BOD_328_surface</t>
  </si>
  <si>
    <t>BOD_329_bottom</t>
  </si>
  <si>
    <t>BOD_393_surface</t>
  </si>
  <si>
    <t>BOD_394_bottom</t>
  </si>
  <si>
    <t>BOD_315_surface</t>
  </si>
  <si>
    <t>BOD_316_bottom</t>
  </si>
  <si>
    <t>BOD_120_surface</t>
  </si>
  <si>
    <t>BOD_121_bottom</t>
  </si>
  <si>
    <t>BOD_354_surface</t>
  </si>
  <si>
    <t>BOD_355_bottom</t>
  </si>
  <si>
    <t>BOD_276+GGAn_surface</t>
  </si>
  <si>
    <t>BOD_276n_surface</t>
  </si>
  <si>
    <t>BOD_276_surface</t>
  </si>
  <si>
    <t>BOD_277_bottom</t>
  </si>
  <si>
    <t>BOD_341_surface</t>
  </si>
  <si>
    <t>BOD_342_bottom</t>
  </si>
  <si>
    <t>BOD_263_surface</t>
  </si>
  <si>
    <t>BOD_264_bottom</t>
  </si>
  <si>
    <t>BOD_289_surface</t>
  </si>
  <si>
    <t>BOD_290_bottom</t>
  </si>
  <si>
    <t>BOD_367_surface</t>
  </si>
  <si>
    <t>BOD_368_bottom</t>
  </si>
  <si>
    <t>BOD_380+GGAn_surface</t>
  </si>
  <si>
    <t>BOD_380n_surface</t>
  </si>
  <si>
    <t>BOD_380_surface</t>
  </si>
  <si>
    <t>BOD_381_bottom</t>
  </si>
  <si>
    <t>BOD_302_surface</t>
  </si>
  <si>
    <t>BOD_303_bottom</t>
  </si>
  <si>
    <t>BOD_211_surface</t>
  </si>
  <si>
    <t>BOD_212_bottom</t>
  </si>
  <si>
    <t>BOD_653_surface</t>
  </si>
  <si>
    <t>BOD_654_bottom</t>
  </si>
  <si>
    <t>BOD_484_surface</t>
  </si>
  <si>
    <t>BOD_485_bottom</t>
  </si>
  <si>
    <t>BOD_640+GGAn_surface</t>
  </si>
  <si>
    <t>BOD_640n_surface</t>
  </si>
  <si>
    <t>BOD_640_surface</t>
  </si>
  <si>
    <t>BOD_641_bottom</t>
  </si>
  <si>
    <t>BOD_536_surface</t>
  </si>
  <si>
    <t>BOD_537_bottom</t>
  </si>
  <si>
    <t>BOD_601_surface</t>
  </si>
  <si>
    <t>BOD_602_bottom</t>
  </si>
  <si>
    <t>BOD_666_surface</t>
  </si>
  <si>
    <t>BOD_667_bottom</t>
  </si>
  <si>
    <t>BOD_523_surface</t>
  </si>
  <si>
    <t>BOD_524_bottom</t>
  </si>
  <si>
    <t>BOD_614+GGAn_surface</t>
  </si>
  <si>
    <t>BOD_614n_surface</t>
  </si>
  <si>
    <t>BOD_614_surface</t>
  </si>
  <si>
    <t>BOD_615_bottom</t>
  </si>
  <si>
    <t>BOD_679_surface</t>
  </si>
  <si>
    <t>BOD_680_bottom</t>
  </si>
  <si>
    <t>BOD_692_surface</t>
  </si>
  <si>
    <t>BOD_693_bottom</t>
  </si>
  <si>
    <t>BOD_445_surface</t>
  </si>
  <si>
    <t>BOD_446_bottom</t>
  </si>
  <si>
    <t>BOD_705_surface</t>
  </si>
  <si>
    <t>BOD_706_bottom</t>
  </si>
  <si>
    <t>BOD_719+GGAn_bottom</t>
  </si>
  <si>
    <t>BOD_719n_bottom</t>
  </si>
  <si>
    <t>BOD_719_bottom</t>
  </si>
  <si>
    <t>BOD_718_surface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</si>
  <si>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</si>
  <si>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</si>
  <si>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</si>
  <si>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</si>
  <si>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</si>
  <si>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</si>
  <si>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</si>
  <si>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</si>
  <si>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</si>
  <si>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</si>
  <si>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</si>
  <si>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</si>
  <si>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</si>
  <si>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</si>
  <si>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</si>
  <si>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</si>
  <si>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(22.6ug/L)</t>
  </si>
  <si>
    <t>AMC, IIT, MR</t>
  </si>
  <si>
    <t>Chl_a_18</t>
  </si>
  <si>
    <t>Chl_a_31</t>
  </si>
  <si>
    <t>Chl_a_135</t>
  </si>
  <si>
    <t>Chl_a_70</t>
  </si>
  <si>
    <t>Chl_a_122</t>
  </si>
  <si>
    <t>Chl_a_200</t>
  </si>
  <si>
    <t>Chl_a_57</t>
  </si>
  <si>
    <t>Chl_a_44</t>
  </si>
  <si>
    <t>Chl_a_109</t>
  </si>
  <si>
    <t>Chl_a_148</t>
  </si>
  <si>
    <t>Chl_a_96</t>
  </si>
  <si>
    <t>Chl_a_83</t>
  </si>
  <si>
    <t>MR, AM</t>
  </si>
  <si>
    <t>Chl_a_564</t>
  </si>
  <si>
    <t>Chl_a_434</t>
  </si>
  <si>
    <t>Chl_a_408</t>
  </si>
  <si>
    <t>Chl_a_590</t>
  </si>
  <si>
    <t>Chl_a_174</t>
  </si>
  <si>
    <t>Chl_a_252</t>
  </si>
  <si>
    <t>Chl_a_161</t>
  </si>
  <si>
    <t>Chl_a_577</t>
  </si>
  <si>
    <t>Chl_a_499</t>
  </si>
  <si>
    <t>Chl_a_187</t>
  </si>
  <si>
    <t>Chl_a_460</t>
  </si>
  <si>
    <t>Chl_a_551</t>
  </si>
  <si>
    <t>Chl_a_512</t>
  </si>
  <si>
    <t>Chl_a_330</t>
  </si>
  <si>
    <t>Chl_a_395</t>
  </si>
  <si>
    <t>Chl_a_317</t>
  </si>
  <si>
    <t>Chl_a_5</t>
  </si>
  <si>
    <t>MR, AM, VM</t>
  </si>
  <si>
    <t>Chl_a_356</t>
  </si>
  <si>
    <t>Chl_a_278</t>
  </si>
  <si>
    <t>Chl_a_343</t>
  </si>
  <si>
    <t>Chl_a_265</t>
  </si>
  <si>
    <t>Chl_a_291</t>
  </si>
  <si>
    <t>Chl_a_369</t>
  </si>
  <si>
    <t>Chl_a_382</t>
  </si>
  <si>
    <t>Chl_a_304</t>
  </si>
  <si>
    <t>Chl_a_213</t>
  </si>
  <si>
    <t>Chl_a_655</t>
  </si>
  <si>
    <t>Chl_a_486</t>
  </si>
  <si>
    <t>Chl_a_642</t>
  </si>
  <si>
    <t>Chl_a_538</t>
  </si>
  <si>
    <t>Chl_a_603</t>
  </si>
  <si>
    <t>Chl_a_668</t>
  </si>
  <si>
    <t>Chl_a_525</t>
  </si>
  <si>
    <t>Chl_a_616</t>
  </si>
  <si>
    <t>Chl_a_681</t>
  </si>
  <si>
    <t>Chl_a_694</t>
  </si>
  <si>
    <t>Chl_a_447</t>
  </si>
  <si>
    <t>Chl_a_707</t>
  </si>
  <si>
    <t>Chl_a_720</t>
  </si>
  <si>
    <t xml:space="preserve">Date Collected </t>
  </si>
  <si>
    <t xml:space="preserve">Time Collected </t>
  </si>
  <si>
    <t>Date Analyzed</t>
  </si>
  <si>
    <t>Time Analyzed</t>
  </si>
  <si>
    <t>NTU</t>
  </si>
  <si>
    <t>Turb_6</t>
  </si>
  <si>
    <t>AMC/IIT</t>
  </si>
  <si>
    <t>Turb_32</t>
  </si>
  <si>
    <t>Turb_136</t>
  </si>
  <si>
    <t>Turb_71</t>
  </si>
  <si>
    <t>Turb_19</t>
  </si>
  <si>
    <t>Turb_201</t>
  </si>
  <si>
    <t>Turb_58</t>
  </si>
  <si>
    <t>Turb_45</t>
  </si>
  <si>
    <t>Turb_110</t>
  </si>
  <si>
    <t>Turb_149</t>
  </si>
  <si>
    <t>Turb_97</t>
  </si>
  <si>
    <t>Turb_84</t>
  </si>
  <si>
    <t>Turb_565</t>
  </si>
  <si>
    <t>Turb_435</t>
  </si>
  <si>
    <t>Turb_409</t>
  </si>
  <si>
    <t>Turb_591</t>
  </si>
  <si>
    <t>Turb_175</t>
  </si>
  <si>
    <t>Turb_253</t>
  </si>
  <si>
    <t>Turb_162</t>
  </si>
  <si>
    <t>Turb_578</t>
  </si>
  <si>
    <t>Turb_500</t>
  </si>
  <si>
    <t>Turb_188</t>
  </si>
  <si>
    <t>CH/MR</t>
  </si>
  <si>
    <t>Turb_461</t>
  </si>
  <si>
    <t>MR/IIT</t>
  </si>
  <si>
    <t>Turb_552</t>
  </si>
  <si>
    <t>Turb_513</t>
  </si>
  <si>
    <t>Turb_331</t>
  </si>
  <si>
    <t>Turb_396</t>
  </si>
  <si>
    <t>Turb_318</t>
  </si>
  <si>
    <t>Turb_123</t>
  </si>
  <si>
    <t>Turb_357</t>
  </si>
  <si>
    <t>Turb_279</t>
  </si>
  <si>
    <t>Turb_344</t>
  </si>
  <si>
    <t>Turb_266</t>
  </si>
  <si>
    <t>Turb_292</t>
  </si>
  <si>
    <t>Turb_370</t>
  </si>
  <si>
    <t>Turb_383</t>
  </si>
  <si>
    <t>Turb_305</t>
  </si>
  <si>
    <t>Turb_214</t>
  </si>
  <si>
    <t>Turb_656</t>
  </si>
  <si>
    <t>MR, IIT</t>
  </si>
  <si>
    <t>Turb_487</t>
  </si>
  <si>
    <t>Turb_643</t>
  </si>
  <si>
    <t>Turb_539</t>
  </si>
  <si>
    <t>Turb_604</t>
  </si>
  <si>
    <t>Turb_669</t>
  </si>
  <si>
    <t>Turb_526</t>
  </si>
  <si>
    <t>Turb_617</t>
  </si>
  <si>
    <t>Turb_682</t>
  </si>
  <si>
    <t>Turb_695</t>
  </si>
  <si>
    <t>Turb_448</t>
  </si>
  <si>
    <t>Turb_708</t>
  </si>
  <si>
    <t>Turb_721</t>
  </si>
  <si>
    <t>Date</t>
  </si>
  <si>
    <t>Sample</t>
  </si>
  <si>
    <t>Temperature (C)</t>
  </si>
  <si>
    <t>CRM_217_0384</t>
  </si>
  <si>
    <t>CRM_217_0430</t>
  </si>
  <si>
    <t>CH</t>
  </si>
  <si>
    <t>CRM_217_0674</t>
  </si>
  <si>
    <t>CRM_217_0969</t>
  </si>
  <si>
    <t>used average temperature of samples from same day</t>
  </si>
  <si>
    <t>CRM_217_0734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</si>
  <si>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</si>
  <si>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</si>
  <si>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</si>
  <si>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</si>
  <si>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</si>
  <si>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</si>
  <si>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</si>
  <si>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</si>
  <si>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</si>
  <si>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</si>
  <si>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</si>
  <si>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</si>
  <si>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</si>
  <si>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</si>
  <si>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</si>
  <si>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</si>
  <si>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</si>
  <si>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</si>
  <si>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</si>
  <si>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</si>
  <si>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</si>
  <si>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</si>
  <si>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</si>
  <si>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</si>
  <si>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</si>
  <si>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</si>
  <si>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</si>
  <si>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</si>
  <si>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</si>
  <si>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</si>
  <si>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</si>
  <si>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</si>
  <si>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</si>
  <si>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Deviation</t>
  </si>
  <si>
    <t>0.00100+0.00000</t>
  </si>
  <si>
    <t>Linear Fit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</si>
  <si>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</si>
  <si>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</si>
  <si>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</si>
  <si>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</si>
  <si>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</si>
  <si>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</si>
  <si>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</si>
  <si>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</si>
  <si>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0010A-1-1</t>
  </si>
  <si>
    <t>1A</t>
  </si>
  <si>
    <t>Excluded</t>
  </si>
  <si>
    <t>0010A-1-2</t>
  </si>
  <si>
    <t>0010A-1-3</t>
  </si>
  <si>
    <t>0010A-1-4</t>
  </si>
  <si>
    <t>0010B-1-1</t>
  </si>
  <si>
    <t>1B</t>
  </si>
  <si>
    <t>0010B-1-2</t>
  </si>
  <si>
    <t>0010B-1-3</t>
  </si>
  <si>
    <t>0010B-1-4</t>
  </si>
  <si>
    <t>0010C-1-1</t>
  </si>
  <si>
    <t>1C</t>
  </si>
  <si>
    <t>0010C-1-2</t>
  </si>
  <si>
    <t>0011S-1-1</t>
  </si>
  <si>
    <t>0011S-1-2</t>
  </si>
  <si>
    <t>0011S-1-3</t>
  </si>
  <si>
    <t>0012S-1-1</t>
  </si>
  <si>
    <t>D</t>
  </si>
  <si>
    <t>0012S-1-2</t>
  </si>
  <si>
    <t>0012S-1-3</t>
  </si>
  <si>
    <t>0013S-1-1</t>
  </si>
  <si>
    <t>E</t>
  </si>
  <si>
    <t>0013S-1-2</t>
  </si>
  <si>
    <t>0013S-1-3</t>
  </si>
  <si>
    <t>0014S-1-1</t>
  </si>
  <si>
    <t>F</t>
  </si>
  <si>
    <t>Failed</t>
  </si>
  <si>
    <t>R</t>
  </si>
  <si>
    <t>0014S-1-2</t>
  </si>
  <si>
    <t>0014S-1-3</t>
  </si>
  <si>
    <t>0014S-1-4</t>
  </si>
  <si>
    <t>0014S-1-5</t>
  </si>
  <si>
    <t>0014S-2-1</t>
  </si>
  <si>
    <t>0014S-2-2</t>
  </si>
  <si>
    <t>0015S-1-1</t>
  </si>
  <si>
    <t>G</t>
  </si>
  <si>
    <t>0015S-1-2</t>
  </si>
  <si>
    <t>0015S-1-3</t>
  </si>
  <si>
    <t>0015S-1-4</t>
  </si>
  <si>
    <t>0016S-1-1</t>
  </si>
  <si>
    <t>H</t>
  </si>
  <si>
    <t>0016S-1-2</t>
  </si>
  <si>
    <t>0016S-1-3</t>
  </si>
  <si>
    <t>0016S-1-4</t>
  </si>
  <si>
    <t>0016S-1-5</t>
  </si>
  <si>
    <t>0017S-1-1</t>
  </si>
  <si>
    <t>I</t>
  </si>
  <si>
    <t>0017S-1-2</t>
  </si>
  <si>
    <t>0017S-1-3</t>
  </si>
  <si>
    <t>0018S-1-1</t>
  </si>
  <si>
    <t>J</t>
  </si>
  <si>
    <t>0018S-1-2</t>
  </si>
  <si>
    <t>0018S-1-3</t>
  </si>
  <si>
    <t>0019S-1-1</t>
  </si>
  <si>
    <t>K</t>
  </si>
  <si>
    <t>0019S-1-2</t>
  </si>
  <si>
    <t>0020S-1-1</t>
  </si>
  <si>
    <t>0020S-1-2</t>
  </si>
  <si>
    <t>0021A-1-1</t>
  </si>
  <si>
    <t>0021A-1-2</t>
  </si>
  <si>
    <t>0021B-1-1</t>
  </si>
  <si>
    <t>0021B-1-2</t>
  </si>
  <si>
    <t>0021C-1-1</t>
  </si>
  <si>
    <t>0021C-1-2</t>
  </si>
  <si>
    <t>0022S-1-1</t>
  </si>
  <si>
    <t>0022S-1-2</t>
  </si>
  <si>
    <t>0023S-1-1</t>
  </si>
  <si>
    <t>0023S-1-2</t>
  </si>
  <si>
    <t>0024S-1-1</t>
  </si>
  <si>
    <t>0024S-1-2</t>
  </si>
  <si>
    <t>0024S-1-3</t>
  </si>
  <si>
    <t>0024S-1-4</t>
  </si>
  <si>
    <t>0025S-1-1</t>
  </si>
  <si>
    <t>0025S-1-2</t>
  </si>
  <si>
    <t>0025S-1-3</t>
  </si>
  <si>
    <t>0025S-1-4</t>
  </si>
  <si>
    <t>0026S-1-1</t>
  </si>
  <si>
    <t>0026S-1-2</t>
  </si>
  <si>
    <t>0027S-1-1</t>
  </si>
  <si>
    <t>0027S-1-2</t>
  </si>
  <si>
    <t>0028S-1-1</t>
  </si>
  <si>
    <t>0028S-1-2</t>
  </si>
  <si>
    <t>0029S-1-1</t>
  </si>
  <si>
    <t>0029S-1-2</t>
  </si>
  <si>
    <t>0029S-1-3</t>
  </si>
  <si>
    <t>0029S-1-4</t>
  </si>
  <si>
    <t>0029S-1-5</t>
  </si>
  <si>
    <t>0030S-1-1</t>
  </si>
  <si>
    <t>0030S-1-2</t>
  </si>
  <si>
    <t>0031S-1-1</t>
  </si>
  <si>
    <t>0031S-1-2</t>
  </si>
  <si>
    <t>0031S-1-3</t>
  </si>
  <si>
    <t>0031S-1-4</t>
  </si>
  <si>
    <t>0031S-1-5</t>
  </si>
  <si>
    <t>0004A-1-1</t>
  </si>
  <si>
    <t>0004A-1-2</t>
  </si>
  <si>
    <t>0004A-1-3</t>
  </si>
  <si>
    <t>0004B-1-1</t>
  </si>
  <si>
    <t>0004B-1-2</t>
  </si>
  <si>
    <t>0004B-1-3</t>
  </si>
  <si>
    <t>0004B-1-4</t>
  </si>
  <si>
    <t>0004B-1-5</t>
  </si>
  <si>
    <t>0004B-2-1</t>
  </si>
  <si>
    <t>0004B-2-2</t>
  </si>
  <si>
    <t>0004C-1-1</t>
  </si>
  <si>
    <t>0004C-1-2</t>
  </si>
  <si>
    <t>0005S-1-2</t>
  </si>
  <si>
    <t>0006S-1-2</t>
  </si>
  <si>
    <t>0007S-1-2</t>
  </si>
  <si>
    <t>0007S-1-3</t>
  </si>
  <si>
    <t>0007S-1-4</t>
  </si>
  <si>
    <t>0008S-1-2</t>
  </si>
  <si>
    <t>0009S-1-2</t>
  </si>
  <si>
    <t>0009S-1-3</t>
  </si>
  <si>
    <t>0010S-1-1</t>
  </si>
  <si>
    <t>0010S-1-2</t>
  </si>
  <si>
    <t>0010S-1-3</t>
  </si>
  <si>
    <t>0010S-1-4</t>
  </si>
  <si>
    <t>0010S-1-5</t>
  </si>
  <si>
    <t>0015A-1-1</t>
  </si>
  <si>
    <t>0015A-1-2</t>
  </si>
  <si>
    <t>0015B-1-1</t>
  </si>
  <si>
    <t>0015B-1-2</t>
  </si>
  <si>
    <t>0015C-1-1</t>
  </si>
  <si>
    <t>0015C-1-2</t>
  </si>
  <si>
    <t>0015C-1-3</t>
  </si>
  <si>
    <t>0018S-1-4</t>
  </si>
  <si>
    <t>0021S-1-1</t>
  </si>
  <si>
    <t>0021S-1-2</t>
  </si>
  <si>
    <t>0022S-1-3</t>
  </si>
  <si>
    <t>0022S-1-4</t>
  </si>
  <si>
    <t>0022S-1-5</t>
  </si>
  <si>
    <t>0022S-2-1</t>
  </si>
  <si>
    <t>0022S-2-2</t>
  </si>
  <si>
    <t>0022S-2-3</t>
  </si>
  <si>
    <t>0022S-2-4</t>
  </si>
  <si>
    <t>0022S-2-5</t>
  </si>
  <si>
    <t>0026A-1-1</t>
  </si>
  <si>
    <t>0026A-1-2</t>
  </si>
  <si>
    <t>0026B-1-1</t>
  </si>
  <si>
    <t>0026B-1-2</t>
  </si>
  <si>
    <t>0026C-1-1</t>
  </si>
  <si>
    <t>0026C-1-2</t>
  </si>
  <si>
    <t>0032S-1-1</t>
  </si>
  <si>
    <t>0032S-1-2</t>
  </si>
  <si>
    <t>0033S-1-1</t>
  </si>
  <si>
    <t>0033S-1-2</t>
  </si>
  <si>
    <t>0033S-1-3</t>
  </si>
  <si>
    <t>0034S-1-1</t>
  </si>
  <si>
    <t>0034S-1-2</t>
  </si>
  <si>
    <t>0035S-1-1</t>
  </si>
  <si>
    <t>0035S-1-2</t>
  </si>
  <si>
    <t>0036S-1-1</t>
  </si>
  <si>
    <t>0036S-1-2</t>
  </si>
  <si>
    <t>0004C-1-3</t>
  </si>
  <si>
    <t>0005S-1-3</t>
  </si>
  <si>
    <t>0006S-1-3</t>
  </si>
  <si>
    <t>0006S-1-4</t>
  </si>
  <si>
    <t>0006S-1-5</t>
  </si>
  <si>
    <t>0006S-2-1</t>
  </si>
  <si>
    <t>0006S-2-2</t>
  </si>
  <si>
    <t>0008S-1-3</t>
  </si>
  <si>
    <t>0008S-1-4</t>
  </si>
  <si>
    <t>0015A-1-3</t>
  </si>
  <si>
    <t>0015A-1-4</t>
  </si>
  <si>
    <t>0015A-1-5</t>
  </si>
  <si>
    <t>0015A-2-1</t>
  </si>
  <si>
    <t>0015A-2-2</t>
  </si>
  <si>
    <t>0015A-2-3</t>
  </si>
  <si>
    <t>0015B-1-3</t>
  </si>
  <si>
    <t>0018S-1-5</t>
  </si>
  <si>
    <t>0019S-1-3</t>
  </si>
  <si>
    <t>0019S-1-4</t>
  </si>
  <si>
    <t>0023S-1-3</t>
  </si>
  <si>
    <t>0023S-1-4</t>
  </si>
  <si>
    <t>0026A-1-3</t>
  </si>
  <si>
    <t>0027S-1-3</t>
  </si>
  <si>
    <t>0027S-1-4</t>
  </si>
  <si>
    <t>0028S-1-3</t>
  </si>
  <si>
    <t>0030S-1-3</t>
  </si>
  <si>
    <t>0031S-2-1</t>
  </si>
  <si>
    <t>0031S-2-2</t>
  </si>
  <si>
    <t>0031S-2-3</t>
  </si>
  <si>
    <t>0032S-1-3</t>
  </si>
  <si>
    <t>0034S-1-3</t>
  </si>
  <si>
    <t>0034S-1-4</t>
  </si>
  <si>
    <t>0034S-1-5</t>
  </si>
  <si>
    <t>0036S-1-3</t>
  </si>
  <si>
    <t xml:space="preserve"> nh</t>
  </si>
  <si>
    <t>0006A-1-1</t>
  </si>
  <si>
    <t>0006A-1-2</t>
  </si>
  <si>
    <t>0006A-1-3</t>
  </si>
  <si>
    <t>0006A-1-4</t>
  </si>
  <si>
    <t>0006A-1-5</t>
  </si>
  <si>
    <t>0006A-2-1</t>
  </si>
  <si>
    <t>0006A-2-2</t>
  </si>
  <si>
    <t>0006B-1-1</t>
  </si>
  <si>
    <t>0006B-1-2</t>
  </si>
  <si>
    <t>0006C-1-1</t>
  </si>
  <si>
    <t>0006C-1-2</t>
  </si>
  <si>
    <t>0006C-1-3</t>
  </si>
  <si>
    <t>0010S-2-1</t>
  </si>
  <si>
    <t>0010S-2-2</t>
  </si>
  <si>
    <t>0013S-1-4</t>
  </si>
  <si>
    <t>0013S-1-5</t>
  </si>
  <si>
    <t>0013S-2-1</t>
  </si>
  <si>
    <t>0013S-2-2</t>
  </si>
  <si>
    <t>0013S-2-3</t>
  </si>
  <si>
    <t>0013S-2-4</t>
  </si>
  <si>
    <t>0013S-2-5</t>
  </si>
  <si>
    <t>0014S-2-3</t>
  </si>
  <si>
    <t>Samples were not run due to DIC failure; awaiting new filters as per instructions</t>
  </si>
  <si>
    <t>0015S-1-5</t>
  </si>
  <si>
    <t>0015S-2-1</t>
  </si>
  <si>
    <t>0015S-2-2</t>
  </si>
  <si>
    <t>0015S-2-3</t>
  </si>
  <si>
    <t>0015S-2-4</t>
  </si>
  <si>
    <t>0015S-2-5</t>
  </si>
  <si>
    <t>0016S-2-1</t>
  </si>
  <si>
    <t>0016S-2-2</t>
  </si>
  <si>
    <t>0016S-2-3</t>
  </si>
  <si>
    <t>0017A-1-1</t>
  </si>
  <si>
    <t>Halted</t>
  </si>
  <si>
    <t>0017A-1-2</t>
  </si>
  <si>
    <t>Not Used</t>
  </si>
  <si>
    <t>0017A-1-3</t>
  </si>
  <si>
    <t>0017A-1-4</t>
  </si>
  <si>
    <t>0017A-1-5</t>
  </si>
  <si>
    <t>0017A-1-6</t>
  </si>
  <si>
    <t>0017A-1-7</t>
  </si>
  <si>
    <t>0005A-1-1</t>
  </si>
  <si>
    <t>0005A-1-2</t>
  </si>
  <si>
    <t>0005A-1-3</t>
  </si>
  <si>
    <t>0005A-1-4</t>
  </si>
  <si>
    <t>0005A-1-5</t>
  </si>
  <si>
    <t>0005B-1-1</t>
  </si>
  <si>
    <t>0005B-1-2</t>
  </si>
  <si>
    <t>0005C-1-1</t>
  </si>
  <si>
    <t>0005C-1-2</t>
  </si>
  <si>
    <t>0009S-1-4</t>
  </si>
  <si>
    <t>0009S-1-5</t>
  </si>
  <si>
    <t>0009S-2-1</t>
  </si>
  <si>
    <t>0009S-2-2</t>
  </si>
  <si>
    <t>Analyzed</t>
  </si>
  <si>
    <t>Olvideé cambiar el port a C, pero luego repitioó el instrumento y pasoó</t>
  </si>
  <si>
    <t>0019A-1-1</t>
  </si>
  <si>
    <t>0019A-1-2</t>
  </si>
  <si>
    <t>0019A-1-3</t>
  </si>
  <si>
    <t>0019B-1-1</t>
  </si>
  <si>
    <t>0019B-1-2</t>
  </si>
  <si>
    <t>0019B-1-3</t>
  </si>
  <si>
    <t>0019C-1-1</t>
  </si>
  <si>
    <t>0019C-1-2</t>
  </si>
  <si>
    <t>0019C-1-3</t>
  </si>
  <si>
    <t>0019C-1-4</t>
  </si>
  <si>
    <t>0019C-1-5</t>
  </si>
  <si>
    <t>0026S-1-3</t>
  </si>
  <si>
    <t>0026S-1-4</t>
  </si>
  <si>
    <t>0030A-1-1</t>
  </si>
  <si>
    <t>0030A-1-2</t>
  </si>
  <si>
    <t>0030B-1-1</t>
  </si>
  <si>
    <t>0030B-1-2</t>
  </si>
  <si>
    <t>0030C-1-1</t>
  </si>
  <si>
    <t>0030C-1-2</t>
  </si>
  <si>
    <t>0030C-1-3</t>
  </si>
  <si>
    <t>0037S-1-1</t>
  </si>
  <si>
    <t>0037S-1-2</t>
  </si>
  <si>
    <t>0037S-1-3</t>
  </si>
  <si>
    <t>0037S-1-4</t>
  </si>
  <si>
    <t>0038S-1-1</t>
  </si>
  <si>
    <t>0038S-1-2</t>
  </si>
  <si>
    <t>0038S-1-3</t>
  </si>
  <si>
    <t>0039A-1-1</t>
  </si>
  <si>
    <t>0039A-1-2</t>
  </si>
  <si>
    <t>0039A-1-3</t>
  </si>
  <si>
    <t>0039B-1-1</t>
  </si>
  <si>
    <t>0039B-1-2</t>
  </si>
  <si>
    <t>0039C-1-1</t>
  </si>
  <si>
    <t>0039C-1-2</t>
  </si>
  <si>
    <t>0040S-1-1</t>
  </si>
  <si>
    <t>0040S-1-2</t>
  </si>
  <si>
    <t>0041S-1-1</t>
  </si>
  <si>
    <t>0041S-1-2</t>
  </si>
  <si>
    <t>0041S-1-3</t>
  </si>
  <si>
    <t>0042S-1-1</t>
  </si>
  <si>
    <t>0042S-1-2</t>
  </si>
  <si>
    <t>0042S-1-3</t>
  </si>
  <si>
    <t>0043S-1-1</t>
  </si>
  <si>
    <t>0043S-1-2</t>
  </si>
  <si>
    <t>0044S-1-1</t>
  </si>
  <si>
    <t>0044S-1-2</t>
  </si>
  <si>
    <t>0044S-1-3</t>
  </si>
  <si>
    <t>0045S-1-1</t>
  </si>
  <si>
    <t>0045S-1-2</t>
  </si>
  <si>
    <t>0045S-1-3</t>
  </si>
  <si>
    <t>0045S-1-4</t>
  </si>
  <si>
    <t>0046S-1-1</t>
  </si>
  <si>
    <t>0046S-1-2</t>
  </si>
  <si>
    <t>0046S-1-3</t>
  </si>
  <si>
    <t>0046S-1-4</t>
  </si>
  <si>
    <t>0047S-1-1</t>
  </si>
  <si>
    <t>0047S-1-2</t>
  </si>
  <si>
    <t>0048S-1-1</t>
  </si>
  <si>
    <t>0048S-1-2</t>
  </si>
  <si>
    <t>0048S-1-3</t>
  </si>
  <si>
    <t>0049S-1-1</t>
  </si>
  <si>
    <t>0049S-1-2</t>
  </si>
  <si>
    <t>0049S-1-3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</si>
  <si>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</si>
  <si>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</si>
  <si>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</si>
  <si>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</si>
  <si>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</si>
  <si>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</si>
  <si>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</si>
  <si>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</si>
  <si>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</si>
  <si>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User</t>
  </si>
  <si>
    <t>0001S-1</t>
  </si>
  <si>
    <t>Na2CO3</t>
  </si>
  <si>
    <t>&gt;30</t>
  </si>
  <si>
    <t>Canceled</t>
  </si>
  <si>
    <t>0002S-1</t>
  </si>
  <si>
    <t>0002S-2</t>
  </si>
  <si>
    <t>0003S-1</t>
  </si>
  <si>
    <t>0003S-2</t>
  </si>
  <si>
    <t>0003S-3</t>
  </si>
  <si>
    <t>0003S-4</t>
  </si>
  <si>
    <t>0003S-5</t>
  </si>
  <si>
    <t>0003S-6</t>
  </si>
  <si>
    <t>0003S-7</t>
  </si>
  <si>
    <t>0004C-1</t>
  </si>
  <si>
    <t>HCl Calibration</t>
  </si>
  <si>
    <t>0004C-2</t>
  </si>
  <si>
    <t>0004C-3</t>
  </si>
  <si>
    <t>0005S-1</t>
  </si>
  <si>
    <t>0006S-1</t>
  </si>
  <si>
    <t>0007S-1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</si>
  <si>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</si>
  <si>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</si>
  <si>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</si>
  <si>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</si>
  <si>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</si>
  <si>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</si>
  <si>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</si>
  <si>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</si>
  <si>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</si>
  <si>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</si>
  <si>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</si>
  <si>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</si>
  <si>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</si>
  <si>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</si>
  <si>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</si>
  <si>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</si>
  <si>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0024S-1</t>
  </si>
  <si>
    <t>0025S-1</t>
  </si>
  <si>
    <t>0026S-1</t>
  </si>
  <si>
    <t>0027S-1</t>
  </si>
  <si>
    <t>0028S-1</t>
  </si>
  <si>
    <t>0029S-1</t>
  </si>
  <si>
    <t>0030S-1</t>
  </si>
  <si>
    <t>0031S-1</t>
  </si>
  <si>
    <t>0032S-1</t>
  </si>
  <si>
    <t>0033S-1</t>
  </si>
  <si>
    <t>0034S-1</t>
  </si>
  <si>
    <t>0035S-1</t>
  </si>
  <si>
    <t>0036S-1</t>
  </si>
  <si>
    <t>0037S-1</t>
  </si>
  <si>
    <t>0038S-1</t>
  </si>
  <si>
    <t>0001S-2</t>
  </si>
  <si>
    <t>0001S-3</t>
  </si>
  <si>
    <t>CRM_217_0100</t>
  </si>
  <si>
    <t>0003C-1</t>
  </si>
  <si>
    <t>0003C-2</t>
  </si>
  <si>
    <t>0003C-3</t>
  </si>
  <si>
    <t>0004S-1</t>
  </si>
  <si>
    <t>The Salinity was wrong in the system, it should be 33.1</t>
  </si>
  <si>
    <t>El punto estaba movido. el real es 2261.44</t>
  </si>
  <si>
    <t>0039S-1</t>
  </si>
  <si>
    <t>0040S-1</t>
  </si>
  <si>
    <t>0001S-4</t>
  </si>
  <si>
    <t>0002C-1</t>
  </si>
  <si>
    <t>0002C-2</t>
  </si>
  <si>
    <t>0002C-3</t>
  </si>
  <si>
    <t>Very little CRM available; switched to standard CRM_217_0430</t>
  </si>
  <si>
    <t>No valid</t>
  </si>
  <si>
    <t>4/1/2025 13.12:21 AM</t>
  </si>
  <si>
    <t>CPHR</t>
  </si>
  <si>
    <t>0001S-5</t>
  </si>
  <si>
    <t>0005C-1</t>
  </si>
  <si>
    <t>0005C-2</t>
  </si>
  <si>
    <t>0005C-3</t>
  </si>
  <si>
    <t>0005C-4</t>
  </si>
  <si>
    <t>0006C-1</t>
  </si>
  <si>
    <t>0006C-2</t>
  </si>
  <si>
    <t>0006C-3</t>
  </si>
  <si>
    <t>0006C-4</t>
  </si>
  <si>
    <t>0007C-1</t>
  </si>
  <si>
    <t>0007C-2</t>
  </si>
  <si>
    <t>0007C-3</t>
  </si>
  <si>
    <t>0007C-4</t>
  </si>
  <si>
    <t>0018S-3</t>
  </si>
  <si>
    <t>NaN</t>
  </si>
  <si>
    <t>No valid, It should be repeated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</si>
  <si>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</si>
  <si>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</si>
  <si>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</si>
  <si>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</si>
  <si>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</si>
  <si>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</si>
  <si>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</si>
  <si>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</si>
  <si>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</si>
  <si>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</si>
  <si>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</si>
  <si>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</si>
  <si>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</si>
  <si>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</si>
  <si>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</si>
  <si>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</si>
  <si>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</si>
  <si>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</si>
  <si>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&lt;0.000</t>
  </si>
  <si>
    <t>Baseline</t>
  </si>
  <si>
    <t>BASL</t>
  </si>
  <si>
    <t>&lt;0.003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</si>
  <si>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</si>
  <si>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</si>
  <si>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</si>
  <si>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</si>
  <si>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</si>
  <si>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</si>
  <si>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</si>
  <si>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</si>
  <si>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</si>
  <si>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87 spiked</t>
  </si>
  <si>
    <t>35 spiked</t>
  </si>
  <si>
    <t>End</t>
  </si>
  <si>
    <t>END</t>
  </si>
  <si>
    <t>&lt;0.002</t>
  </si>
  <si>
    <t>&lt;0.006</t>
  </si>
  <si>
    <t>594 spiked</t>
  </si>
  <si>
    <t>321 spiked</t>
  </si>
  <si>
    <t>12/29/1899 11:57:06 PM</t>
  </si>
  <si>
    <t>&lt;0.001</t>
  </si>
  <si>
    <t>12/29/1899 11:54:13 PM</t>
  </si>
  <si>
    <t>12/29/1899 11:58:33 PM</t>
  </si>
  <si>
    <t>NA</t>
  </si>
  <si>
    <t>Two 295 labels, one was 217, both had -0.001 NOx, the first had 0.006 oPO4 and the second had 0.009 oPO4 (see original report), assign 217 to first, 295 to second to fill in -0.001 NOx for both and NA for oPO4 because oPO4 is unknown either 0.006 or 0.009</t>
  </si>
  <si>
    <t>269 spiked</t>
  </si>
  <si>
    <t>178 spiked</t>
  </si>
  <si>
    <t>451 spiked</t>
  </si>
  <si>
    <t>TKN_mg/L</t>
  </si>
  <si>
    <t>TKN_LOD</t>
  </si>
  <si>
    <t>&lt;0.08</t>
  </si>
  <si>
    <t>Blank Spike</t>
  </si>
  <si>
    <t>CRM [1.5 mg/L]</t>
  </si>
  <si>
    <t>10 spiked</t>
  </si>
  <si>
    <t>Incorrectly entered as 566 on SEAL autoanalyzer</t>
  </si>
  <si>
    <t>153 spiked</t>
  </si>
  <si>
    <t>75 spiked</t>
  </si>
  <si>
    <t>NULLCALB</t>
  </si>
  <si>
    <t>&lt;0.06</t>
  </si>
  <si>
    <t>348 spiked</t>
  </si>
  <si>
    <t>296 spiked</t>
  </si>
  <si>
    <t>&lt;0.23</t>
  </si>
  <si>
    <t>725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</si>
</sst>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m&quot;/&quot;d&quot;/&quot;yy"/>
    <numFmt numFmtId="165" formatCode="00000"/>
    <numFmt numFmtId="166" formatCode="#,##0.0"/>
    <numFmt numFmtId="167" formatCode="m/d/yy"/>
    <numFmt numFmtId="168" formatCode="0.0"/>
    <numFmt numFmtId="169" formatCode="#,##0.0000"/>
    <numFmt numFmtId="170" formatCode="00000.0"/>
    <numFmt numFmtId="171" formatCode="00000.00"/>
    <numFmt numFmtId="172" formatCode="0.0000"/>
    <numFmt numFmtId="173" formatCode="0.000"/>
    <numFmt numFmtId="174" formatCode="#,##0.000"/>
    <numFmt numFmtId="175" formatCode="m/d/yyyy\ h:mm"/>
    <numFmt numFmtId="176" formatCode="m/d/yy\ h:mm"/>
    <numFmt numFmtId="177" formatCode="m/d/yyyy\ h:mm:ss"/>
    <numFmt numFmtId="178" formatCode="0.000000"/>
    <numFmt numFmtId="179" formatCode="m/d/yyyy\ h:mm:ss\ AM/PM"/>
  </numFmts>
  <fonts count="22" x14ac:knownFonts="1">
    <font>
      <sz val="12"/>
      <color theme="1"/>
      <name val="Calibri"/>
      <scheme val="minor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2"/>
      <name val="Calibri"/>
    </font>
    <font>
      <sz val="11"/>
      <color rgb="FF00000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9"/>
      <color rgb="FF4285F4"/>
      <name val="Calibri"/>
    </font>
    <font>
      <sz val="11"/>
      <color theme="1"/>
      <name val="Calibri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Calibri"/>
      <scheme val="minor"/>
    </font>
    <font>
      <sz val="10"/>
      <color rgb="FF1F1F1F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9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166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167" fontId="3" fillId="0" borderId="2" xfId="0" applyNumberFormat="1" applyFont="1" applyBorder="1" applyAlignment="1">
      <alignment horizontal="center" vertical="center" wrapText="1"/>
    </xf>
    <xf numFmtId="19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wrapText="1"/>
    </xf>
    <xf numFmtId="0" fontId="7" fillId="2" borderId="5" xfId="0" applyFont="1" applyFill="1" applyBorder="1"/>
    <xf numFmtId="19" fontId="3" fillId="2" borderId="0" xfId="0" applyNumberFormat="1" applyFont="1" applyFill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9" fontId="3" fillId="2" borderId="2" xfId="0" applyNumberFormat="1" applyFont="1" applyFill="1" applyBorder="1" applyAlignment="1">
      <alignment horizontal="center"/>
    </xf>
    <xf numFmtId="19" fontId="3" fillId="2" borderId="6" xfId="0" applyNumberFormat="1" applyFont="1" applyFill="1" applyBorder="1" applyAlignment="1">
      <alignment horizontal="center" wrapText="1"/>
    </xf>
    <xf numFmtId="19" fontId="3" fillId="0" borderId="0" xfId="0" applyNumberFormat="1" applyFont="1" applyAlignment="1">
      <alignment horizontal="center"/>
    </xf>
    <xf numFmtId="19" fontId="3" fillId="0" borderId="2" xfId="0" applyNumberFormat="1" applyFont="1" applyBorder="1" applyAlignment="1">
      <alignment horizontal="center"/>
    </xf>
    <xf numFmtId="0" fontId="7" fillId="2" borderId="7" xfId="0" applyFont="1" applyFill="1" applyBorder="1"/>
    <xf numFmtId="19" fontId="3" fillId="2" borderId="2" xfId="0" applyNumberFormat="1" applyFont="1" applyFill="1" applyBorder="1" applyAlignment="1">
      <alignment horizontal="center" wrapText="1"/>
    </xf>
    <xf numFmtId="0" fontId="7" fillId="2" borderId="0" xfId="0" applyFont="1" applyFill="1"/>
    <xf numFmtId="0" fontId="7" fillId="0" borderId="0" xfId="0" applyFont="1"/>
    <xf numFmtId="165" fontId="3" fillId="2" borderId="2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19" fontId="6" fillId="2" borderId="2" xfId="0" applyNumberFormat="1" applyFont="1" applyFill="1" applyBorder="1" applyAlignment="1">
      <alignment horizontal="center"/>
    </xf>
    <xf numFmtId="19" fontId="6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19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 vertical="center" wrapText="1"/>
    </xf>
    <xf numFmtId="19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vertical="center" wrapText="1"/>
    </xf>
    <xf numFmtId="165" fontId="7" fillId="0" borderId="0" xfId="0" applyNumberFormat="1" applyFont="1" applyAlignment="1">
      <alignment wrapText="1"/>
    </xf>
    <xf numFmtId="0" fontId="6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9" fontId="3" fillId="0" borderId="0" xfId="0" applyNumberFormat="1" applyFont="1" applyAlignment="1">
      <alignment horizontal="center" vertical="center"/>
    </xf>
    <xf numFmtId="19" fontId="3" fillId="0" borderId="2" xfId="0" applyNumberFormat="1" applyFont="1" applyBorder="1" applyAlignment="1">
      <alignment horizontal="center" vertical="center"/>
    </xf>
    <xf numFmtId="165" fontId="3" fillId="2" borderId="2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19" fontId="8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vertical="center" wrapText="1"/>
    </xf>
    <xf numFmtId="19" fontId="3" fillId="2" borderId="2" xfId="0" applyNumberFormat="1" applyFont="1" applyFill="1" applyBorder="1" applyAlignment="1">
      <alignment horizontal="center" vertical="center"/>
    </xf>
    <xf numFmtId="19" fontId="3" fillId="0" borderId="2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wrapText="1"/>
    </xf>
    <xf numFmtId="19" fontId="7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0" fontId="1" fillId="2" borderId="8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69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168" fontId="3" fillId="0" borderId="2" xfId="0" applyNumberFormat="1" applyFont="1" applyBorder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170" fontId="7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171" fontId="7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169" fontId="3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4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165" fontId="3" fillId="0" borderId="9" xfId="0" applyNumberFormat="1" applyFont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" fontId="3" fillId="0" borderId="2" xfId="0" applyNumberFormat="1" applyFont="1" applyBorder="1" applyAlignment="1">
      <alignment horizontal="center"/>
    </xf>
    <xf numFmtId="172" fontId="6" fillId="2" borderId="0" xfId="0" applyNumberFormat="1" applyFont="1" applyFill="1" applyAlignment="1">
      <alignment horizontal="center"/>
    </xf>
    <xf numFmtId="19" fontId="3" fillId="0" borderId="6" xfId="0" applyNumberFormat="1" applyFont="1" applyBorder="1" applyAlignment="1">
      <alignment horizontal="center" vertical="center" wrapText="1"/>
    </xf>
    <xf numFmtId="172" fontId="3" fillId="0" borderId="2" xfId="0" applyNumberFormat="1" applyFont="1" applyBorder="1" applyAlignment="1">
      <alignment horizontal="center"/>
    </xf>
    <xf numFmtId="19" fontId="6" fillId="3" borderId="2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172" fontId="3" fillId="0" borderId="2" xfId="0" applyNumberFormat="1" applyFont="1" applyBorder="1" applyAlignment="1">
      <alignment horizontal="center" vertical="center" wrapText="1"/>
    </xf>
    <xf numFmtId="19" fontId="3" fillId="3" borderId="2" xfId="0" applyNumberFormat="1" applyFont="1" applyFill="1" applyBorder="1" applyAlignment="1">
      <alignment horizontal="center" vertical="center" wrapText="1"/>
    </xf>
    <xf numFmtId="172" fontId="6" fillId="2" borderId="2" xfId="0" applyNumberFormat="1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72" fontId="6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 wrapText="1"/>
    </xf>
    <xf numFmtId="19" fontId="6" fillId="0" borderId="2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9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9" fontId="11" fillId="0" borderId="2" xfId="0" applyNumberFormat="1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center" vertical="center" wrapText="1"/>
    </xf>
    <xf numFmtId="4" fontId="11" fillId="0" borderId="9" xfId="0" applyNumberFormat="1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2" borderId="6" xfId="0" applyNumberFormat="1" applyFont="1" applyFill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65" fontId="13" fillId="0" borderId="0" xfId="0" applyNumberFormat="1" applyFont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9" fontId="13" fillId="0" borderId="2" xfId="0" applyNumberFormat="1" applyFont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4" fontId="13" fillId="0" borderId="9" xfId="0" applyNumberFormat="1" applyFont="1" applyBorder="1" applyAlignment="1">
      <alignment horizontal="center" vertical="center" wrapText="1"/>
    </xf>
    <xf numFmtId="4" fontId="14" fillId="0" borderId="2" xfId="0" applyNumberFormat="1" applyFont="1" applyBorder="1" applyAlignment="1">
      <alignment horizontal="center" vertical="center" wrapText="1"/>
    </xf>
    <xf numFmtId="165" fontId="13" fillId="0" borderId="9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 wrapText="1"/>
    </xf>
    <xf numFmtId="19" fontId="13" fillId="4" borderId="2" xfId="0" applyNumberFormat="1" applyFont="1" applyFill="1" applyBorder="1" applyAlignment="1">
      <alignment horizontal="center" vertical="center" wrapText="1"/>
    </xf>
    <xf numFmtId="4" fontId="13" fillId="4" borderId="2" xfId="0" applyNumberFormat="1" applyFont="1" applyFill="1" applyBorder="1" applyAlignment="1">
      <alignment horizontal="center" vertical="center" wrapText="1"/>
    </xf>
    <xf numFmtId="4" fontId="13" fillId="4" borderId="9" xfId="0" applyNumberFormat="1" applyFont="1" applyFill="1" applyBorder="1" applyAlignment="1">
      <alignment horizontal="center" vertical="center" wrapText="1"/>
    </xf>
    <xf numFmtId="4" fontId="14" fillId="4" borderId="2" xfId="0" applyNumberFormat="1" applyFont="1" applyFill="1" applyBorder="1" applyAlignment="1">
      <alignment horizontal="center" vertical="center"/>
    </xf>
    <xf numFmtId="4" fontId="14" fillId="0" borderId="2" xfId="0" applyNumberFormat="1" applyFont="1" applyBorder="1" applyAlignment="1">
      <alignment horizontal="center" vertical="center"/>
    </xf>
    <xf numFmtId="4" fontId="14" fillId="2" borderId="2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left" vertical="center" wrapText="1"/>
    </xf>
    <xf numFmtId="19" fontId="13" fillId="0" borderId="0" xfId="0" applyNumberFormat="1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4" fontId="13" fillId="2" borderId="2" xfId="0" applyNumberFormat="1" applyFont="1" applyFill="1" applyBorder="1" applyAlignment="1">
      <alignment horizontal="center" vertical="center" wrapText="1"/>
    </xf>
    <xf numFmtId="19" fontId="13" fillId="2" borderId="2" xfId="0" applyNumberFormat="1" applyFont="1" applyFill="1" applyBorder="1" applyAlignment="1">
      <alignment horizontal="center" vertical="center" wrapText="1"/>
    </xf>
    <xf numFmtId="4" fontId="13" fillId="2" borderId="9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4" fontId="13" fillId="0" borderId="2" xfId="0" applyNumberFormat="1" applyFont="1" applyBorder="1" applyAlignment="1">
      <alignment horizontal="center" vertical="center" wrapText="1"/>
    </xf>
    <xf numFmtId="19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167" fontId="13" fillId="0" borderId="2" xfId="0" applyNumberFormat="1" applyFont="1" applyBorder="1" applyAlignment="1">
      <alignment horizontal="center" vertical="center"/>
    </xf>
    <xf numFmtId="4" fontId="14" fillId="2" borderId="2" xfId="0" applyNumberFormat="1" applyFont="1" applyFill="1" applyBorder="1" applyAlignment="1">
      <alignment horizontal="center" vertical="center" wrapText="1"/>
    </xf>
    <xf numFmtId="4" fontId="14" fillId="4" borderId="4" xfId="0" applyNumberFormat="1" applyFont="1" applyFill="1" applyBorder="1" applyAlignment="1">
      <alignment horizontal="center" vertical="center" wrapText="1"/>
    </xf>
    <xf numFmtId="4" fontId="14" fillId="0" borderId="4" xfId="0" applyNumberFormat="1" applyFont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" fontId="14" fillId="2" borderId="4" xfId="0" applyNumberFormat="1" applyFont="1" applyFill="1" applyBorder="1" applyAlignment="1">
      <alignment horizontal="center" vertical="center" wrapText="1"/>
    </xf>
    <xf numFmtId="19" fontId="13" fillId="2" borderId="2" xfId="0" applyNumberFormat="1" applyFont="1" applyFill="1" applyBorder="1" applyAlignment="1">
      <alignment horizontal="center" vertical="center"/>
    </xf>
    <xf numFmtId="165" fontId="13" fillId="2" borderId="2" xfId="0" applyNumberFormat="1" applyFont="1" applyFill="1" applyBorder="1" applyAlignment="1">
      <alignment horizontal="left" vertical="center" wrapText="1"/>
    </xf>
    <xf numFmtId="19" fontId="15" fillId="0" borderId="0" xfId="0" applyNumberFormat="1" applyFont="1" applyAlignment="1">
      <alignment horizontal="center" vertical="center"/>
    </xf>
    <xf numFmtId="4" fontId="13" fillId="2" borderId="2" xfId="0" applyNumberFormat="1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left" vertical="center" wrapText="1"/>
    </xf>
    <xf numFmtId="0" fontId="7" fillId="2" borderId="10" xfId="0" applyFont="1" applyFill="1" applyBorder="1"/>
    <xf numFmtId="0" fontId="13" fillId="2" borderId="0" xfId="0" applyFont="1" applyFill="1" applyAlignment="1">
      <alignment horizontal="center"/>
    </xf>
    <xf numFmtId="167" fontId="13" fillId="2" borderId="2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4" fontId="13" fillId="2" borderId="0" xfId="0" applyNumberFormat="1" applyFont="1" applyFill="1" applyAlignment="1">
      <alignment horizontal="center" vertical="center" wrapText="1"/>
    </xf>
    <xf numFmtId="19" fontId="13" fillId="2" borderId="0" xfId="0" applyNumberFormat="1" applyFont="1" applyFill="1" applyAlignment="1">
      <alignment horizontal="center" vertical="center" wrapText="1"/>
    </xf>
    <xf numFmtId="4" fontId="14" fillId="2" borderId="0" xfId="0" applyNumberFormat="1" applyFont="1" applyFill="1" applyAlignment="1">
      <alignment horizontal="center" vertical="center" wrapText="1"/>
    </xf>
    <xf numFmtId="165" fontId="13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19" fontId="13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164" fontId="13" fillId="0" borderId="0" xfId="0" applyNumberFormat="1" applyFont="1" applyAlignment="1">
      <alignment horizontal="center" vertical="center" wrapText="1"/>
    </xf>
    <xf numFmtId="19" fontId="13" fillId="2" borderId="5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 wrapText="1"/>
    </xf>
    <xf numFmtId="4" fontId="13" fillId="2" borderId="5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19" fontId="17" fillId="0" borderId="2" xfId="0" applyNumberFormat="1" applyFont="1" applyBorder="1" applyAlignment="1">
      <alignment horizontal="center" vertical="center" wrapText="1"/>
    </xf>
    <xf numFmtId="4" fontId="17" fillId="0" borderId="2" xfId="0" applyNumberFormat="1" applyFont="1" applyBorder="1" applyAlignment="1">
      <alignment horizontal="center" vertical="center" wrapText="1"/>
    </xf>
    <xf numFmtId="173" fontId="17" fillId="0" borderId="2" xfId="0" applyNumberFormat="1" applyFont="1" applyBorder="1" applyAlignment="1">
      <alignment horizontal="center" vertical="center" wrapText="1"/>
    </xf>
    <xf numFmtId="174" fontId="17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173" fontId="6" fillId="0" borderId="2" xfId="0" applyNumberFormat="1" applyFont="1" applyBorder="1" applyAlignment="1">
      <alignment horizontal="center" vertical="center" wrapText="1"/>
    </xf>
    <xf numFmtId="174" fontId="6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3" fillId="2" borderId="2" xfId="0" applyNumberFormat="1" applyFont="1" applyFill="1" applyBorder="1" applyAlignment="1">
      <alignment horizontal="center" vertical="center" wrapText="1"/>
    </xf>
    <xf numFmtId="19" fontId="3" fillId="2" borderId="6" xfId="0" applyNumberFormat="1" applyFont="1" applyFill="1" applyBorder="1" applyAlignment="1">
      <alignment horizontal="center" vertical="center" wrapText="1"/>
    </xf>
    <xf numFmtId="4" fontId="3" fillId="2" borderId="6" xfId="0" applyNumberFormat="1" applyFont="1" applyFill="1" applyBorder="1" applyAlignment="1">
      <alignment horizontal="center" vertical="center" wrapText="1"/>
    </xf>
    <xf numFmtId="167" fontId="3" fillId="2" borderId="6" xfId="0" applyNumberFormat="1" applyFont="1" applyFill="1" applyBorder="1" applyAlignment="1">
      <alignment horizontal="center" vertical="center" wrapText="1"/>
    </xf>
    <xf numFmtId="173" fontId="6" fillId="2" borderId="2" xfId="0" applyNumberFormat="1" applyFont="1" applyFill="1" applyBorder="1" applyAlignment="1">
      <alignment horizontal="center" vertical="center"/>
    </xf>
    <xf numFmtId="174" fontId="6" fillId="2" borderId="2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/>
    </xf>
    <xf numFmtId="17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73" fontId="6" fillId="2" borderId="2" xfId="0" applyNumberFormat="1" applyFont="1" applyFill="1" applyBorder="1" applyAlignment="1">
      <alignment horizontal="center" vertical="center" wrapText="1"/>
    </xf>
    <xf numFmtId="174" fontId="6" fillId="2" borderId="2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9" fontId="6" fillId="0" borderId="2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173" fontId="6" fillId="0" borderId="2" xfId="0" applyNumberFormat="1" applyFont="1" applyBorder="1" applyAlignment="1">
      <alignment horizontal="center" vertical="center"/>
    </xf>
    <xf numFmtId="174" fontId="6" fillId="0" borderId="2" xfId="0" applyNumberFormat="1" applyFont="1" applyBorder="1" applyAlignment="1">
      <alignment horizontal="center" vertical="center"/>
    </xf>
    <xf numFmtId="174" fontId="3" fillId="0" borderId="2" xfId="0" applyNumberFormat="1" applyFont="1" applyBorder="1" applyAlignment="1">
      <alignment horizontal="center"/>
    </xf>
    <xf numFmtId="19" fontId="3" fillId="0" borderId="6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173" fontId="3" fillId="0" borderId="2" xfId="0" applyNumberFormat="1" applyFont="1" applyBorder="1" applyAlignment="1">
      <alignment horizontal="center" vertical="center"/>
    </xf>
    <xf numFmtId="17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74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9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74" fontId="7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9" fontId="18" fillId="0" borderId="2" xfId="0" applyNumberFormat="1" applyFont="1" applyBorder="1" applyAlignment="1">
      <alignment horizontal="center" vertical="center"/>
    </xf>
    <xf numFmtId="4" fontId="18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0" fontId="19" fillId="0" borderId="0" xfId="0" applyFont="1"/>
    <xf numFmtId="0" fontId="6" fillId="0" borderId="2" xfId="0" applyFont="1" applyBorder="1"/>
    <xf numFmtId="19" fontId="3" fillId="0" borderId="1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9" fontId="4" fillId="0" borderId="0" xfId="0" applyNumberFormat="1" applyFont="1"/>
    <xf numFmtId="4" fontId="7" fillId="0" borderId="0" xfId="0" applyNumberFormat="1" applyFont="1"/>
    <xf numFmtId="0" fontId="13" fillId="0" borderId="0" xfId="0" applyFont="1"/>
    <xf numFmtId="0" fontId="7" fillId="0" borderId="2" xfId="0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/>
    <xf numFmtId="4" fontId="7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2" fontId="6" fillId="0" borderId="2" xfId="0" applyNumberFormat="1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22" fontId="6" fillId="4" borderId="2" xfId="0" applyNumberFormat="1" applyFont="1" applyFill="1" applyBorder="1" applyAlignment="1">
      <alignment horizontal="center"/>
    </xf>
    <xf numFmtId="4" fontId="6" fillId="4" borderId="2" xfId="0" applyNumberFormat="1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175" fontId="6" fillId="0" borderId="2" xfId="0" applyNumberFormat="1" applyFont="1" applyBorder="1" applyAlignment="1">
      <alignment horizontal="center"/>
    </xf>
    <xf numFmtId="175" fontId="6" fillId="4" borderId="2" xfId="0" applyNumberFormat="1" applyFont="1" applyFill="1" applyBorder="1" applyAlignment="1">
      <alignment horizontal="center"/>
    </xf>
    <xf numFmtId="176" fontId="6" fillId="0" borderId="2" xfId="0" applyNumberFormat="1" applyFont="1" applyBorder="1" applyAlignment="1">
      <alignment horizontal="center"/>
    </xf>
    <xf numFmtId="22" fontId="6" fillId="2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22" fontId="6" fillId="6" borderId="2" xfId="0" applyNumberFormat="1" applyFont="1" applyFill="1" applyBorder="1" applyAlignment="1">
      <alignment horizontal="center"/>
    </xf>
    <xf numFmtId="4" fontId="6" fillId="6" borderId="2" xfId="0" applyNumberFormat="1" applyFont="1" applyFill="1" applyBorder="1" applyAlignment="1">
      <alignment horizontal="center"/>
    </xf>
    <xf numFmtId="1" fontId="6" fillId="6" borderId="2" xfId="0" applyNumberFormat="1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177" fontId="6" fillId="0" borderId="2" xfId="0" applyNumberFormat="1" applyFont="1" applyBorder="1" applyAlignment="1">
      <alignment horizontal="center"/>
    </xf>
    <xf numFmtId="177" fontId="6" fillId="6" borderId="2" xfId="0" applyNumberFormat="1" applyFont="1" applyFill="1" applyBorder="1" applyAlignment="1">
      <alignment horizontal="center"/>
    </xf>
    <xf numFmtId="177" fontId="6" fillId="4" borderId="2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 wrapText="1"/>
    </xf>
    <xf numFmtId="176" fontId="6" fillId="4" borderId="2" xfId="0" applyNumberFormat="1" applyFont="1" applyFill="1" applyBorder="1" applyAlignment="1">
      <alignment horizontal="center"/>
    </xf>
    <xf numFmtId="0" fontId="13" fillId="6" borderId="0" xfId="0" applyFont="1" applyFill="1" applyAlignment="1">
      <alignment vertical="center"/>
    </xf>
    <xf numFmtId="0" fontId="6" fillId="2" borderId="4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22" fontId="6" fillId="2" borderId="12" xfId="0" applyNumberFormat="1" applyFont="1" applyFill="1" applyBorder="1" applyAlignment="1">
      <alignment horizontal="center"/>
    </xf>
    <xf numFmtId="4" fontId="6" fillId="2" borderId="12" xfId="0" applyNumberFormat="1" applyFont="1" applyFill="1" applyBorder="1" applyAlignment="1">
      <alignment horizontal="center"/>
    </xf>
    <xf numFmtId="1" fontId="6" fillId="2" borderId="12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22" fontId="14" fillId="2" borderId="0" xfId="0" applyNumberFormat="1" applyFont="1" applyFill="1" applyAlignment="1">
      <alignment horizontal="center"/>
    </xf>
    <xf numFmtId="4" fontId="14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68" fontId="17" fillId="0" borderId="2" xfId="0" applyNumberFormat="1" applyFont="1" applyBorder="1" applyAlignment="1">
      <alignment horizontal="center" vertical="center" wrapText="1"/>
    </xf>
    <xf numFmtId="172" fontId="17" fillId="0" borderId="2" xfId="0" applyNumberFormat="1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 wrapText="1"/>
    </xf>
    <xf numFmtId="172" fontId="19" fillId="2" borderId="0" xfId="0" applyNumberFormat="1" applyFont="1" applyFill="1" applyAlignment="1">
      <alignment horizontal="center" wrapText="1"/>
    </xf>
    <xf numFmtId="172" fontId="6" fillId="2" borderId="0" xfId="0" applyNumberFormat="1" applyFont="1" applyFill="1" applyAlignment="1">
      <alignment horizontal="center" wrapText="1"/>
    </xf>
    <xf numFmtId="0" fontId="19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19" fillId="2" borderId="0" xfId="0" applyFont="1" applyFill="1"/>
    <xf numFmtId="10" fontId="6" fillId="0" borderId="2" xfId="0" applyNumberFormat="1" applyFont="1" applyBorder="1" applyAlignment="1">
      <alignment horizontal="center"/>
    </xf>
    <xf numFmtId="168" fontId="6" fillId="4" borderId="2" xfId="0" applyNumberFormat="1" applyFont="1" applyFill="1" applyBorder="1" applyAlignment="1">
      <alignment horizontal="center"/>
    </xf>
    <xf numFmtId="1" fontId="19" fillId="2" borderId="0" xfId="0" applyNumberFormat="1" applyFont="1" applyFill="1" applyAlignment="1">
      <alignment horizontal="center" vertical="center"/>
    </xf>
    <xf numFmtId="168" fontId="6" fillId="7" borderId="2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left"/>
    </xf>
    <xf numFmtId="172" fontId="6" fillId="4" borderId="2" xfId="0" applyNumberFormat="1" applyFont="1" applyFill="1" applyBorder="1" applyAlignment="1">
      <alignment horizontal="center"/>
    </xf>
    <xf numFmtId="178" fontId="6" fillId="0" borderId="2" xfId="0" applyNumberFormat="1" applyFont="1" applyBorder="1" applyAlignment="1">
      <alignment horizontal="center"/>
    </xf>
    <xf numFmtId="1" fontId="7" fillId="2" borderId="0" xfId="0" applyNumberFormat="1" applyFont="1" applyFill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1" fontId="7" fillId="4" borderId="2" xfId="0" applyNumberFormat="1" applyFont="1" applyFill="1" applyBorder="1" applyAlignment="1">
      <alignment horizontal="center" vertical="center" wrapText="1"/>
    </xf>
    <xf numFmtId="168" fontId="7" fillId="2" borderId="0" xfId="0" applyNumberFormat="1" applyFont="1" applyFill="1" applyAlignment="1">
      <alignment horizontal="center" vertical="center" wrapText="1"/>
    </xf>
    <xf numFmtId="172" fontId="7" fillId="2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3" fontId="21" fillId="0" borderId="0" xfId="0" applyNumberFormat="1" applyFont="1"/>
    <xf numFmtId="0" fontId="21" fillId="0" borderId="0" xfId="0" applyFont="1"/>
    <xf numFmtId="173" fontId="21" fillId="0" borderId="0" xfId="0" applyNumberFormat="1" applyFont="1"/>
    <xf numFmtId="0" fontId="4" fillId="0" borderId="0" xfId="0" applyFont="1"/>
    <xf numFmtId="0" fontId="21" fillId="0" borderId="0" xfId="0" applyFont="1" applyAlignment="1">
      <alignment horizontal="right"/>
    </xf>
    <xf numFmtId="179" fontId="21" fillId="0" borderId="0" xfId="0" applyNumberFormat="1" applyFont="1" applyAlignment="1">
      <alignment horizontal="right"/>
    </xf>
    <xf numFmtId="3" fontId="21" fillId="0" borderId="0" xfId="0" applyNumberFormat="1" applyFont="1" applyAlignment="1">
      <alignment horizontal="right"/>
    </xf>
    <xf numFmtId="173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3" fontId="7" fillId="0" borderId="0" xfId="0" applyNumberFormat="1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16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4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8.75" customWidth="1"/>
    <col min="2" max="3" width="10.75" customWidth="1"/>
    <col min="4" max="4" width="10.125" customWidth="1"/>
    <col min="5" max="5" width="10.25" customWidth="1"/>
    <col min="6" max="6" width="8.5" customWidth="1"/>
    <col min="7" max="7" width="8.875" customWidth="1"/>
    <col min="8" max="8" width="10.25" customWidth="1"/>
    <col min="9" max="9" width="9.375" customWidth="1"/>
    <col min="10" max="10" width="6.875" customWidth="1"/>
    <col min="11" max="11" width="7.375" customWidth="1"/>
    <col min="12" max="12" width="7.75" customWidth="1"/>
    <col min="13" max="13" width="10.75" customWidth="1"/>
    <col min="14" max="14" width="9.875" customWidth="1"/>
    <col min="15" max="15" width="9.5" customWidth="1"/>
    <col min="16" max="16" width="25.125" customWidth="1"/>
    <col min="17" max="31" width="10.5" customWidth="1"/>
  </cols>
  <sheetData>
    <row r="1" spans="1:17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6" t="s">
        <v>12</v>
      </c>
      <c r="N1" s="5" t="s">
        <v>13</v>
      </c>
      <c r="O1" s="5" t="s">
        <v>14</v>
      </c>
      <c r="P1" s="7" t="s">
        <v>15</v>
      </c>
    </row>
    <row r="2" spans="1:17" ht="15.75" customHeight="1" x14ac:dyDescent="0.25">
      <c r="A2" s="8" t="s">
        <v>16</v>
      </c>
      <c r="B2" s="9">
        <v>45009</v>
      </c>
      <c r="C2" s="10" t="s">
        <v>17</v>
      </c>
      <c r="D2" s="9">
        <v>45427</v>
      </c>
      <c r="E2" s="10">
        <v>0.50694444444444442</v>
      </c>
      <c r="F2" s="11">
        <v>41</v>
      </c>
      <c r="G2" s="9">
        <v>45428</v>
      </c>
      <c r="H2" s="10">
        <v>0.64583333333333337</v>
      </c>
      <c r="I2" s="12">
        <v>41</v>
      </c>
      <c r="J2" s="13">
        <v>0</v>
      </c>
      <c r="K2" s="13">
        <v>0</v>
      </c>
      <c r="L2" s="11" t="s">
        <v>18</v>
      </c>
      <c r="M2" s="14" t="str">
        <f t="shared" ref="M2:M3" si="0">IF(L2="&lt; 1","&lt; 10",IF(L2="&gt; 2419.6","&gt; 24196",L2*10))</f>
        <v>&lt; 10</v>
      </c>
      <c r="N2" s="15" t="s">
        <v>19</v>
      </c>
      <c r="O2" s="15" t="s">
        <v>20</v>
      </c>
      <c r="P2" s="345" t="s">
        <v>21</v>
      </c>
      <c r="Q2" s="16"/>
    </row>
    <row r="3" spans="1:17" ht="15.75" customHeight="1" x14ac:dyDescent="0.25">
      <c r="A3" s="8" t="s">
        <v>22</v>
      </c>
      <c r="B3" s="9">
        <v>45010</v>
      </c>
      <c r="C3" s="10" t="s">
        <v>17</v>
      </c>
      <c r="D3" s="9">
        <v>45427</v>
      </c>
      <c r="E3" s="10">
        <v>0.50763888888888886</v>
      </c>
      <c r="F3" s="11">
        <v>41</v>
      </c>
      <c r="G3" s="9">
        <v>45428</v>
      </c>
      <c r="H3" s="10">
        <v>0.64583333333333337</v>
      </c>
      <c r="I3" s="12">
        <v>41</v>
      </c>
      <c r="J3" s="13">
        <v>0</v>
      </c>
      <c r="K3" s="13">
        <v>0</v>
      </c>
      <c r="L3" s="11" t="s">
        <v>18</v>
      </c>
      <c r="M3" s="14" t="str">
        <f t="shared" si="0"/>
        <v>&lt; 10</v>
      </c>
      <c r="N3" s="15" t="s">
        <v>19</v>
      </c>
      <c r="O3" s="15" t="s">
        <v>20</v>
      </c>
      <c r="P3" s="346"/>
      <c r="Q3" s="16"/>
    </row>
    <row r="4" spans="1:17" ht="15.75" customHeight="1" x14ac:dyDescent="0.25">
      <c r="A4" s="8" t="s">
        <v>23</v>
      </c>
      <c r="B4" s="9">
        <v>45011</v>
      </c>
      <c r="C4" s="10" t="s">
        <v>17</v>
      </c>
      <c r="D4" s="9">
        <v>45427</v>
      </c>
      <c r="E4" s="10">
        <v>0.59236111111111112</v>
      </c>
      <c r="F4" s="11">
        <v>41</v>
      </c>
      <c r="G4" s="9">
        <v>45428</v>
      </c>
      <c r="H4" s="10">
        <v>0.64583333333333337</v>
      </c>
      <c r="I4" s="12">
        <v>41</v>
      </c>
      <c r="J4" s="13">
        <v>46</v>
      </c>
      <c r="K4" s="13">
        <v>48</v>
      </c>
      <c r="L4" s="11">
        <v>533.5</v>
      </c>
      <c r="M4" s="14">
        <f>L4*10</f>
        <v>5335</v>
      </c>
      <c r="N4" s="15" t="s">
        <v>19</v>
      </c>
      <c r="O4" s="15" t="s">
        <v>20</v>
      </c>
      <c r="P4" s="346"/>
      <c r="Q4" s="16"/>
    </row>
    <row r="5" spans="1:17" ht="15.75" customHeight="1" x14ac:dyDescent="0.25">
      <c r="A5" s="17" t="s">
        <v>24</v>
      </c>
      <c r="B5" s="9">
        <v>45011</v>
      </c>
      <c r="C5" s="10" t="s">
        <v>17</v>
      </c>
      <c r="D5" s="9">
        <v>45427</v>
      </c>
      <c r="E5" s="10">
        <v>0.50555555555555554</v>
      </c>
      <c r="F5" s="11">
        <v>41</v>
      </c>
      <c r="G5" s="9">
        <v>45428</v>
      </c>
      <c r="H5" s="10">
        <v>0.64583333333333337</v>
      </c>
      <c r="I5" s="12">
        <v>41</v>
      </c>
      <c r="J5" s="13">
        <v>0</v>
      </c>
      <c r="K5" s="13">
        <v>0</v>
      </c>
      <c r="L5" s="11" t="s">
        <v>18</v>
      </c>
      <c r="M5" s="14" t="str">
        <f t="shared" ref="M5:M48" si="1">IF(L5="&lt; 1","&lt; 10",IF(L5="&gt; 2419.6","&gt; 24196",L5*10))</f>
        <v>&lt; 10</v>
      </c>
      <c r="N5" s="15" t="s">
        <v>19</v>
      </c>
      <c r="O5" s="15" t="s">
        <v>20</v>
      </c>
      <c r="P5" s="347"/>
      <c r="Q5" s="16"/>
    </row>
    <row r="6" spans="1:17" ht="15.75" customHeight="1" x14ac:dyDescent="0.25">
      <c r="A6" s="18" t="s">
        <v>25</v>
      </c>
      <c r="B6" s="19">
        <v>45708</v>
      </c>
      <c r="C6" s="20">
        <v>0.35486111111111113</v>
      </c>
      <c r="D6" s="19">
        <v>45708</v>
      </c>
      <c r="E6" s="10">
        <v>0.56527777777777777</v>
      </c>
      <c r="F6" s="11">
        <v>41</v>
      </c>
      <c r="G6" s="21">
        <v>45709</v>
      </c>
      <c r="H6" s="10">
        <v>0.56527777777777777</v>
      </c>
      <c r="I6" s="11">
        <v>41</v>
      </c>
      <c r="J6" s="13">
        <v>0</v>
      </c>
      <c r="K6" s="13">
        <v>0</v>
      </c>
      <c r="L6" s="11" t="s">
        <v>18</v>
      </c>
      <c r="M6" s="14" t="str">
        <f t="shared" si="1"/>
        <v>&lt; 10</v>
      </c>
      <c r="N6" s="15" t="s">
        <v>19</v>
      </c>
      <c r="O6" s="15" t="s">
        <v>26</v>
      </c>
      <c r="P6" s="15"/>
      <c r="Q6" s="16"/>
    </row>
    <row r="7" spans="1:17" ht="15.75" customHeight="1" x14ac:dyDescent="0.25">
      <c r="A7" s="18" t="s">
        <v>27</v>
      </c>
      <c r="B7" s="19">
        <v>45708</v>
      </c>
      <c r="C7" s="20">
        <v>0.3659722222222222</v>
      </c>
      <c r="D7" s="19">
        <v>45708</v>
      </c>
      <c r="E7" s="10">
        <v>0.57430555555555551</v>
      </c>
      <c r="F7" s="11">
        <v>41</v>
      </c>
      <c r="G7" s="21">
        <v>45709</v>
      </c>
      <c r="H7" s="10">
        <v>0.57430555555555551</v>
      </c>
      <c r="I7" s="11">
        <v>41</v>
      </c>
      <c r="J7" s="13">
        <v>0</v>
      </c>
      <c r="K7" s="13">
        <v>0</v>
      </c>
      <c r="L7" s="11" t="s">
        <v>18</v>
      </c>
      <c r="M7" s="14" t="str">
        <f t="shared" si="1"/>
        <v>&lt; 10</v>
      </c>
      <c r="N7" s="15" t="s">
        <v>19</v>
      </c>
      <c r="O7" s="15" t="s">
        <v>26</v>
      </c>
      <c r="P7" s="15"/>
      <c r="Q7" s="16"/>
    </row>
    <row r="8" spans="1:17" ht="15.75" customHeight="1" x14ac:dyDescent="0.25">
      <c r="A8" s="18" t="s">
        <v>28</v>
      </c>
      <c r="B8" s="19">
        <v>45708</v>
      </c>
      <c r="C8" s="20">
        <v>0.44444444444444442</v>
      </c>
      <c r="D8" s="19">
        <v>45708</v>
      </c>
      <c r="E8" s="10">
        <v>0.7055555555555556</v>
      </c>
      <c r="F8" s="11">
        <v>41</v>
      </c>
      <c r="G8" s="21">
        <v>45709</v>
      </c>
      <c r="H8" s="10">
        <v>0.7055555555555556</v>
      </c>
      <c r="I8" s="11">
        <v>41</v>
      </c>
      <c r="J8" s="13">
        <v>0</v>
      </c>
      <c r="K8" s="13">
        <v>0</v>
      </c>
      <c r="L8" s="11" t="s">
        <v>18</v>
      </c>
      <c r="M8" s="14" t="str">
        <f t="shared" si="1"/>
        <v>&lt; 10</v>
      </c>
      <c r="N8" s="15" t="s">
        <v>19</v>
      </c>
      <c r="O8" s="15" t="s">
        <v>20</v>
      </c>
      <c r="P8" s="15"/>
      <c r="Q8" s="16"/>
    </row>
    <row r="9" spans="1:17" ht="15.75" customHeight="1" x14ac:dyDescent="0.25">
      <c r="A9" s="18" t="s">
        <v>29</v>
      </c>
      <c r="B9" s="19">
        <v>45708</v>
      </c>
      <c r="C9" s="20">
        <v>0.4548611111111111</v>
      </c>
      <c r="D9" s="19">
        <v>45708</v>
      </c>
      <c r="E9" s="10">
        <v>0.71111111111111114</v>
      </c>
      <c r="F9" s="11">
        <v>41</v>
      </c>
      <c r="G9" s="21">
        <v>45709</v>
      </c>
      <c r="H9" s="10">
        <v>0.71111111111111114</v>
      </c>
      <c r="I9" s="11">
        <v>41</v>
      </c>
      <c r="J9" s="13">
        <v>0</v>
      </c>
      <c r="K9" s="13">
        <v>0</v>
      </c>
      <c r="L9" s="11" t="s">
        <v>18</v>
      </c>
      <c r="M9" s="14" t="str">
        <f t="shared" si="1"/>
        <v>&lt; 10</v>
      </c>
      <c r="N9" s="15" t="s">
        <v>19</v>
      </c>
      <c r="O9" s="15" t="s">
        <v>20</v>
      </c>
      <c r="P9" s="15"/>
      <c r="Q9" s="16"/>
    </row>
    <row r="10" spans="1:17" ht="15.75" customHeight="1" x14ac:dyDescent="0.25">
      <c r="A10" s="18" t="s">
        <v>30</v>
      </c>
      <c r="B10" s="21">
        <v>45709</v>
      </c>
      <c r="C10" s="20">
        <v>0.33402777777777776</v>
      </c>
      <c r="D10" s="21">
        <v>45709</v>
      </c>
      <c r="E10" s="10">
        <v>0.58263888888888893</v>
      </c>
      <c r="F10" s="11">
        <v>41</v>
      </c>
      <c r="G10" s="21">
        <v>45710</v>
      </c>
      <c r="H10" s="10">
        <v>0.58263888888888893</v>
      </c>
      <c r="I10" s="11">
        <v>41</v>
      </c>
      <c r="J10" s="13">
        <v>0</v>
      </c>
      <c r="K10" s="13">
        <v>0</v>
      </c>
      <c r="L10" s="11" t="s">
        <v>18</v>
      </c>
      <c r="M10" s="14" t="str">
        <f t="shared" si="1"/>
        <v>&lt; 10</v>
      </c>
      <c r="N10" s="15" t="s">
        <v>19</v>
      </c>
      <c r="O10" s="15" t="s">
        <v>31</v>
      </c>
      <c r="P10" s="15"/>
      <c r="Q10" s="16"/>
    </row>
    <row r="11" spans="1:17" ht="16.5" customHeight="1" x14ac:dyDescent="0.25">
      <c r="A11" s="18" t="s">
        <v>32</v>
      </c>
      <c r="B11" s="21">
        <v>45709</v>
      </c>
      <c r="C11" s="20">
        <v>0.35416666666666669</v>
      </c>
      <c r="D11" s="21">
        <v>45709</v>
      </c>
      <c r="E11" s="10">
        <v>0.5854166666666667</v>
      </c>
      <c r="F11" s="11">
        <v>41</v>
      </c>
      <c r="G11" s="21">
        <v>45710</v>
      </c>
      <c r="H11" s="10">
        <v>0.5854166666666667</v>
      </c>
      <c r="I11" s="11">
        <v>41</v>
      </c>
      <c r="J11" s="13">
        <v>0</v>
      </c>
      <c r="K11" s="13">
        <v>0</v>
      </c>
      <c r="L11" s="11" t="s">
        <v>18</v>
      </c>
      <c r="M11" s="14" t="str">
        <f t="shared" si="1"/>
        <v>&lt; 10</v>
      </c>
      <c r="N11" s="15" t="s">
        <v>19</v>
      </c>
      <c r="O11" s="15" t="s">
        <v>31</v>
      </c>
      <c r="P11" s="15"/>
      <c r="Q11" s="16"/>
    </row>
    <row r="12" spans="1:17" ht="15.75" customHeight="1" x14ac:dyDescent="0.25">
      <c r="A12" s="18" t="s">
        <v>33</v>
      </c>
      <c r="B12" s="21">
        <v>45709</v>
      </c>
      <c r="C12" s="20">
        <v>0.37361111111111112</v>
      </c>
      <c r="D12" s="21">
        <v>45709</v>
      </c>
      <c r="E12" s="10">
        <v>0.59097222222222223</v>
      </c>
      <c r="F12" s="11">
        <v>41</v>
      </c>
      <c r="G12" s="21">
        <v>45710</v>
      </c>
      <c r="H12" s="10">
        <v>0.59097222222222223</v>
      </c>
      <c r="I12" s="11">
        <v>41</v>
      </c>
      <c r="J12" s="13">
        <v>0</v>
      </c>
      <c r="K12" s="13">
        <v>0</v>
      </c>
      <c r="L12" s="11" t="s">
        <v>18</v>
      </c>
      <c r="M12" s="14" t="str">
        <f t="shared" si="1"/>
        <v>&lt; 10</v>
      </c>
      <c r="N12" s="15" t="s">
        <v>19</v>
      </c>
      <c r="O12" s="15" t="s">
        <v>31</v>
      </c>
      <c r="P12" s="15"/>
      <c r="Q12" s="16"/>
    </row>
    <row r="13" spans="1:17" ht="15.75" customHeight="1" x14ac:dyDescent="0.25">
      <c r="A13" s="18" t="s">
        <v>34</v>
      </c>
      <c r="B13" s="21">
        <v>45709</v>
      </c>
      <c r="C13" s="20">
        <v>0.4201388888888889</v>
      </c>
      <c r="D13" s="21">
        <v>45709</v>
      </c>
      <c r="E13" s="10">
        <v>0.59375</v>
      </c>
      <c r="F13" s="11">
        <v>41</v>
      </c>
      <c r="G13" s="21">
        <v>45710</v>
      </c>
      <c r="H13" s="10">
        <v>0.59375</v>
      </c>
      <c r="I13" s="11">
        <v>41</v>
      </c>
      <c r="J13" s="13">
        <v>0</v>
      </c>
      <c r="K13" s="13">
        <v>0</v>
      </c>
      <c r="L13" s="11" t="s">
        <v>18</v>
      </c>
      <c r="M13" s="14" t="str">
        <f t="shared" si="1"/>
        <v>&lt; 10</v>
      </c>
      <c r="N13" s="15" t="s">
        <v>19</v>
      </c>
      <c r="O13" s="15" t="s">
        <v>31</v>
      </c>
      <c r="P13" s="15"/>
      <c r="Q13" s="16"/>
    </row>
    <row r="14" spans="1:17" ht="15.75" customHeight="1" x14ac:dyDescent="0.25">
      <c r="A14" s="18" t="s">
        <v>35</v>
      </c>
      <c r="B14" s="21">
        <v>45709</v>
      </c>
      <c r="C14" s="20">
        <v>0.43680555555555556</v>
      </c>
      <c r="D14" s="21">
        <v>45709</v>
      </c>
      <c r="E14" s="10">
        <v>0.59513888888888888</v>
      </c>
      <c r="F14" s="11">
        <v>41</v>
      </c>
      <c r="G14" s="21">
        <v>45710</v>
      </c>
      <c r="H14" s="10">
        <v>0.59513888888888888</v>
      </c>
      <c r="I14" s="11">
        <v>41</v>
      </c>
      <c r="J14" s="13">
        <v>0</v>
      </c>
      <c r="K14" s="13">
        <v>0</v>
      </c>
      <c r="L14" s="11" t="s">
        <v>18</v>
      </c>
      <c r="M14" s="14" t="str">
        <f t="shared" si="1"/>
        <v>&lt; 10</v>
      </c>
      <c r="N14" s="15" t="s">
        <v>19</v>
      </c>
      <c r="O14" s="15" t="s">
        <v>31</v>
      </c>
      <c r="P14" s="15"/>
      <c r="Q14" s="16"/>
    </row>
    <row r="15" spans="1:17" ht="15.75" customHeight="1" x14ac:dyDescent="0.25">
      <c r="A15" s="18" t="s">
        <v>36</v>
      </c>
      <c r="B15" s="21">
        <v>45709</v>
      </c>
      <c r="C15" s="20">
        <v>0.44930555555555557</v>
      </c>
      <c r="D15" s="21">
        <v>45709</v>
      </c>
      <c r="E15" s="10">
        <v>0.59722222222222221</v>
      </c>
      <c r="F15" s="11">
        <v>41</v>
      </c>
      <c r="G15" s="21">
        <v>45710</v>
      </c>
      <c r="H15" s="10">
        <v>0.59722222222222221</v>
      </c>
      <c r="I15" s="11">
        <v>41</v>
      </c>
      <c r="J15" s="13">
        <v>0</v>
      </c>
      <c r="K15" s="13">
        <v>0</v>
      </c>
      <c r="L15" s="11" t="s">
        <v>18</v>
      </c>
      <c r="M15" s="14" t="str">
        <f t="shared" si="1"/>
        <v>&lt; 10</v>
      </c>
      <c r="N15" s="15" t="s">
        <v>19</v>
      </c>
      <c r="O15" s="15" t="s">
        <v>31</v>
      </c>
      <c r="P15" s="15"/>
      <c r="Q15" s="16"/>
    </row>
    <row r="16" spans="1:17" ht="15.75" customHeight="1" x14ac:dyDescent="0.25">
      <c r="A16" s="18" t="s">
        <v>37</v>
      </c>
      <c r="B16" s="21">
        <v>45709</v>
      </c>
      <c r="C16" s="20">
        <v>0.47986111111111113</v>
      </c>
      <c r="D16" s="21">
        <v>45709</v>
      </c>
      <c r="E16" s="10">
        <v>0.59930555555555554</v>
      </c>
      <c r="F16" s="11">
        <v>41</v>
      </c>
      <c r="G16" s="21">
        <v>45710</v>
      </c>
      <c r="H16" s="10">
        <v>0.59930555555555554</v>
      </c>
      <c r="I16" s="11">
        <v>41</v>
      </c>
      <c r="J16" s="13">
        <v>0</v>
      </c>
      <c r="K16" s="13">
        <v>0</v>
      </c>
      <c r="L16" s="11" t="s">
        <v>18</v>
      </c>
      <c r="M16" s="14" t="str">
        <f t="shared" si="1"/>
        <v>&lt; 10</v>
      </c>
      <c r="N16" s="15" t="s">
        <v>19</v>
      </c>
      <c r="O16" s="15" t="s">
        <v>31</v>
      </c>
      <c r="P16" s="15"/>
      <c r="Q16" s="16"/>
    </row>
    <row r="17" spans="1:31" ht="15.75" customHeight="1" x14ac:dyDescent="0.25">
      <c r="A17" s="18" t="s">
        <v>38</v>
      </c>
      <c r="B17" s="21">
        <v>45709</v>
      </c>
      <c r="C17" s="20">
        <v>0.49305555555555558</v>
      </c>
      <c r="D17" s="21">
        <v>45709</v>
      </c>
      <c r="E17" s="10">
        <v>0.60069444444444442</v>
      </c>
      <c r="F17" s="11">
        <v>41</v>
      </c>
      <c r="G17" s="21">
        <v>45710</v>
      </c>
      <c r="H17" s="10">
        <v>0.60069444444444442</v>
      </c>
      <c r="I17" s="11">
        <v>41</v>
      </c>
      <c r="J17" s="13">
        <v>0</v>
      </c>
      <c r="K17" s="13">
        <v>0</v>
      </c>
      <c r="L17" s="11" t="s">
        <v>18</v>
      </c>
      <c r="M17" s="14" t="str">
        <f t="shared" si="1"/>
        <v>&lt; 10</v>
      </c>
      <c r="N17" s="15" t="s">
        <v>19</v>
      </c>
      <c r="O17" s="15" t="s">
        <v>31</v>
      </c>
      <c r="P17" s="15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5.75" customHeight="1" x14ac:dyDescent="0.25">
      <c r="A18" s="18" t="s">
        <v>39</v>
      </c>
      <c r="B18" s="19">
        <v>45719</v>
      </c>
      <c r="C18" s="20">
        <v>0.37777777777777777</v>
      </c>
      <c r="D18" s="19">
        <v>45719</v>
      </c>
      <c r="E18" s="10">
        <v>0.58680555555555558</v>
      </c>
      <c r="F18" s="11">
        <v>41</v>
      </c>
      <c r="G18" s="19">
        <v>45720</v>
      </c>
      <c r="H18" s="10">
        <v>0.58680555555555558</v>
      </c>
      <c r="I18" s="11">
        <v>41</v>
      </c>
      <c r="J18" s="13">
        <v>0</v>
      </c>
      <c r="K18" s="13">
        <v>0</v>
      </c>
      <c r="L18" s="11" t="s">
        <v>18</v>
      </c>
      <c r="M18" s="14" t="str">
        <f t="shared" si="1"/>
        <v>&lt; 10</v>
      </c>
      <c r="N18" s="15" t="s">
        <v>19</v>
      </c>
      <c r="O18" s="15" t="s">
        <v>40</v>
      </c>
      <c r="P18" s="15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5.75" customHeight="1" x14ac:dyDescent="0.25">
      <c r="A19" s="18" t="s">
        <v>41</v>
      </c>
      <c r="B19" s="19">
        <v>45719</v>
      </c>
      <c r="C19" s="20">
        <v>0.4375</v>
      </c>
      <c r="D19" s="19">
        <v>45719</v>
      </c>
      <c r="E19" s="10">
        <v>0.59722222222222221</v>
      </c>
      <c r="F19" s="11">
        <v>41</v>
      </c>
      <c r="G19" s="19">
        <v>45720</v>
      </c>
      <c r="H19" s="10">
        <v>0.59722222222222221</v>
      </c>
      <c r="I19" s="11">
        <v>41</v>
      </c>
      <c r="J19" s="13">
        <v>0</v>
      </c>
      <c r="K19" s="13">
        <v>0</v>
      </c>
      <c r="L19" s="11" t="s">
        <v>18</v>
      </c>
      <c r="M19" s="14" t="str">
        <f t="shared" si="1"/>
        <v>&lt; 10</v>
      </c>
      <c r="N19" s="15" t="s">
        <v>19</v>
      </c>
      <c r="O19" s="15" t="s">
        <v>40</v>
      </c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15.75" customHeight="1" x14ac:dyDescent="0.25">
      <c r="A20" s="18" t="s">
        <v>42</v>
      </c>
      <c r="B20" s="19">
        <v>45719</v>
      </c>
      <c r="C20" s="20">
        <v>0.47430555555555554</v>
      </c>
      <c r="D20" s="19">
        <v>45719</v>
      </c>
      <c r="E20" s="10">
        <v>0.6</v>
      </c>
      <c r="F20" s="11">
        <v>41</v>
      </c>
      <c r="G20" s="19">
        <v>45720</v>
      </c>
      <c r="H20" s="10">
        <v>0.6</v>
      </c>
      <c r="I20" s="11">
        <v>41</v>
      </c>
      <c r="J20" s="13">
        <v>0</v>
      </c>
      <c r="K20" s="13">
        <v>0</v>
      </c>
      <c r="L20" s="11" t="s">
        <v>18</v>
      </c>
      <c r="M20" s="14" t="str">
        <f t="shared" si="1"/>
        <v>&lt; 10</v>
      </c>
      <c r="N20" s="15" t="s">
        <v>19</v>
      </c>
      <c r="O20" s="15" t="s">
        <v>40</v>
      </c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15.75" customHeight="1" x14ac:dyDescent="0.25">
      <c r="A21" s="18" t="s">
        <v>43</v>
      </c>
      <c r="B21" s="19">
        <v>45719</v>
      </c>
      <c r="C21" s="20">
        <v>0.52638888888888891</v>
      </c>
      <c r="D21" s="19">
        <v>45719</v>
      </c>
      <c r="E21" s="10">
        <v>0.59861111111111109</v>
      </c>
      <c r="F21" s="11">
        <v>41</v>
      </c>
      <c r="G21" s="19">
        <v>45720</v>
      </c>
      <c r="H21" s="10">
        <v>0.59861111111111109</v>
      </c>
      <c r="I21" s="11">
        <v>41</v>
      </c>
      <c r="J21" s="13">
        <v>0</v>
      </c>
      <c r="K21" s="13">
        <v>0</v>
      </c>
      <c r="L21" s="11" t="s">
        <v>18</v>
      </c>
      <c r="M21" s="14" t="str">
        <f t="shared" si="1"/>
        <v>&lt; 10</v>
      </c>
      <c r="N21" s="15" t="s">
        <v>19</v>
      </c>
      <c r="O21" s="15" t="s">
        <v>40</v>
      </c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5.75" customHeight="1" x14ac:dyDescent="0.25">
      <c r="A22" s="18" t="s">
        <v>44</v>
      </c>
      <c r="B22" s="19">
        <v>45720</v>
      </c>
      <c r="C22" s="23">
        <v>0.3527777777777778</v>
      </c>
      <c r="D22" s="19">
        <v>45720</v>
      </c>
      <c r="E22" s="10">
        <v>0.57986111111111116</v>
      </c>
      <c r="F22" s="11">
        <v>41</v>
      </c>
      <c r="G22" s="24">
        <v>45721</v>
      </c>
      <c r="H22" s="10">
        <v>0.57986111111111116</v>
      </c>
      <c r="I22" s="11">
        <v>41</v>
      </c>
      <c r="J22" s="13">
        <v>0</v>
      </c>
      <c r="K22" s="13">
        <v>0</v>
      </c>
      <c r="L22" s="11" t="s">
        <v>18</v>
      </c>
      <c r="M22" s="14" t="str">
        <f t="shared" si="1"/>
        <v>&lt; 10</v>
      </c>
      <c r="N22" s="15" t="s">
        <v>19</v>
      </c>
      <c r="O22" s="15" t="s">
        <v>45</v>
      </c>
      <c r="P22" s="15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5.75" customHeight="1" x14ac:dyDescent="0.25">
      <c r="A23" s="18" t="s">
        <v>46</v>
      </c>
      <c r="B23" s="19">
        <v>45720</v>
      </c>
      <c r="C23" s="25">
        <v>0.375</v>
      </c>
      <c r="D23" s="19">
        <v>45720</v>
      </c>
      <c r="E23" s="10">
        <v>0.57777777777777772</v>
      </c>
      <c r="F23" s="11">
        <v>41</v>
      </c>
      <c r="G23" s="24">
        <v>45721</v>
      </c>
      <c r="H23" s="10">
        <v>0.57777777777777772</v>
      </c>
      <c r="I23" s="11">
        <v>41</v>
      </c>
      <c r="J23" s="13">
        <v>1</v>
      </c>
      <c r="K23" s="13">
        <v>0</v>
      </c>
      <c r="L23" s="11">
        <v>1</v>
      </c>
      <c r="M23" s="14">
        <f t="shared" si="1"/>
        <v>10</v>
      </c>
      <c r="N23" s="15" t="s">
        <v>19</v>
      </c>
      <c r="O23" s="15" t="s">
        <v>45</v>
      </c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ht="15.75" customHeight="1" x14ac:dyDescent="0.25">
      <c r="A24" s="18" t="s">
        <v>47</v>
      </c>
      <c r="B24" s="19">
        <v>45720</v>
      </c>
      <c r="C24" s="25">
        <v>0.40277777777777779</v>
      </c>
      <c r="D24" s="19">
        <v>45720</v>
      </c>
      <c r="E24" s="10">
        <v>0.58333333333333337</v>
      </c>
      <c r="F24" s="11">
        <v>41</v>
      </c>
      <c r="G24" s="24">
        <v>45721</v>
      </c>
      <c r="H24" s="10">
        <v>0.58333333333333337</v>
      </c>
      <c r="I24" s="11">
        <v>41</v>
      </c>
      <c r="J24" s="13">
        <v>0</v>
      </c>
      <c r="K24" s="13">
        <v>0</v>
      </c>
      <c r="L24" s="11" t="s">
        <v>18</v>
      </c>
      <c r="M24" s="14" t="str">
        <f t="shared" si="1"/>
        <v>&lt; 10</v>
      </c>
      <c r="N24" s="15" t="s">
        <v>19</v>
      </c>
      <c r="O24" s="15" t="s">
        <v>45</v>
      </c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15.75" customHeight="1" x14ac:dyDescent="0.25">
      <c r="A25" s="18" t="s">
        <v>48</v>
      </c>
      <c r="B25" s="19">
        <v>45720</v>
      </c>
      <c r="C25" s="10">
        <v>0.45833333333333331</v>
      </c>
      <c r="D25" s="19">
        <v>45720</v>
      </c>
      <c r="E25" s="26">
        <v>0.58472222222222225</v>
      </c>
      <c r="F25" s="11">
        <v>41</v>
      </c>
      <c r="G25" s="24">
        <v>45721</v>
      </c>
      <c r="H25" s="26">
        <v>0.58472222222222225</v>
      </c>
      <c r="I25" s="11">
        <v>41</v>
      </c>
      <c r="J25" s="13">
        <v>0</v>
      </c>
      <c r="K25" s="13">
        <v>0</v>
      </c>
      <c r="L25" s="11" t="s">
        <v>18</v>
      </c>
      <c r="M25" s="14" t="str">
        <f t="shared" si="1"/>
        <v>&lt; 10</v>
      </c>
      <c r="N25" s="15" t="s">
        <v>19</v>
      </c>
      <c r="O25" s="15" t="s">
        <v>45</v>
      </c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15.75" customHeight="1" x14ac:dyDescent="0.25">
      <c r="A26" s="18" t="s">
        <v>49</v>
      </c>
      <c r="B26" s="19">
        <v>45720</v>
      </c>
      <c r="C26" s="20">
        <v>0.48402777777777778</v>
      </c>
      <c r="D26" s="19">
        <v>45720</v>
      </c>
      <c r="E26" s="26">
        <v>0.5854166666666667</v>
      </c>
      <c r="F26" s="11">
        <v>41</v>
      </c>
      <c r="G26" s="24">
        <v>45721</v>
      </c>
      <c r="H26" s="26">
        <v>0.5854166666666667</v>
      </c>
      <c r="I26" s="11">
        <v>41</v>
      </c>
      <c r="J26" s="13">
        <v>0</v>
      </c>
      <c r="K26" s="13">
        <v>0</v>
      </c>
      <c r="L26" s="11" t="s">
        <v>18</v>
      </c>
      <c r="M26" s="14" t="str">
        <f t="shared" si="1"/>
        <v>&lt; 10</v>
      </c>
      <c r="N26" s="15" t="s">
        <v>19</v>
      </c>
      <c r="O26" s="15" t="s">
        <v>45</v>
      </c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15.75" customHeight="1" x14ac:dyDescent="0.25">
      <c r="A27" s="18" t="s">
        <v>50</v>
      </c>
      <c r="B27" s="19">
        <v>45720</v>
      </c>
      <c r="C27" s="27">
        <v>0.50902777777777775</v>
      </c>
      <c r="D27" s="19">
        <v>45720</v>
      </c>
      <c r="E27" s="26">
        <v>0.58680555555555558</v>
      </c>
      <c r="F27" s="11">
        <v>41</v>
      </c>
      <c r="G27" s="24">
        <v>45721</v>
      </c>
      <c r="H27" s="26">
        <v>0.58680555555555558</v>
      </c>
      <c r="I27" s="11">
        <v>41</v>
      </c>
      <c r="J27" s="13">
        <v>0</v>
      </c>
      <c r="K27" s="13">
        <v>0</v>
      </c>
      <c r="L27" s="11" t="s">
        <v>18</v>
      </c>
      <c r="M27" s="14" t="str">
        <f t="shared" si="1"/>
        <v>&lt; 10</v>
      </c>
      <c r="N27" s="15" t="s">
        <v>19</v>
      </c>
      <c r="O27" s="15" t="s">
        <v>45</v>
      </c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ht="15.75" customHeight="1" x14ac:dyDescent="0.25">
      <c r="A28" s="18" t="s">
        <v>51</v>
      </c>
      <c r="B28" s="19">
        <v>45722</v>
      </c>
      <c r="C28" s="20">
        <v>0.33263888888888887</v>
      </c>
      <c r="D28" s="19">
        <v>45722</v>
      </c>
      <c r="E28" s="26">
        <v>0.55486111111111114</v>
      </c>
      <c r="F28" s="11">
        <v>41</v>
      </c>
      <c r="G28" s="9">
        <v>45723</v>
      </c>
      <c r="H28" s="26">
        <v>0.55486111111111114</v>
      </c>
      <c r="I28" s="11">
        <v>41</v>
      </c>
      <c r="J28" s="13">
        <v>0</v>
      </c>
      <c r="K28" s="13">
        <v>0</v>
      </c>
      <c r="L28" s="11" t="s">
        <v>18</v>
      </c>
      <c r="M28" s="14" t="str">
        <f t="shared" si="1"/>
        <v>&lt; 10</v>
      </c>
      <c r="N28" s="15" t="s">
        <v>19</v>
      </c>
      <c r="O28" s="15" t="s">
        <v>52</v>
      </c>
      <c r="P28" s="15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15.75" customHeight="1" x14ac:dyDescent="0.25">
      <c r="A29" s="18" t="s">
        <v>53</v>
      </c>
      <c r="B29" s="19">
        <v>45722</v>
      </c>
      <c r="C29" s="28">
        <v>0.35833333333333334</v>
      </c>
      <c r="D29" s="19">
        <v>45722</v>
      </c>
      <c r="E29" s="26">
        <v>0.55972222222222223</v>
      </c>
      <c r="F29" s="11">
        <v>41</v>
      </c>
      <c r="G29" s="9">
        <v>45723</v>
      </c>
      <c r="H29" s="26">
        <v>0.55972222222222223</v>
      </c>
      <c r="I29" s="11">
        <v>41</v>
      </c>
      <c r="J29" s="13">
        <v>0</v>
      </c>
      <c r="K29" s="13">
        <v>0</v>
      </c>
      <c r="L29" s="11" t="s">
        <v>18</v>
      </c>
      <c r="M29" s="14" t="str">
        <f t="shared" si="1"/>
        <v>&lt; 10</v>
      </c>
      <c r="N29" s="15" t="s">
        <v>19</v>
      </c>
      <c r="O29" s="15" t="s">
        <v>52</v>
      </c>
      <c r="P29" s="15"/>
      <c r="Q29" s="29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 x14ac:dyDescent="0.25">
      <c r="A30" s="18" t="s">
        <v>54</v>
      </c>
      <c r="B30" s="19">
        <v>45722</v>
      </c>
      <c r="C30" s="28">
        <v>0.40625</v>
      </c>
      <c r="D30" s="19">
        <v>45722</v>
      </c>
      <c r="E30" s="26">
        <v>0.56319444444444444</v>
      </c>
      <c r="F30" s="11">
        <v>41</v>
      </c>
      <c r="G30" s="9">
        <v>45723</v>
      </c>
      <c r="H30" s="26">
        <v>0.56319444444444444</v>
      </c>
      <c r="I30" s="11">
        <v>41</v>
      </c>
      <c r="J30" s="13">
        <v>0</v>
      </c>
      <c r="K30" s="13">
        <v>0</v>
      </c>
      <c r="L30" s="11" t="s">
        <v>18</v>
      </c>
      <c r="M30" s="14" t="str">
        <f t="shared" si="1"/>
        <v>&lt; 10</v>
      </c>
      <c r="N30" s="15" t="s">
        <v>19</v>
      </c>
      <c r="O30" s="15" t="s">
        <v>52</v>
      </c>
      <c r="P30" s="15"/>
      <c r="Q30" s="29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 x14ac:dyDescent="0.25">
      <c r="A31" s="18" t="s">
        <v>55</v>
      </c>
      <c r="B31" s="19">
        <v>45722</v>
      </c>
      <c r="C31" s="30">
        <v>0.43125000000000002</v>
      </c>
      <c r="D31" s="19">
        <v>45722</v>
      </c>
      <c r="E31" s="25">
        <v>0.56597222222222221</v>
      </c>
      <c r="F31" s="11">
        <v>41</v>
      </c>
      <c r="G31" s="9">
        <v>45723</v>
      </c>
      <c r="H31" s="25">
        <v>0.56597222222222221</v>
      </c>
      <c r="I31" s="11">
        <v>41</v>
      </c>
      <c r="J31" s="13">
        <v>0</v>
      </c>
      <c r="K31" s="13">
        <v>0</v>
      </c>
      <c r="L31" s="11" t="s">
        <v>18</v>
      </c>
      <c r="M31" s="14" t="str">
        <f t="shared" si="1"/>
        <v>&lt; 10</v>
      </c>
      <c r="N31" s="15" t="s">
        <v>19</v>
      </c>
      <c r="O31" s="15" t="s">
        <v>52</v>
      </c>
      <c r="P31" s="15"/>
      <c r="Q31" s="29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 x14ac:dyDescent="0.25">
      <c r="A32" s="18" t="s">
        <v>56</v>
      </c>
      <c r="B32" s="19">
        <v>45722</v>
      </c>
      <c r="C32" s="30">
        <v>0.47013888888888888</v>
      </c>
      <c r="D32" s="19">
        <v>45722</v>
      </c>
      <c r="E32" s="25">
        <v>0.56805555555555554</v>
      </c>
      <c r="F32" s="11">
        <v>41</v>
      </c>
      <c r="G32" s="9">
        <v>45723</v>
      </c>
      <c r="H32" s="25">
        <v>0.56805555555555554</v>
      </c>
      <c r="I32" s="11">
        <v>41</v>
      </c>
      <c r="J32" s="13">
        <v>0</v>
      </c>
      <c r="K32" s="13">
        <v>0</v>
      </c>
      <c r="L32" s="11" t="s">
        <v>18</v>
      </c>
      <c r="M32" s="14" t="str">
        <f t="shared" si="1"/>
        <v>&lt; 10</v>
      </c>
      <c r="N32" s="15" t="s">
        <v>19</v>
      </c>
      <c r="O32" s="15" t="s">
        <v>52</v>
      </c>
      <c r="P32" s="15"/>
      <c r="Q32" s="31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pans="1:31" ht="15.75" customHeight="1" x14ac:dyDescent="0.25">
      <c r="A33" s="18" t="s">
        <v>57</v>
      </c>
      <c r="B33" s="19">
        <v>45722</v>
      </c>
      <c r="C33" s="30">
        <v>0.4826388888888889</v>
      </c>
      <c r="D33" s="19">
        <v>45722</v>
      </c>
      <c r="E33" s="25">
        <v>0.56944444444444442</v>
      </c>
      <c r="F33" s="11">
        <v>41</v>
      </c>
      <c r="G33" s="9">
        <v>45723</v>
      </c>
      <c r="H33" s="25">
        <v>0.56944444444444442</v>
      </c>
      <c r="I33" s="11">
        <v>41</v>
      </c>
      <c r="J33" s="13">
        <v>0</v>
      </c>
      <c r="K33" s="13">
        <v>0</v>
      </c>
      <c r="L33" s="11" t="s">
        <v>18</v>
      </c>
      <c r="M33" s="14" t="str">
        <f t="shared" si="1"/>
        <v>&lt; 10</v>
      </c>
      <c r="N33" s="15" t="s">
        <v>19</v>
      </c>
      <c r="O33" s="15" t="s">
        <v>52</v>
      </c>
      <c r="P33" s="33"/>
      <c r="Q33" s="31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1:31" ht="15.75" customHeight="1" x14ac:dyDescent="0.25">
      <c r="A34" s="34" t="s">
        <v>58</v>
      </c>
      <c r="B34" s="19">
        <v>45722</v>
      </c>
      <c r="C34" s="30">
        <v>0.49722222222222223</v>
      </c>
      <c r="D34" s="19">
        <v>45722</v>
      </c>
      <c r="E34" s="25">
        <v>0.57152777777777775</v>
      </c>
      <c r="F34" s="11">
        <v>41</v>
      </c>
      <c r="G34" s="9">
        <v>45723</v>
      </c>
      <c r="H34" s="25">
        <v>0.57152777777777775</v>
      </c>
      <c r="I34" s="11">
        <v>41</v>
      </c>
      <c r="J34" s="13">
        <v>0</v>
      </c>
      <c r="K34" s="13">
        <v>0</v>
      </c>
      <c r="L34" s="11" t="s">
        <v>18</v>
      </c>
      <c r="M34" s="14" t="str">
        <f t="shared" si="1"/>
        <v>&lt; 10</v>
      </c>
      <c r="N34" s="15" t="s">
        <v>19</v>
      </c>
      <c r="O34" s="15" t="s">
        <v>52</v>
      </c>
      <c r="P34" s="33"/>
      <c r="Q34" s="31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1:31" ht="15.75" customHeight="1" x14ac:dyDescent="0.25">
      <c r="A35" s="34" t="s">
        <v>59</v>
      </c>
      <c r="B35" s="19">
        <v>45726</v>
      </c>
      <c r="C35" s="30">
        <v>0.30902777777777779</v>
      </c>
      <c r="D35" s="19">
        <v>45726</v>
      </c>
      <c r="E35" s="25">
        <v>0.59375</v>
      </c>
      <c r="F35" s="11">
        <v>41</v>
      </c>
      <c r="G35" s="19">
        <v>45727</v>
      </c>
      <c r="H35" s="25">
        <v>0.59375</v>
      </c>
      <c r="I35" s="11">
        <v>41</v>
      </c>
      <c r="J35" s="13">
        <v>0</v>
      </c>
      <c r="K35" s="13">
        <v>0</v>
      </c>
      <c r="L35" s="11" t="s">
        <v>18</v>
      </c>
      <c r="M35" s="14" t="str">
        <f t="shared" si="1"/>
        <v>&lt; 10</v>
      </c>
      <c r="N35" s="15" t="s">
        <v>19</v>
      </c>
      <c r="O35" s="15" t="s">
        <v>20</v>
      </c>
      <c r="P35" s="33"/>
      <c r="Q35" s="31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1:31" ht="15.75" customHeight="1" x14ac:dyDescent="0.25">
      <c r="A36" s="34" t="s">
        <v>60</v>
      </c>
      <c r="B36" s="19">
        <v>45726</v>
      </c>
      <c r="C36" s="30">
        <v>0.35347222222222224</v>
      </c>
      <c r="D36" s="19">
        <v>45726</v>
      </c>
      <c r="E36" s="25">
        <v>0.59861111111111109</v>
      </c>
      <c r="F36" s="11">
        <v>41</v>
      </c>
      <c r="G36" s="19">
        <v>45727</v>
      </c>
      <c r="H36" s="25">
        <v>0.59861111111111109</v>
      </c>
      <c r="I36" s="11">
        <v>41</v>
      </c>
      <c r="J36" s="13">
        <v>0</v>
      </c>
      <c r="K36" s="13">
        <v>0</v>
      </c>
      <c r="L36" s="11" t="s">
        <v>18</v>
      </c>
      <c r="M36" s="14" t="str">
        <f t="shared" si="1"/>
        <v>&lt; 10</v>
      </c>
      <c r="N36" s="15" t="s">
        <v>19</v>
      </c>
      <c r="O36" s="15" t="s">
        <v>20</v>
      </c>
      <c r="P36" s="33"/>
      <c r="Q36" s="31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spans="1:31" ht="15.75" customHeight="1" x14ac:dyDescent="0.25">
      <c r="A37" s="34" t="s">
        <v>61</v>
      </c>
      <c r="B37" s="19">
        <v>45726</v>
      </c>
      <c r="C37" s="30">
        <v>0.38958333333333334</v>
      </c>
      <c r="D37" s="19">
        <v>45726</v>
      </c>
      <c r="E37" s="25">
        <v>0.60069444444444442</v>
      </c>
      <c r="F37" s="11">
        <v>41</v>
      </c>
      <c r="G37" s="19">
        <v>45727</v>
      </c>
      <c r="H37" s="25">
        <v>0.60069444444444442</v>
      </c>
      <c r="I37" s="11">
        <v>41</v>
      </c>
      <c r="J37" s="13">
        <v>0</v>
      </c>
      <c r="K37" s="13">
        <v>0</v>
      </c>
      <c r="L37" s="11" t="s">
        <v>18</v>
      </c>
      <c r="M37" s="14" t="str">
        <f t="shared" si="1"/>
        <v>&lt; 10</v>
      </c>
      <c r="N37" s="15" t="s">
        <v>19</v>
      </c>
      <c r="O37" s="15" t="s">
        <v>20</v>
      </c>
      <c r="P37" s="33"/>
      <c r="Q37" s="31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1" ht="15.75" customHeight="1" x14ac:dyDescent="0.25">
      <c r="A38" s="34" t="s">
        <v>62</v>
      </c>
      <c r="B38" s="19">
        <v>45726</v>
      </c>
      <c r="C38" s="30">
        <v>0.40347222222222223</v>
      </c>
      <c r="D38" s="19">
        <v>45726</v>
      </c>
      <c r="E38" s="25">
        <v>0.6020833333333333</v>
      </c>
      <c r="F38" s="11">
        <v>41</v>
      </c>
      <c r="G38" s="19">
        <v>45727</v>
      </c>
      <c r="H38" s="25">
        <v>0.6020833333333333</v>
      </c>
      <c r="I38" s="11">
        <v>41</v>
      </c>
      <c r="J38" s="13">
        <v>0</v>
      </c>
      <c r="K38" s="13">
        <v>0</v>
      </c>
      <c r="L38" s="11" t="s">
        <v>18</v>
      </c>
      <c r="M38" s="14" t="str">
        <f t="shared" si="1"/>
        <v>&lt; 10</v>
      </c>
      <c r="N38" s="15" t="s">
        <v>19</v>
      </c>
      <c r="O38" s="15" t="s">
        <v>20</v>
      </c>
      <c r="P38" s="33"/>
      <c r="Q38" s="31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1" ht="15.75" customHeight="1" x14ac:dyDescent="0.25">
      <c r="A39" s="34" t="s">
        <v>63</v>
      </c>
      <c r="B39" s="19">
        <v>45726</v>
      </c>
      <c r="C39" s="30">
        <v>0.42569444444444443</v>
      </c>
      <c r="D39" s="19">
        <v>45726</v>
      </c>
      <c r="E39" s="10">
        <v>0.60416666666666663</v>
      </c>
      <c r="F39" s="11">
        <v>41</v>
      </c>
      <c r="G39" s="19">
        <v>45727</v>
      </c>
      <c r="H39" s="10">
        <v>0.60416666666666663</v>
      </c>
      <c r="I39" s="11">
        <v>41</v>
      </c>
      <c r="J39" s="13">
        <v>0</v>
      </c>
      <c r="K39" s="13">
        <v>0</v>
      </c>
      <c r="L39" s="11" t="s">
        <v>18</v>
      </c>
      <c r="M39" s="14" t="str">
        <f t="shared" si="1"/>
        <v>&lt; 10</v>
      </c>
      <c r="N39" s="15" t="s">
        <v>19</v>
      </c>
      <c r="O39" s="15" t="s">
        <v>20</v>
      </c>
      <c r="P39" s="33"/>
      <c r="Q39" s="31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1" ht="15.75" customHeight="1" x14ac:dyDescent="0.25">
      <c r="A40" s="34" t="s">
        <v>64</v>
      </c>
      <c r="B40" s="19">
        <v>45726</v>
      </c>
      <c r="C40" s="30">
        <v>0.44444444444444442</v>
      </c>
      <c r="D40" s="19">
        <v>45726</v>
      </c>
      <c r="E40" s="10">
        <v>0.60624999999999996</v>
      </c>
      <c r="F40" s="11">
        <v>41</v>
      </c>
      <c r="G40" s="19">
        <v>45727</v>
      </c>
      <c r="H40" s="10">
        <v>0.60624999999999996</v>
      </c>
      <c r="I40" s="11">
        <v>41</v>
      </c>
      <c r="J40" s="13">
        <v>0</v>
      </c>
      <c r="K40" s="13">
        <v>0</v>
      </c>
      <c r="L40" s="11" t="s">
        <v>18</v>
      </c>
      <c r="M40" s="14" t="str">
        <f t="shared" si="1"/>
        <v>&lt; 10</v>
      </c>
      <c r="N40" s="15" t="s">
        <v>19</v>
      </c>
      <c r="O40" s="15" t="s">
        <v>20</v>
      </c>
      <c r="P40" s="33"/>
      <c r="Q40" s="31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1" ht="15.75" customHeight="1" x14ac:dyDescent="0.25">
      <c r="A41" s="34" t="s">
        <v>65</v>
      </c>
      <c r="B41" s="19">
        <v>45726</v>
      </c>
      <c r="C41" s="10">
        <v>0.45833333333333331</v>
      </c>
      <c r="D41" s="19">
        <v>45726</v>
      </c>
      <c r="E41" s="10">
        <v>0.60833333333333328</v>
      </c>
      <c r="F41" s="11">
        <v>41</v>
      </c>
      <c r="G41" s="19">
        <v>45727</v>
      </c>
      <c r="H41" s="10">
        <v>0.60833333333333328</v>
      </c>
      <c r="I41" s="11">
        <v>41</v>
      </c>
      <c r="J41" s="13">
        <v>0</v>
      </c>
      <c r="K41" s="13">
        <v>0</v>
      </c>
      <c r="L41" s="11" t="s">
        <v>18</v>
      </c>
      <c r="M41" s="14" t="str">
        <f t="shared" si="1"/>
        <v>&lt; 10</v>
      </c>
      <c r="N41" s="15" t="s">
        <v>19</v>
      </c>
      <c r="O41" s="15" t="s">
        <v>20</v>
      </c>
      <c r="P41" s="33"/>
      <c r="Q41" s="31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1" ht="15.75" customHeight="1" x14ac:dyDescent="0.25">
      <c r="A42" s="34" t="s">
        <v>66</v>
      </c>
      <c r="B42" s="19">
        <v>45726</v>
      </c>
      <c r="C42" s="10">
        <v>0.47916666666666669</v>
      </c>
      <c r="D42" s="19">
        <v>45726</v>
      </c>
      <c r="E42" s="10">
        <v>0.60972222222222228</v>
      </c>
      <c r="F42" s="11">
        <v>41</v>
      </c>
      <c r="G42" s="19">
        <v>45727</v>
      </c>
      <c r="H42" s="10">
        <v>0.60972222222222228</v>
      </c>
      <c r="I42" s="11">
        <v>41</v>
      </c>
      <c r="J42" s="13">
        <v>0</v>
      </c>
      <c r="K42" s="13">
        <v>0</v>
      </c>
      <c r="L42" s="11" t="s">
        <v>18</v>
      </c>
      <c r="M42" s="14" t="str">
        <f t="shared" si="1"/>
        <v>&lt; 10</v>
      </c>
      <c r="N42" s="15" t="s">
        <v>19</v>
      </c>
      <c r="O42" s="15" t="s">
        <v>20</v>
      </c>
      <c r="P42" s="33"/>
      <c r="Q42" s="31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spans="1:31" ht="15.75" customHeight="1" x14ac:dyDescent="0.25">
      <c r="A43" s="34" t="s">
        <v>67</v>
      </c>
      <c r="B43" s="19">
        <v>45726</v>
      </c>
      <c r="C43" s="10">
        <v>0.50694444444444442</v>
      </c>
      <c r="D43" s="19">
        <v>45726</v>
      </c>
      <c r="E43" s="10">
        <v>0.61111111111111116</v>
      </c>
      <c r="F43" s="11">
        <v>41</v>
      </c>
      <c r="G43" s="19">
        <v>45727</v>
      </c>
      <c r="H43" s="10">
        <v>0.61111111111111116</v>
      </c>
      <c r="I43" s="11">
        <v>41</v>
      </c>
      <c r="J43" s="13">
        <v>0</v>
      </c>
      <c r="K43" s="13">
        <v>0</v>
      </c>
      <c r="L43" s="11" t="s">
        <v>18</v>
      </c>
      <c r="M43" s="14" t="str">
        <f t="shared" si="1"/>
        <v>&lt; 10</v>
      </c>
      <c r="N43" s="15" t="s">
        <v>19</v>
      </c>
      <c r="O43" s="15" t="s">
        <v>20</v>
      </c>
      <c r="P43" s="33"/>
      <c r="Q43" s="31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1:31" ht="15.75" customHeight="1" x14ac:dyDescent="0.25">
      <c r="A44" s="34" t="s">
        <v>68</v>
      </c>
      <c r="B44" s="9">
        <v>45728</v>
      </c>
      <c r="C44" s="10">
        <v>0.31597222222222221</v>
      </c>
      <c r="D44" s="9">
        <v>45728</v>
      </c>
      <c r="E44" s="10">
        <v>0.48958333333333331</v>
      </c>
      <c r="F44" s="11">
        <v>41</v>
      </c>
      <c r="G44" s="9">
        <v>45729</v>
      </c>
      <c r="H44" s="10">
        <v>0.48958333333333331</v>
      </c>
      <c r="I44" s="11">
        <v>41</v>
      </c>
      <c r="J44" s="13">
        <v>0</v>
      </c>
      <c r="K44" s="13">
        <v>0</v>
      </c>
      <c r="L44" s="11" t="s">
        <v>18</v>
      </c>
      <c r="M44" s="14" t="str">
        <f t="shared" si="1"/>
        <v>&lt; 10</v>
      </c>
      <c r="N44" s="15" t="s">
        <v>19</v>
      </c>
      <c r="O44" s="15" t="s">
        <v>20</v>
      </c>
      <c r="P44" s="33"/>
      <c r="Q44" s="16"/>
    </row>
    <row r="45" spans="1:31" ht="15.75" customHeight="1" x14ac:dyDescent="0.25">
      <c r="A45" s="34" t="s">
        <v>69</v>
      </c>
      <c r="B45" s="9">
        <v>45728</v>
      </c>
      <c r="C45" s="30">
        <v>0.32777777777777778</v>
      </c>
      <c r="D45" s="9">
        <v>45728</v>
      </c>
      <c r="E45" s="10">
        <v>0.49166666666666664</v>
      </c>
      <c r="F45" s="11">
        <v>41</v>
      </c>
      <c r="G45" s="9">
        <v>45729</v>
      </c>
      <c r="H45" s="10">
        <v>0.49166666666666664</v>
      </c>
      <c r="I45" s="11">
        <v>41</v>
      </c>
      <c r="J45" s="13">
        <v>0</v>
      </c>
      <c r="K45" s="13">
        <v>0</v>
      </c>
      <c r="L45" s="11" t="s">
        <v>18</v>
      </c>
      <c r="M45" s="14" t="str">
        <f t="shared" si="1"/>
        <v>&lt; 10</v>
      </c>
      <c r="N45" s="15" t="s">
        <v>19</v>
      </c>
      <c r="O45" s="15" t="s">
        <v>20</v>
      </c>
      <c r="P45" s="33"/>
      <c r="Q45" s="16"/>
    </row>
    <row r="46" spans="1:31" ht="15.75" customHeight="1" x14ac:dyDescent="0.25">
      <c r="A46" s="34" t="s">
        <v>70</v>
      </c>
      <c r="B46" s="9">
        <v>45728</v>
      </c>
      <c r="C46" s="30">
        <v>0.35</v>
      </c>
      <c r="D46" s="9">
        <v>45728</v>
      </c>
      <c r="E46" s="10">
        <v>0.49513888888888891</v>
      </c>
      <c r="F46" s="11">
        <v>41</v>
      </c>
      <c r="G46" s="9">
        <v>45729</v>
      </c>
      <c r="H46" s="10">
        <v>0.49513888888888891</v>
      </c>
      <c r="I46" s="11">
        <v>41</v>
      </c>
      <c r="J46" s="13">
        <v>0</v>
      </c>
      <c r="K46" s="13">
        <v>0</v>
      </c>
      <c r="L46" s="11" t="s">
        <v>18</v>
      </c>
      <c r="M46" s="14" t="str">
        <f t="shared" si="1"/>
        <v>&lt; 10</v>
      </c>
      <c r="N46" s="15" t="s">
        <v>19</v>
      </c>
      <c r="O46" s="15" t="s">
        <v>20</v>
      </c>
      <c r="P46" s="33"/>
      <c r="Q46" s="16"/>
    </row>
    <row r="47" spans="1:31" ht="15.75" customHeight="1" x14ac:dyDescent="0.25">
      <c r="A47" s="8" t="s">
        <v>16</v>
      </c>
      <c r="B47" s="10" t="s">
        <v>17</v>
      </c>
      <c r="C47" s="10" t="s">
        <v>17</v>
      </c>
      <c r="D47" s="9">
        <v>45728</v>
      </c>
      <c r="E47" s="10">
        <v>0.49861111111111112</v>
      </c>
      <c r="F47" s="11">
        <v>41</v>
      </c>
      <c r="G47" s="9">
        <v>45428</v>
      </c>
      <c r="H47" s="10">
        <v>0.49861111111111112</v>
      </c>
      <c r="I47" s="11">
        <v>41</v>
      </c>
      <c r="J47" s="13">
        <v>0</v>
      </c>
      <c r="K47" s="13">
        <v>0</v>
      </c>
      <c r="L47" s="11" t="s">
        <v>18</v>
      </c>
      <c r="M47" s="14" t="str">
        <f t="shared" si="1"/>
        <v>&lt; 10</v>
      </c>
      <c r="N47" s="15" t="s">
        <v>19</v>
      </c>
      <c r="O47" s="15" t="s">
        <v>20</v>
      </c>
      <c r="P47" s="345" t="s">
        <v>71</v>
      </c>
      <c r="Q47" s="16"/>
    </row>
    <row r="48" spans="1:31" ht="15.75" customHeight="1" x14ac:dyDescent="0.25">
      <c r="A48" s="8" t="s">
        <v>22</v>
      </c>
      <c r="B48" s="10" t="s">
        <v>17</v>
      </c>
      <c r="C48" s="10" t="s">
        <v>17</v>
      </c>
      <c r="D48" s="9">
        <v>45728</v>
      </c>
      <c r="E48" s="10">
        <v>0.50208333333333333</v>
      </c>
      <c r="F48" s="11">
        <v>41</v>
      </c>
      <c r="G48" s="9">
        <v>45428</v>
      </c>
      <c r="H48" s="10">
        <v>0.50208333333333333</v>
      </c>
      <c r="I48" s="11">
        <v>41</v>
      </c>
      <c r="J48" s="13">
        <v>0</v>
      </c>
      <c r="K48" s="13">
        <v>0</v>
      </c>
      <c r="L48" s="11" t="s">
        <v>18</v>
      </c>
      <c r="M48" s="14" t="str">
        <f t="shared" si="1"/>
        <v>&lt; 10</v>
      </c>
      <c r="N48" s="15" t="s">
        <v>19</v>
      </c>
      <c r="O48" s="15" t="s">
        <v>20</v>
      </c>
      <c r="P48" s="346"/>
      <c r="Q48" s="16"/>
    </row>
    <row r="49" spans="1:17" ht="15.75" customHeight="1" x14ac:dyDescent="0.25">
      <c r="A49" s="8" t="s">
        <v>23</v>
      </c>
      <c r="B49" s="10" t="s">
        <v>17</v>
      </c>
      <c r="C49" s="10" t="s">
        <v>17</v>
      </c>
      <c r="D49" s="9">
        <v>45728</v>
      </c>
      <c r="E49" s="10">
        <v>0.50555555555555554</v>
      </c>
      <c r="F49" s="11">
        <v>41</v>
      </c>
      <c r="G49" s="9">
        <v>45428</v>
      </c>
      <c r="H49" s="10">
        <v>0.50555555555555554</v>
      </c>
      <c r="I49" s="11">
        <v>41</v>
      </c>
      <c r="J49" s="13">
        <v>47</v>
      </c>
      <c r="K49" s="13">
        <v>48</v>
      </c>
      <c r="L49" s="11">
        <v>691</v>
      </c>
      <c r="M49" s="14">
        <f>L49*10</f>
        <v>6910</v>
      </c>
      <c r="N49" s="15" t="s">
        <v>19</v>
      </c>
      <c r="O49" s="15" t="s">
        <v>20</v>
      </c>
      <c r="P49" s="346"/>
      <c r="Q49" s="16"/>
    </row>
    <row r="50" spans="1:17" ht="15.75" customHeight="1" x14ac:dyDescent="0.25">
      <c r="A50" s="17" t="s">
        <v>24</v>
      </c>
      <c r="B50" s="10" t="s">
        <v>17</v>
      </c>
      <c r="C50" s="10" t="s">
        <v>17</v>
      </c>
      <c r="D50" s="9">
        <v>45728</v>
      </c>
      <c r="E50" s="10">
        <v>0.50972222222222219</v>
      </c>
      <c r="F50" s="11">
        <v>41</v>
      </c>
      <c r="G50" s="9">
        <v>45428</v>
      </c>
      <c r="H50" s="10">
        <v>0.50972222222222219</v>
      </c>
      <c r="I50" s="11">
        <v>41</v>
      </c>
      <c r="J50" s="13">
        <v>0</v>
      </c>
      <c r="K50" s="13">
        <v>0</v>
      </c>
      <c r="L50" s="11" t="s">
        <v>18</v>
      </c>
      <c r="M50" s="14" t="str">
        <f t="shared" ref="M50:M60" si="2">IF(L50="&lt; 1","&lt; 10",IF(L50="&gt; 2419.6","&gt; 24196",L50*10))</f>
        <v>&lt; 10</v>
      </c>
      <c r="N50" s="15" t="s">
        <v>19</v>
      </c>
      <c r="O50" s="15" t="s">
        <v>20</v>
      </c>
      <c r="P50" s="347"/>
      <c r="Q50" s="16"/>
    </row>
    <row r="51" spans="1:17" ht="15.75" customHeight="1" x14ac:dyDescent="0.25">
      <c r="A51" s="34" t="s">
        <v>72</v>
      </c>
      <c r="B51" s="9">
        <v>45728</v>
      </c>
      <c r="C51" s="30">
        <v>0.36666666666666664</v>
      </c>
      <c r="D51" s="9">
        <v>45728</v>
      </c>
      <c r="E51" s="10">
        <v>0.51388888888888884</v>
      </c>
      <c r="F51" s="11">
        <v>41</v>
      </c>
      <c r="G51" s="9">
        <v>45729</v>
      </c>
      <c r="H51" s="10">
        <v>0.51388888888888884</v>
      </c>
      <c r="I51" s="11">
        <v>41</v>
      </c>
      <c r="J51" s="13">
        <v>0</v>
      </c>
      <c r="K51" s="13">
        <v>0</v>
      </c>
      <c r="L51" s="11" t="s">
        <v>18</v>
      </c>
      <c r="M51" s="14" t="str">
        <f t="shared" si="2"/>
        <v>&lt; 10</v>
      </c>
      <c r="N51" s="15" t="s">
        <v>19</v>
      </c>
      <c r="O51" s="15" t="s">
        <v>20</v>
      </c>
      <c r="P51" s="33"/>
      <c r="Q51" s="16"/>
    </row>
    <row r="52" spans="1:17" ht="15.75" customHeight="1" x14ac:dyDescent="0.25">
      <c r="A52" s="34" t="s">
        <v>73</v>
      </c>
      <c r="B52" s="9">
        <v>45728</v>
      </c>
      <c r="C52" s="10">
        <v>0.38472222222222224</v>
      </c>
      <c r="D52" s="9">
        <v>45728</v>
      </c>
      <c r="E52" s="10">
        <v>0.51597222222222228</v>
      </c>
      <c r="F52" s="11">
        <v>41</v>
      </c>
      <c r="G52" s="9">
        <v>45729</v>
      </c>
      <c r="H52" s="10">
        <v>0.51597222222222228</v>
      </c>
      <c r="I52" s="11">
        <v>41</v>
      </c>
      <c r="J52" s="13">
        <v>0</v>
      </c>
      <c r="K52" s="13">
        <v>0</v>
      </c>
      <c r="L52" s="11" t="s">
        <v>18</v>
      </c>
      <c r="M52" s="14" t="str">
        <f t="shared" si="2"/>
        <v>&lt; 10</v>
      </c>
      <c r="N52" s="15" t="s">
        <v>19</v>
      </c>
      <c r="O52" s="15" t="s">
        <v>20</v>
      </c>
      <c r="P52" s="33"/>
      <c r="Q52" s="16"/>
    </row>
    <row r="53" spans="1:17" ht="15.75" customHeight="1" x14ac:dyDescent="0.25">
      <c r="A53" s="18" t="s">
        <v>74</v>
      </c>
      <c r="B53" s="9">
        <v>45728</v>
      </c>
      <c r="C53" s="10">
        <v>0.39444444444444443</v>
      </c>
      <c r="D53" s="9">
        <v>45728</v>
      </c>
      <c r="E53" s="35">
        <v>0.51875000000000004</v>
      </c>
      <c r="F53" s="11">
        <v>41</v>
      </c>
      <c r="G53" s="9">
        <v>45729</v>
      </c>
      <c r="H53" s="35">
        <v>0.51875000000000004</v>
      </c>
      <c r="I53" s="11">
        <v>41</v>
      </c>
      <c r="J53" s="13">
        <v>0</v>
      </c>
      <c r="K53" s="13">
        <v>0</v>
      </c>
      <c r="L53" s="11" t="s">
        <v>18</v>
      </c>
      <c r="M53" s="14" t="str">
        <f t="shared" si="2"/>
        <v>&lt; 10</v>
      </c>
      <c r="N53" s="15" t="s">
        <v>19</v>
      </c>
      <c r="O53" s="15" t="s">
        <v>20</v>
      </c>
      <c r="P53" s="33"/>
      <c r="Q53" s="16"/>
    </row>
    <row r="54" spans="1:17" ht="15.75" customHeight="1" x14ac:dyDescent="0.25">
      <c r="A54" s="18" t="s">
        <v>75</v>
      </c>
      <c r="B54" s="9">
        <v>45728</v>
      </c>
      <c r="C54" s="10">
        <v>0.4201388888888889</v>
      </c>
      <c r="D54" s="9">
        <v>45728</v>
      </c>
      <c r="E54" s="35">
        <v>0.5229166666666667</v>
      </c>
      <c r="F54" s="11">
        <v>41</v>
      </c>
      <c r="G54" s="9">
        <v>45729</v>
      </c>
      <c r="H54" s="35">
        <v>0.5229166666666667</v>
      </c>
      <c r="I54" s="11">
        <v>41</v>
      </c>
      <c r="J54" s="13">
        <v>0</v>
      </c>
      <c r="K54" s="13">
        <v>0</v>
      </c>
      <c r="L54" s="11" t="s">
        <v>18</v>
      </c>
      <c r="M54" s="14" t="str">
        <f t="shared" si="2"/>
        <v>&lt; 10</v>
      </c>
      <c r="N54" s="15" t="s">
        <v>19</v>
      </c>
      <c r="O54" s="15" t="s">
        <v>20</v>
      </c>
      <c r="P54" s="33"/>
      <c r="Q54" s="16"/>
    </row>
    <row r="55" spans="1:17" ht="15.75" customHeight="1" x14ac:dyDescent="0.25">
      <c r="A55" s="18" t="s">
        <v>76</v>
      </c>
      <c r="B55" s="9">
        <v>45728</v>
      </c>
      <c r="C55" s="36">
        <v>0.44236111111111109</v>
      </c>
      <c r="D55" s="9">
        <v>45728</v>
      </c>
      <c r="E55" s="35">
        <v>0.52500000000000002</v>
      </c>
      <c r="F55" s="11">
        <v>41</v>
      </c>
      <c r="G55" s="9">
        <v>45729</v>
      </c>
      <c r="H55" s="35">
        <v>0.52500000000000002</v>
      </c>
      <c r="I55" s="11">
        <v>41</v>
      </c>
      <c r="J55" s="13">
        <v>0</v>
      </c>
      <c r="K55" s="13">
        <v>0</v>
      </c>
      <c r="L55" s="11" t="s">
        <v>18</v>
      </c>
      <c r="M55" s="14" t="str">
        <f t="shared" si="2"/>
        <v>&lt; 10</v>
      </c>
      <c r="N55" s="15" t="s">
        <v>19</v>
      </c>
      <c r="O55" s="15" t="s">
        <v>20</v>
      </c>
      <c r="P55" s="33"/>
      <c r="Q55" s="16"/>
    </row>
    <row r="56" spans="1:17" ht="15.75" customHeight="1" x14ac:dyDescent="0.25">
      <c r="A56" s="18" t="s">
        <v>77</v>
      </c>
      <c r="B56" s="9">
        <v>45728</v>
      </c>
      <c r="C56" s="36">
        <v>0.4597222222222222</v>
      </c>
      <c r="D56" s="9">
        <v>45728</v>
      </c>
      <c r="E56" s="35">
        <v>0.52777777777777779</v>
      </c>
      <c r="F56" s="11">
        <v>41</v>
      </c>
      <c r="G56" s="9">
        <v>45729</v>
      </c>
      <c r="H56" s="35">
        <v>0.52777777777777779</v>
      </c>
      <c r="I56" s="11">
        <v>41</v>
      </c>
      <c r="J56" s="13">
        <v>0</v>
      </c>
      <c r="K56" s="13">
        <v>0</v>
      </c>
      <c r="L56" s="11" t="s">
        <v>18</v>
      </c>
      <c r="M56" s="14" t="str">
        <f t="shared" si="2"/>
        <v>&lt; 10</v>
      </c>
      <c r="N56" s="15" t="s">
        <v>19</v>
      </c>
      <c r="O56" s="15" t="s">
        <v>20</v>
      </c>
      <c r="P56" s="33"/>
      <c r="Q56" s="16"/>
    </row>
    <row r="57" spans="1:17" ht="15.75" customHeight="1" x14ac:dyDescent="0.25">
      <c r="A57" s="18" t="s">
        <v>78</v>
      </c>
      <c r="B57" s="9">
        <v>45755</v>
      </c>
      <c r="C57" s="36">
        <v>0.35208333333333336</v>
      </c>
      <c r="D57" s="9">
        <v>45756</v>
      </c>
      <c r="E57" s="35">
        <v>0.59166666666666667</v>
      </c>
      <c r="F57" s="11">
        <v>41</v>
      </c>
      <c r="G57" s="9">
        <v>45757</v>
      </c>
      <c r="H57" s="35">
        <v>0.59166666666666667</v>
      </c>
      <c r="I57" s="11">
        <v>41</v>
      </c>
      <c r="J57" s="13">
        <v>0</v>
      </c>
      <c r="K57" s="13">
        <v>0</v>
      </c>
      <c r="L57" s="11" t="s">
        <v>18</v>
      </c>
      <c r="M57" s="14" t="str">
        <f t="shared" si="2"/>
        <v>&lt; 10</v>
      </c>
      <c r="N57" s="15" t="s">
        <v>19</v>
      </c>
      <c r="O57" s="15" t="s">
        <v>79</v>
      </c>
      <c r="P57" s="33"/>
      <c r="Q57" s="16"/>
    </row>
    <row r="58" spans="1:17" ht="15.75" customHeight="1" x14ac:dyDescent="0.25">
      <c r="A58" s="18" t="s">
        <v>80</v>
      </c>
      <c r="B58" s="9">
        <v>45755</v>
      </c>
      <c r="C58" s="36">
        <v>0.36805555555555558</v>
      </c>
      <c r="D58" s="9">
        <v>45756</v>
      </c>
      <c r="E58" s="35">
        <v>0.59305555555555556</v>
      </c>
      <c r="F58" s="11">
        <v>41</v>
      </c>
      <c r="G58" s="9">
        <v>45757</v>
      </c>
      <c r="H58" s="35">
        <v>0.59305555555555556</v>
      </c>
      <c r="I58" s="11">
        <v>41</v>
      </c>
      <c r="J58" s="13">
        <v>1</v>
      </c>
      <c r="K58" s="13">
        <v>1</v>
      </c>
      <c r="L58" s="11">
        <v>2</v>
      </c>
      <c r="M58" s="14">
        <f t="shared" si="2"/>
        <v>20</v>
      </c>
      <c r="N58" s="15" t="s">
        <v>19</v>
      </c>
      <c r="O58" s="15" t="s">
        <v>79</v>
      </c>
      <c r="P58" s="33"/>
      <c r="Q58" s="16"/>
    </row>
    <row r="59" spans="1:17" ht="15.75" customHeight="1" x14ac:dyDescent="0.25">
      <c r="A59" s="18" t="s">
        <v>81</v>
      </c>
      <c r="B59" s="9">
        <v>45755</v>
      </c>
      <c r="C59" s="36">
        <v>0.49722222222222223</v>
      </c>
      <c r="D59" s="9">
        <v>45756</v>
      </c>
      <c r="E59" s="35">
        <v>0.59513888888888888</v>
      </c>
      <c r="F59" s="11">
        <v>41</v>
      </c>
      <c r="G59" s="9">
        <v>45757</v>
      </c>
      <c r="H59" s="35">
        <v>0.59513888888888888</v>
      </c>
      <c r="I59" s="11">
        <v>41</v>
      </c>
      <c r="J59" s="13">
        <v>0</v>
      </c>
      <c r="K59" s="13">
        <v>0</v>
      </c>
      <c r="L59" s="11" t="s">
        <v>18</v>
      </c>
      <c r="M59" s="14" t="str">
        <f t="shared" si="2"/>
        <v>&lt; 10</v>
      </c>
      <c r="N59" s="15" t="s">
        <v>19</v>
      </c>
      <c r="O59" s="15" t="s">
        <v>79</v>
      </c>
      <c r="P59" s="33"/>
      <c r="Q59" s="16"/>
    </row>
    <row r="60" spans="1:17" ht="15.75" customHeight="1" x14ac:dyDescent="0.25">
      <c r="A60" s="18" t="s">
        <v>82</v>
      </c>
      <c r="B60" s="9">
        <v>45755</v>
      </c>
      <c r="C60" s="36">
        <v>0.51944444444444449</v>
      </c>
      <c r="D60" s="9">
        <v>45756</v>
      </c>
      <c r="E60" s="35">
        <v>0.59722222222222221</v>
      </c>
      <c r="F60" s="11">
        <v>41</v>
      </c>
      <c r="G60" s="9">
        <v>45757</v>
      </c>
      <c r="H60" s="35">
        <v>0.59722222222222221</v>
      </c>
      <c r="I60" s="11">
        <v>41</v>
      </c>
      <c r="J60" s="13">
        <v>0</v>
      </c>
      <c r="K60" s="13">
        <v>0</v>
      </c>
      <c r="L60" s="11" t="s">
        <v>18</v>
      </c>
      <c r="M60" s="14" t="str">
        <f t="shared" si="2"/>
        <v>&lt; 10</v>
      </c>
      <c r="N60" s="15" t="s">
        <v>19</v>
      </c>
      <c r="O60" s="15" t="s">
        <v>79</v>
      </c>
      <c r="P60" s="33"/>
      <c r="Q60" s="16"/>
    </row>
    <row r="61" spans="1:17" ht="15.75" customHeight="1" x14ac:dyDescent="0.25">
      <c r="A61" s="37"/>
      <c r="B61" s="38"/>
      <c r="C61" s="39"/>
      <c r="D61" s="38"/>
      <c r="E61" s="39"/>
      <c r="F61" s="40"/>
      <c r="G61" s="38"/>
      <c r="H61" s="39"/>
      <c r="I61" s="41"/>
      <c r="J61" s="41"/>
      <c r="K61" s="41"/>
      <c r="L61" s="40"/>
      <c r="M61" s="42"/>
      <c r="N61" s="41"/>
      <c r="O61" s="41"/>
      <c r="P61" s="41"/>
    </row>
    <row r="62" spans="1:17" ht="15.75" customHeight="1" x14ac:dyDescent="0.25">
      <c r="A62" s="37"/>
      <c r="B62" s="38"/>
      <c r="C62" s="39"/>
      <c r="D62" s="38"/>
      <c r="E62" s="39"/>
      <c r="F62" s="40"/>
      <c r="G62" s="38"/>
      <c r="H62" s="39"/>
      <c r="I62" s="41"/>
      <c r="J62" s="41"/>
      <c r="K62" s="41"/>
      <c r="L62" s="40"/>
      <c r="M62" s="42"/>
      <c r="N62" s="41"/>
      <c r="O62" s="41"/>
      <c r="P62" s="41"/>
    </row>
    <row r="63" spans="1:17" ht="15.75" customHeight="1" x14ac:dyDescent="0.25">
      <c r="A63" s="37"/>
      <c r="B63" s="38"/>
      <c r="C63" s="39"/>
      <c r="D63" s="38"/>
      <c r="E63" s="39"/>
      <c r="F63" s="40"/>
      <c r="G63" s="38"/>
      <c r="H63" s="39"/>
      <c r="I63" s="41"/>
      <c r="J63" s="41"/>
      <c r="K63" s="41"/>
      <c r="L63" s="40"/>
      <c r="M63" s="42"/>
      <c r="N63" s="41"/>
      <c r="O63" s="41"/>
      <c r="P63" s="41"/>
    </row>
    <row r="64" spans="1:17" ht="15.75" customHeight="1" x14ac:dyDescent="0.25">
      <c r="A64" s="37"/>
      <c r="B64" s="38"/>
      <c r="C64" s="39"/>
      <c r="D64" s="38"/>
      <c r="E64" s="39"/>
      <c r="F64" s="40"/>
      <c r="G64" s="38"/>
      <c r="H64" s="39"/>
      <c r="I64" s="41"/>
      <c r="J64" s="41"/>
      <c r="K64" s="41"/>
      <c r="L64" s="40"/>
      <c r="M64" s="42"/>
      <c r="N64" s="41"/>
      <c r="O64" s="41"/>
      <c r="P64" s="41"/>
    </row>
    <row r="65" spans="1:16" ht="15.75" customHeight="1" x14ac:dyDescent="0.25">
      <c r="A65" s="37"/>
      <c r="B65" s="38"/>
      <c r="C65" s="39"/>
      <c r="D65" s="38"/>
      <c r="E65" s="39"/>
      <c r="F65" s="40"/>
      <c r="G65" s="38"/>
      <c r="H65" s="39"/>
      <c r="I65" s="41"/>
      <c r="J65" s="41"/>
      <c r="K65" s="41"/>
      <c r="L65" s="40"/>
      <c r="M65" s="42"/>
      <c r="N65" s="41"/>
      <c r="O65" s="41"/>
      <c r="P65" s="41"/>
    </row>
    <row r="66" spans="1:16" ht="15.75" customHeight="1" x14ac:dyDescent="0.25">
      <c r="A66" s="37"/>
      <c r="B66" s="38"/>
      <c r="C66" s="39"/>
      <c r="D66" s="38"/>
      <c r="E66" s="39"/>
      <c r="F66" s="40"/>
      <c r="G66" s="38"/>
      <c r="H66" s="39"/>
      <c r="I66" s="41"/>
      <c r="J66" s="41"/>
      <c r="K66" s="41"/>
      <c r="L66" s="40"/>
      <c r="M66" s="42"/>
      <c r="N66" s="41"/>
      <c r="O66" s="41"/>
      <c r="P66" s="41"/>
    </row>
    <row r="67" spans="1:16" ht="15.75" customHeight="1" x14ac:dyDescent="0.25">
      <c r="A67" s="37"/>
      <c r="B67" s="38"/>
      <c r="C67" s="39"/>
      <c r="D67" s="38"/>
      <c r="E67" s="39"/>
      <c r="F67" s="40"/>
      <c r="G67" s="38"/>
      <c r="H67" s="39"/>
      <c r="I67" s="41"/>
      <c r="J67" s="41"/>
      <c r="K67" s="41"/>
      <c r="L67" s="40"/>
      <c r="M67" s="42"/>
      <c r="N67" s="41"/>
      <c r="O67" s="41"/>
      <c r="P67" s="41"/>
    </row>
    <row r="68" spans="1:16" ht="15.75" customHeight="1" x14ac:dyDescent="0.25">
      <c r="A68" s="37"/>
      <c r="B68" s="38"/>
      <c r="C68" s="39"/>
      <c r="D68" s="38"/>
      <c r="E68" s="39"/>
      <c r="F68" s="40"/>
      <c r="G68" s="38"/>
      <c r="H68" s="39"/>
      <c r="I68" s="41"/>
      <c r="J68" s="41"/>
      <c r="K68" s="41"/>
      <c r="L68" s="40"/>
      <c r="M68" s="42"/>
      <c r="N68" s="41"/>
      <c r="O68" s="41"/>
      <c r="P68" s="41"/>
    </row>
    <row r="69" spans="1:16" ht="15.75" customHeight="1" x14ac:dyDescent="0.25">
      <c r="A69" s="37"/>
      <c r="B69" s="38"/>
      <c r="C69" s="39"/>
      <c r="D69" s="38"/>
      <c r="E69" s="39"/>
      <c r="F69" s="40"/>
      <c r="G69" s="38"/>
      <c r="H69" s="39"/>
      <c r="I69" s="41"/>
      <c r="J69" s="41"/>
      <c r="K69" s="41"/>
      <c r="L69" s="40"/>
      <c r="M69" s="42"/>
      <c r="N69" s="41"/>
      <c r="O69" s="41"/>
      <c r="P69" s="41"/>
    </row>
    <row r="70" spans="1:16" ht="15.75" customHeight="1" x14ac:dyDescent="0.25">
      <c r="A70" s="37"/>
      <c r="B70" s="38"/>
      <c r="C70" s="39"/>
      <c r="D70" s="38"/>
      <c r="E70" s="39"/>
      <c r="F70" s="40"/>
      <c r="G70" s="38"/>
      <c r="H70" s="39"/>
      <c r="I70" s="41"/>
      <c r="J70" s="41"/>
      <c r="K70" s="41"/>
      <c r="L70" s="40"/>
      <c r="M70" s="42"/>
      <c r="N70" s="41"/>
      <c r="O70" s="41"/>
      <c r="P70" s="41"/>
    </row>
    <row r="71" spans="1:16" ht="15.75" customHeight="1" x14ac:dyDescent="0.25">
      <c r="A71" s="37"/>
      <c r="B71" s="38"/>
      <c r="C71" s="39"/>
      <c r="D71" s="38"/>
      <c r="E71" s="39"/>
      <c r="F71" s="40"/>
      <c r="G71" s="38"/>
      <c r="H71" s="39"/>
      <c r="I71" s="41"/>
      <c r="J71" s="41"/>
      <c r="K71" s="41"/>
      <c r="L71" s="40"/>
      <c r="M71" s="42"/>
      <c r="N71" s="41"/>
      <c r="O71" s="41"/>
      <c r="P71" s="41"/>
    </row>
    <row r="72" spans="1:16" ht="15.75" customHeight="1" x14ac:dyDescent="0.25">
      <c r="A72" s="37"/>
      <c r="B72" s="38"/>
      <c r="C72" s="39"/>
      <c r="D72" s="38"/>
      <c r="E72" s="39"/>
      <c r="F72" s="40"/>
      <c r="G72" s="38"/>
      <c r="H72" s="39"/>
      <c r="I72" s="41"/>
      <c r="J72" s="41"/>
      <c r="K72" s="41"/>
      <c r="L72" s="40"/>
      <c r="M72" s="42"/>
      <c r="N72" s="41"/>
      <c r="O72" s="41"/>
      <c r="P72" s="41"/>
    </row>
    <row r="73" spans="1:16" ht="15.75" customHeight="1" x14ac:dyDescent="0.25">
      <c r="A73" s="37"/>
      <c r="B73" s="38"/>
      <c r="C73" s="39"/>
      <c r="D73" s="38"/>
      <c r="E73" s="39"/>
      <c r="F73" s="40"/>
      <c r="G73" s="38"/>
      <c r="H73" s="39"/>
      <c r="I73" s="41"/>
      <c r="J73" s="41"/>
      <c r="K73" s="41"/>
      <c r="L73" s="40"/>
      <c r="M73" s="42"/>
      <c r="N73" s="41"/>
      <c r="O73" s="41"/>
      <c r="P73" s="41"/>
    </row>
    <row r="74" spans="1:16" ht="15.75" customHeight="1" x14ac:dyDescent="0.25">
      <c r="A74" s="37"/>
      <c r="B74" s="38"/>
      <c r="C74" s="39"/>
      <c r="D74" s="38"/>
      <c r="E74" s="39"/>
      <c r="F74" s="40"/>
      <c r="G74" s="38"/>
      <c r="H74" s="39"/>
      <c r="I74" s="41"/>
      <c r="J74" s="41"/>
      <c r="K74" s="41"/>
      <c r="L74" s="40"/>
      <c r="M74" s="42"/>
      <c r="N74" s="41"/>
      <c r="O74" s="41"/>
      <c r="P74" s="41"/>
    </row>
    <row r="75" spans="1:16" ht="15.75" customHeight="1" x14ac:dyDescent="0.25">
      <c r="A75" s="37"/>
      <c r="B75" s="38"/>
      <c r="C75" s="39"/>
      <c r="D75" s="38"/>
      <c r="E75" s="39"/>
      <c r="F75" s="40"/>
      <c r="G75" s="38"/>
      <c r="H75" s="39"/>
      <c r="I75" s="41"/>
      <c r="J75" s="41"/>
      <c r="K75" s="41"/>
      <c r="L75" s="40"/>
      <c r="M75" s="42"/>
      <c r="N75" s="41"/>
      <c r="O75" s="41"/>
      <c r="P75" s="41"/>
    </row>
    <row r="76" spans="1:16" ht="15.75" customHeight="1" x14ac:dyDescent="0.25">
      <c r="A76" s="37"/>
      <c r="B76" s="38"/>
      <c r="C76" s="39"/>
      <c r="D76" s="38"/>
      <c r="E76" s="39"/>
      <c r="F76" s="40"/>
      <c r="G76" s="38"/>
      <c r="H76" s="39"/>
      <c r="I76" s="41"/>
      <c r="J76" s="41"/>
      <c r="K76" s="41"/>
      <c r="L76" s="40"/>
      <c r="M76" s="42"/>
      <c r="N76" s="41"/>
      <c r="O76" s="41"/>
      <c r="P76" s="41"/>
    </row>
    <row r="77" spans="1:16" ht="15.75" customHeight="1" x14ac:dyDescent="0.25">
      <c r="A77" s="37"/>
      <c r="B77" s="38"/>
      <c r="C77" s="39"/>
      <c r="D77" s="38"/>
      <c r="E77" s="39"/>
      <c r="F77" s="40"/>
      <c r="G77" s="38"/>
      <c r="H77" s="39"/>
      <c r="I77" s="41"/>
      <c r="J77" s="41"/>
      <c r="K77" s="41"/>
      <c r="L77" s="40"/>
      <c r="M77" s="42"/>
      <c r="N77" s="41"/>
      <c r="O77" s="41"/>
      <c r="P77" s="41"/>
    </row>
    <row r="78" spans="1:16" ht="15.75" customHeight="1" x14ac:dyDescent="0.25">
      <c r="A78" s="37"/>
      <c r="B78" s="38"/>
      <c r="C78" s="39"/>
      <c r="D78" s="38"/>
      <c r="E78" s="39"/>
      <c r="F78" s="40"/>
      <c r="G78" s="38"/>
      <c r="H78" s="39"/>
      <c r="I78" s="41"/>
      <c r="J78" s="41"/>
      <c r="K78" s="41"/>
      <c r="L78" s="40"/>
      <c r="M78" s="42"/>
      <c r="N78" s="41"/>
      <c r="O78" s="41"/>
      <c r="P78" s="41"/>
    </row>
    <row r="79" spans="1:16" ht="15.75" customHeight="1" x14ac:dyDescent="0.25">
      <c r="A79" s="37"/>
      <c r="B79" s="38"/>
      <c r="C79" s="39"/>
      <c r="D79" s="38"/>
      <c r="E79" s="39"/>
      <c r="F79" s="40"/>
      <c r="G79" s="38"/>
      <c r="H79" s="39"/>
      <c r="I79" s="41"/>
      <c r="J79" s="41"/>
      <c r="K79" s="41"/>
      <c r="L79" s="40"/>
      <c r="M79" s="42"/>
      <c r="N79" s="41"/>
      <c r="O79" s="41"/>
      <c r="P79" s="41"/>
    </row>
    <row r="80" spans="1:16" ht="15.75" customHeight="1" x14ac:dyDescent="0.25">
      <c r="A80" s="37"/>
      <c r="B80" s="38"/>
      <c r="C80" s="39"/>
      <c r="D80" s="38"/>
      <c r="E80" s="39"/>
      <c r="F80" s="40"/>
      <c r="G80" s="38"/>
      <c r="H80" s="39"/>
      <c r="I80" s="41"/>
      <c r="J80" s="41"/>
      <c r="K80" s="41"/>
      <c r="L80" s="40"/>
      <c r="M80" s="42"/>
      <c r="N80" s="41"/>
      <c r="O80" s="41"/>
      <c r="P80" s="41"/>
    </row>
    <row r="81" spans="1:16" ht="15.75" customHeight="1" x14ac:dyDescent="0.25">
      <c r="A81" s="37"/>
      <c r="B81" s="38"/>
      <c r="C81" s="39"/>
      <c r="D81" s="38"/>
      <c r="E81" s="39"/>
      <c r="F81" s="40"/>
      <c r="G81" s="38"/>
      <c r="H81" s="39"/>
      <c r="I81" s="41"/>
      <c r="J81" s="41"/>
      <c r="K81" s="41"/>
      <c r="L81" s="40"/>
      <c r="M81" s="42"/>
      <c r="N81" s="41"/>
      <c r="O81" s="41"/>
      <c r="P81" s="41"/>
    </row>
    <row r="82" spans="1:16" ht="15.75" customHeight="1" x14ac:dyDescent="0.25">
      <c r="A82" s="37"/>
      <c r="B82" s="38"/>
      <c r="C82" s="39"/>
      <c r="D82" s="38"/>
      <c r="E82" s="39"/>
      <c r="F82" s="40"/>
      <c r="G82" s="38"/>
      <c r="H82" s="39"/>
      <c r="I82" s="41"/>
      <c r="J82" s="41"/>
      <c r="K82" s="41"/>
      <c r="L82" s="40"/>
      <c r="M82" s="42"/>
      <c r="N82" s="41"/>
      <c r="O82" s="41"/>
      <c r="P82" s="41"/>
    </row>
    <row r="83" spans="1:16" ht="15.75" customHeight="1" x14ac:dyDescent="0.25">
      <c r="A83" s="37"/>
      <c r="B83" s="38"/>
      <c r="C83" s="39"/>
      <c r="D83" s="38"/>
      <c r="E83" s="39"/>
      <c r="F83" s="40"/>
      <c r="G83" s="38"/>
      <c r="H83" s="39"/>
      <c r="I83" s="41"/>
      <c r="J83" s="41"/>
      <c r="K83" s="41"/>
      <c r="L83" s="40"/>
      <c r="M83" s="42"/>
      <c r="N83" s="41"/>
      <c r="O83" s="41"/>
      <c r="P83" s="41"/>
    </row>
    <row r="84" spans="1:16" ht="15.75" customHeight="1" x14ac:dyDescent="0.25">
      <c r="A84" s="37"/>
      <c r="B84" s="38"/>
      <c r="C84" s="39"/>
      <c r="D84" s="38"/>
      <c r="E84" s="39"/>
      <c r="F84" s="40"/>
      <c r="G84" s="38"/>
      <c r="H84" s="39"/>
      <c r="I84" s="41"/>
      <c r="J84" s="41"/>
      <c r="K84" s="41"/>
      <c r="L84" s="40"/>
      <c r="M84" s="42"/>
      <c r="N84" s="41"/>
      <c r="O84" s="41"/>
      <c r="P84" s="41"/>
    </row>
    <row r="85" spans="1:16" ht="15.75" customHeight="1" x14ac:dyDescent="0.25">
      <c r="A85" s="37"/>
      <c r="B85" s="38"/>
      <c r="C85" s="39"/>
      <c r="D85" s="38"/>
      <c r="E85" s="39"/>
      <c r="F85" s="40"/>
      <c r="G85" s="38"/>
      <c r="H85" s="39"/>
      <c r="I85" s="41"/>
      <c r="J85" s="41"/>
      <c r="K85" s="41"/>
      <c r="L85" s="40"/>
      <c r="M85" s="42"/>
      <c r="N85" s="41"/>
      <c r="O85" s="41"/>
      <c r="P85" s="41"/>
    </row>
    <row r="86" spans="1:16" ht="15.75" customHeight="1" x14ac:dyDescent="0.25">
      <c r="A86" s="37"/>
      <c r="B86" s="38"/>
      <c r="C86" s="39"/>
      <c r="D86" s="38"/>
      <c r="E86" s="39"/>
      <c r="F86" s="40"/>
      <c r="G86" s="38"/>
      <c r="H86" s="39"/>
      <c r="I86" s="41"/>
      <c r="J86" s="41"/>
      <c r="K86" s="41"/>
      <c r="L86" s="40"/>
      <c r="M86" s="42"/>
      <c r="N86" s="41"/>
      <c r="O86" s="41"/>
      <c r="P86" s="41"/>
    </row>
    <row r="87" spans="1:16" ht="15.75" customHeight="1" x14ac:dyDescent="0.25">
      <c r="A87" s="37"/>
      <c r="B87" s="38"/>
      <c r="C87" s="39"/>
      <c r="D87" s="38"/>
      <c r="E87" s="39"/>
      <c r="F87" s="40"/>
      <c r="G87" s="38"/>
      <c r="H87" s="39"/>
      <c r="I87" s="41"/>
      <c r="J87" s="41"/>
      <c r="K87" s="41"/>
      <c r="L87" s="40"/>
      <c r="M87" s="42"/>
      <c r="N87" s="41"/>
      <c r="O87" s="41"/>
      <c r="P87" s="41"/>
    </row>
    <row r="88" spans="1:16" ht="15.75" customHeight="1" x14ac:dyDescent="0.25">
      <c r="A88" s="37"/>
      <c r="B88" s="38"/>
      <c r="C88" s="39"/>
      <c r="D88" s="38"/>
      <c r="E88" s="39"/>
      <c r="F88" s="40"/>
      <c r="G88" s="38"/>
      <c r="H88" s="39"/>
      <c r="I88" s="41"/>
      <c r="J88" s="41"/>
      <c r="K88" s="41"/>
      <c r="L88" s="40"/>
      <c r="M88" s="42"/>
      <c r="N88" s="41"/>
      <c r="O88" s="41"/>
      <c r="P88" s="41"/>
    </row>
    <row r="89" spans="1:16" ht="15.75" customHeight="1" x14ac:dyDescent="0.25">
      <c r="A89" s="37"/>
      <c r="B89" s="38"/>
      <c r="C89" s="39"/>
      <c r="D89" s="38"/>
      <c r="E89" s="39"/>
      <c r="F89" s="40"/>
      <c r="G89" s="38"/>
      <c r="H89" s="39"/>
      <c r="I89" s="41"/>
      <c r="J89" s="41"/>
      <c r="K89" s="41"/>
      <c r="L89" s="40"/>
      <c r="M89" s="42"/>
      <c r="N89" s="41"/>
      <c r="O89" s="41"/>
      <c r="P89" s="41"/>
    </row>
    <row r="90" spans="1:16" ht="15.75" customHeight="1" x14ac:dyDescent="0.25">
      <c r="A90" s="37"/>
      <c r="B90" s="38"/>
      <c r="C90" s="39"/>
      <c r="D90" s="38"/>
      <c r="E90" s="39"/>
      <c r="F90" s="40"/>
      <c r="G90" s="38"/>
      <c r="H90" s="39"/>
      <c r="I90" s="41"/>
      <c r="J90" s="41"/>
      <c r="K90" s="41"/>
      <c r="L90" s="40"/>
      <c r="M90" s="42"/>
      <c r="N90" s="41"/>
      <c r="O90" s="41"/>
      <c r="P90" s="41"/>
    </row>
    <row r="91" spans="1:16" ht="15.75" customHeight="1" x14ac:dyDescent="0.25">
      <c r="A91" s="37"/>
      <c r="B91" s="38"/>
      <c r="C91" s="39"/>
      <c r="D91" s="38"/>
      <c r="E91" s="39"/>
      <c r="F91" s="40"/>
      <c r="G91" s="38"/>
      <c r="H91" s="39"/>
      <c r="I91" s="41"/>
      <c r="J91" s="41"/>
      <c r="K91" s="41"/>
      <c r="L91" s="40"/>
      <c r="M91" s="42"/>
      <c r="N91" s="41"/>
      <c r="O91" s="41"/>
      <c r="P91" s="41"/>
    </row>
    <row r="92" spans="1:16" ht="15.75" customHeight="1" x14ac:dyDescent="0.25">
      <c r="A92" s="37"/>
      <c r="B92" s="38"/>
      <c r="C92" s="39"/>
      <c r="D92" s="38"/>
      <c r="E92" s="39"/>
      <c r="F92" s="40"/>
      <c r="G92" s="38"/>
      <c r="H92" s="39"/>
      <c r="I92" s="41"/>
      <c r="J92" s="41"/>
      <c r="K92" s="41"/>
      <c r="L92" s="40"/>
      <c r="M92" s="42"/>
      <c r="N92" s="41"/>
      <c r="O92" s="41"/>
      <c r="P92" s="41"/>
    </row>
    <row r="93" spans="1:16" ht="15.75" customHeight="1" x14ac:dyDescent="0.25">
      <c r="A93" s="37"/>
      <c r="B93" s="38"/>
      <c r="C93" s="39"/>
      <c r="D93" s="38"/>
      <c r="E93" s="39"/>
      <c r="F93" s="40"/>
      <c r="G93" s="38"/>
      <c r="H93" s="39"/>
      <c r="I93" s="41"/>
      <c r="J93" s="41"/>
      <c r="K93" s="41"/>
      <c r="L93" s="40"/>
      <c r="M93" s="42"/>
      <c r="N93" s="41"/>
      <c r="O93" s="41"/>
      <c r="P93" s="41"/>
    </row>
    <row r="94" spans="1:16" ht="15.75" customHeight="1" x14ac:dyDescent="0.25">
      <c r="A94" s="37"/>
      <c r="B94" s="38"/>
      <c r="C94" s="39"/>
      <c r="D94" s="38"/>
      <c r="E94" s="39"/>
      <c r="F94" s="40"/>
      <c r="G94" s="38"/>
      <c r="H94" s="39"/>
      <c r="I94" s="41"/>
      <c r="J94" s="41"/>
      <c r="K94" s="41"/>
      <c r="L94" s="40"/>
      <c r="M94" s="42"/>
      <c r="N94" s="41"/>
      <c r="O94" s="41"/>
      <c r="P94" s="41"/>
    </row>
    <row r="95" spans="1:16" ht="15.75" customHeight="1" x14ac:dyDescent="0.25">
      <c r="A95" s="37"/>
      <c r="B95" s="38"/>
      <c r="C95" s="39"/>
      <c r="D95" s="38"/>
      <c r="E95" s="39"/>
      <c r="F95" s="40"/>
      <c r="G95" s="38"/>
      <c r="H95" s="39"/>
      <c r="I95" s="41"/>
      <c r="J95" s="41"/>
      <c r="K95" s="41"/>
      <c r="L95" s="40"/>
      <c r="M95" s="42"/>
      <c r="N95" s="41"/>
      <c r="O95" s="41"/>
      <c r="P95" s="41"/>
    </row>
    <row r="96" spans="1:16" ht="15.75" customHeight="1" x14ac:dyDescent="0.25">
      <c r="A96" s="37"/>
      <c r="B96" s="38"/>
      <c r="C96" s="39"/>
      <c r="D96" s="38"/>
      <c r="E96" s="39"/>
      <c r="F96" s="40"/>
      <c r="G96" s="38"/>
      <c r="H96" s="39"/>
      <c r="I96" s="41"/>
      <c r="J96" s="41"/>
      <c r="K96" s="41"/>
      <c r="L96" s="40"/>
      <c r="M96" s="42"/>
      <c r="N96" s="41"/>
      <c r="O96" s="41"/>
      <c r="P96" s="41"/>
    </row>
    <row r="97" spans="1:16" ht="15.75" customHeight="1" x14ac:dyDescent="0.25">
      <c r="A97" s="37"/>
      <c r="B97" s="38"/>
      <c r="C97" s="39"/>
      <c r="D97" s="38"/>
      <c r="E97" s="39"/>
      <c r="F97" s="40"/>
      <c r="G97" s="38"/>
      <c r="H97" s="39"/>
      <c r="I97" s="41"/>
      <c r="J97" s="41"/>
      <c r="K97" s="41"/>
      <c r="L97" s="40"/>
      <c r="M97" s="42"/>
      <c r="N97" s="41"/>
      <c r="O97" s="41"/>
      <c r="P97" s="41"/>
    </row>
    <row r="98" spans="1:16" ht="15.75" customHeight="1" x14ac:dyDescent="0.25">
      <c r="A98" s="37"/>
      <c r="B98" s="38"/>
      <c r="C98" s="39"/>
      <c r="D98" s="38"/>
      <c r="E98" s="39"/>
      <c r="F98" s="40"/>
      <c r="G98" s="38"/>
      <c r="H98" s="39"/>
      <c r="I98" s="41"/>
      <c r="J98" s="41"/>
      <c r="K98" s="41"/>
      <c r="L98" s="40"/>
      <c r="M98" s="42"/>
      <c r="N98" s="41"/>
      <c r="O98" s="41"/>
      <c r="P98" s="41"/>
    </row>
    <row r="99" spans="1:16" ht="15.75" customHeight="1" x14ac:dyDescent="0.25">
      <c r="A99" s="37"/>
      <c r="B99" s="38"/>
      <c r="C99" s="39"/>
      <c r="D99" s="38"/>
      <c r="E99" s="39"/>
      <c r="F99" s="40"/>
      <c r="G99" s="38"/>
      <c r="H99" s="39"/>
      <c r="I99" s="41"/>
      <c r="J99" s="41"/>
      <c r="K99" s="41"/>
      <c r="L99" s="40"/>
      <c r="M99" s="42"/>
      <c r="N99" s="41"/>
      <c r="O99" s="41"/>
      <c r="P99" s="41"/>
    </row>
    <row r="100" spans="1:16" ht="15.75" customHeight="1" x14ac:dyDescent="0.25">
      <c r="A100" s="37"/>
      <c r="B100" s="38"/>
      <c r="C100" s="39"/>
      <c r="D100" s="38"/>
      <c r="E100" s="39"/>
      <c r="F100" s="40"/>
      <c r="G100" s="38"/>
      <c r="H100" s="39"/>
      <c r="I100" s="41"/>
      <c r="J100" s="41"/>
      <c r="K100" s="41"/>
      <c r="L100" s="40"/>
      <c r="M100" s="42"/>
      <c r="N100" s="41"/>
      <c r="O100" s="41"/>
      <c r="P100" s="41"/>
    </row>
    <row r="101" spans="1:16" ht="15.75" customHeight="1" x14ac:dyDescent="0.25">
      <c r="A101" s="37"/>
      <c r="B101" s="38"/>
      <c r="C101" s="39"/>
      <c r="D101" s="38"/>
      <c r="E101" s="39"/>
      <c r="F101" s="40"/>
      <c r="G101" s="38"/>
      <c r="H101" s="39"/>
      <c r="I101" s="41"/>
      <c r="J101" s="41"/>
      <c r="K101" s="41"/>
      <c r="L101" s="40"/>
      <c r="M101" s="42"/>
      <c r="N101" s="41"/>
      <c r="O101" s="41"/>
      <c r="P101" s="41"/>
    </row>
    <row r="102" spans="1:16" ht="15.75" customHeight="1" x14ac:dyDescent="0.25">
      <c r="A102" s="37"/>
      <c r="B102" s="38"/>
      <c r="C102" s="39"/>
      <c r="D102" s="38"/>
      <c r="E102" s="39"/>
      <c r="F102" s="40"/>
      <c r="G102" s="38"/>
      <c r="H102" s="39"/>
      <c r="I102" s="41"/>
      <c r="J102" s="41"/>
      <c r="K102" s="41"/>
      <c r="L102" s="40"/>
      <c r="M102" s="42"/>
      <c r="N102" s="41"/>
      <c r="O102" s="41"/>
      <c r="P102" s="41"/>
    </row>
    <row r="103" spans="1:16" ht="15.75" customHeight="1" x14ac:dyDescent="0.25">
      <c r="A103" s="37"/>
      <c r="B103" s="38"/>
      <c r="C103" s="39"/>
      <c r="D103" s="38"/>
      <c r="E103" s="39"/>
      <c r="F103" s="40"/>
      <c r="G103" s="38"/>
      <c r="H103" s="39"/>
      <c r="I103" s="41"/>
      <c r="J103" s="41"/>
      <c r="K103" s="41"/>
      <c r="L103" s="40"/>
      <c r="M103" s="42"/>
      <c r="N103" s="41"/>
      <c r="O103" s="41"/>
      <c r="P103" s="41"/>
    </row>
    <row r="104" spans="1:16" ht="15.75" customHeight="1" x14ac:dyDescent="0.25">
      <c r="A104" s="37"/>
      <c r="B104" s="38"/>
      <c r="C104" s="39"/>
      <c r="D104" s="38"/>
      <c r="E104" s="39"/>
      <c r="F104" s="40"/>
      <c r="G104" s="38"/>
      <c r="H104" s="39"/>
      <c r="I104" s="41"/>
      <c r="J104" s="41"/>
      <c r="K104" s="41"/>
      <c r="L104" s="40"/>
      <c r="M104" s="42"/>
      <c r="N104" s="41"/>
      <c r="O104" s="41"/>
      <c r="P104" s="41"/>
    </row>
    <row r="105" spans="1:16" ht="15.75" customHeight="1" x14ac:dyDescent="0.25">
      <c r="A105" s="37"/>
      <c r="B105" s="38"/>
      <c r="C105" s="39"/>
      <c r="D105" s="38"/>
      <c r="E105" s="39"/>
      <c r="F105" s="40"/>
      <c r="G105" s="38"/>
      <c r="H105" s="39"/>
      <c r="I105" s="41"/>
      <c r="J105" s="41"/>
      <c r="K105" s="41"/>
      <c r="L105" s="40"/>
      <c r="M105" s="42"/>
      <c r="N105" s="41"/>
      <c r="O105" s="41"/>
      <c r="P105" s="41"/>
    </row>
    <row r="106" spans="1:16" ht="15.75" customHeight="1" x14ac:dyDescent="0.25">
      <c r="A106" s="37"/>
      <c r="B106" s="38"/>
      <c r="C106" s="39"/>
      <c r="D106" s="38"/>
      <c r="E106" s="39"/>
      <c r="F106" s="40"/>
      <c r="G106" s="38"/>
      <c r="H106" s="39"/>
      <c r="I106" s="41"/>
      <c r="J106" s="41"/>
      <c r="K106" s="41"/>
      <c r="L106" s="40"/>
      <c r="M106" s="42"/>
      <c r="N106" s="41"/>
      <c r="O106" s="41"/>
      <c r="P106" s="41"/>
    </row>
    <row r="107" spans="1:16" ht="15.75" customHeight="1" x14ac:dyDescent="0.25">
      <c r="A107" s="37"/>
      <c r="B107" s="38"/>
      <c r="C107" s="39"/>
      <c r="D107" s="38"/>
      <c r="E107" s="39"/>
      <c r="F107" s="40"/>
      <c r="G107" s="38"/>
      <c r="H107" s="39"/>
      <c r="I107" s="41"/>
      <c r="J107" s="41"/>
      <c r="K107" s="41"/>
      <c r="L107" s="40"/>
      <c r="M107" s="42"/>
      <c r="N107" s="41"/>
      <c r="O107" s="41"/>
      <c r="P107" s="41"/>
    </row>
    <row r="108" spans="1:16" ht="15.75" customHeight="1" x14ac:dyDescent="0.25">
      <c r="A108" s="37"/>
      <c r="B108" s="38"/>
      <c r="C108" s="39"/>
      <c r="D108" s="38"/>
      <c r="E108" s="39"/>
      <c r="F108" s="40"/>
      <c r="G108" s="38"/>
      <c r="H108" s="39"/>
      <c r="I108" s="41"/>
      <c r="J108" s="41"/>
      <c r="K108" s="41"/>
      <c r="L108" s="40"/>
      <c r="M108" s="42"/>
      <c r="N108" s="41"/>
      <c r="O108" s="41"/>
      <c r="P108" s="41"/>
    </row>
    <row r="109" spans="1:16" ht="15.75" customHeight="1" x14ac:dyDescent="0.25">
      <c r="A109" s="37"/>
      <c r="B109" s="38"/>
      <c r="C109" s="39"/>
      <c r="D109" s="38"/>
      <c r="E109" s="39"/>
      <c r="F109" s="40"/>
      <c r="G109" s="38"/>
      <c r="H109" s="39"/>
      <c r="I109" s="41"/>
      <c r="J109" s="41"/>
      <c r="K109" s="41"/>
      <c r="L109" s="40"/>
      <c r="M109" s="42"/>
      <c r="N109" s="41"/>
      <c r="O109" s="41"/>
      <c r="P109" s="41"/>
    </row>
    <row r="110" spans="1:16" ht="15.75" customHeight="1" x14ac:dyDescent="0.25">
      <c r="A110" s="37"/>
      <c r="B110" s="38"/>
      <c r="C110" s="39"/>
      <c r="D110" s="38"/>
      <c r="E110" s="39"/>
      <c r="F110" s="40"/>
      <c r="G110" s="38"/>
      <c r="H110" s="39"/>
      <c r="I110" s="41"/>
      <c r="J110" s="41"/>
      <c r="K110" s="41"/>
      <c r="L110" s="40"/>
      <c r="M110" s="42"/>
      <c r="N110" s="41"/>
      <c r="O110" s="41"/>
      <c r="P110" s="41"/>
    </row>
    <row r="111" spans="1:16" ht="15.75" customHeight="1" x14ac:dyDescent="0.25">
      <c r="A111" s="37"/>
      <c r="B111" s="38"/>
      <c r="C111" s="39"/>
      <c r="D111" s="38"/>
      <c r="E111" s="39"/>
      <c r="F111" s="40"/>
      <c r="G111" s="38"/>
      <c r="H111" s="39"/>
      <c r="I111" s="41"/>
      <c r="J111" s="41"/>
      <c r="K111" s="41"/>
      <c r="L111" s="40"/>
      <c r="M111" s="42"/>
      <c r="N111" s="41"/>
      <c r="O111" s="41"/>
      <c r="P111" s="41"/>
    </row>
    <row r="112" spans="1:16" ht="15.75" customHeight="1" x14ac:dyDescent="0.25">
      <c r="A112" s="37"/>
      <c r="B112" s="38"/>
      <c r="C112" s="39"/>
      <c r="D112" s="38"/>
      <c r="E112" s="39"/>
      <c r="F112" s="40"/>
      <c r="G112" s="38"/>
      <c r="H112" s="39"/>
      <c r="I112" s="41"/>
      <c r="J112" s="41"/>
      <c r="K112" s="41"/>
      <c r="L112" s="40"/>
      <c r="M112" s="42"/>
      <c r="N112" s="41"/>
      <c r="O112" s="41"/>
      <c r="P112" s="41"/>
    </row>
    <row r="113" spans="1:16" ht="15.75" customHeight="1" x14ac:dyDescent="0.25">
      <c r="A113" s="37"/>
      <c r="B113" s="38"/>
      <c r="C113" s="39"/>
      <c r="D113" s="38"/>
      <c r="E113" s="39"/>
      <c r="F113" s="40"/>
      <c r="G113" s="38"/>
      <c r="H113" s="39"/>
      <c r="I113" s="41"/>
      <c r="J113" s="41"/>
      <c r="K113" s="41"/>
      <c r="L113" s="40"/>
      <c r="M113" s="42"/>
      <c r="N113" s="41"/>
      <c r="O113" s="41"/>
      <c r="P113" s="41"/>
    </row>
    <row r="114" spans="1:16" ht="15.75" customHeight="1" x14ac:dyDescent="0.25">
      <c r="A114" s="37"/>
      <c r="B114" s="38"/>
      <c r="C114" s="39"/>
      <c r="D114" s="38"/>
      <c r="E114" s="39"/>
      <c r="F114" s="40"/>
      <c r="G114" s="38"/>
      <c r="H114" s="39"/>
      <c r="I114" s="41"/>
      <c r="J114" s="41"/>
      <c r="K114" s="41"/>
      <c r="L114" s="40"/>
      <c r="M114" s="42"/>
      <c r="N114" s="41"/>
      <c r="O114" s="41"/>
      <c r="P114" s="41"/>
    </row>
    <row r="115" spans="1:16" ht="15.75" customHeight="1" x14ac:dyDescent="0.25">
      <c r="A115" s="37"/>
      <c r="B115" s="38"/>
      <c r="C115" s="39"/>
      <c r="D115" s="38"/>
      <c r="E115" s="39"/>
      <c r="F115" s="40"/>
      <c r="G115" s="38"/>
      <c r="H115" s="39"/>
      <c r="I115" s="41"/>
      <c r="J115" s="41"/>
      <c r="K115" s="41"/>
      <c r="L115" s="40"/>
      <c r="M115" s="42"/>
      <c r="N115" s="41"/>
      <c r="O115" s="41"/>
      <c r="P115" s="41"/>
    </row>
    <row r="116" spans="1:16" ht="15.75" customHeight="1" x14ac:dyDescent="0.25">
      <c r="A116" s="37"/>
      <c r="B116" s="38"/>
      <c r="C116" s="39"/>
      <c r="D116" s="38"/>
      <c r="E116" s="39"/>
      <c r="F116" s="40"/>
      <c r="G116" s="38"/>
      <c r="H116" s="39"/>
      <c r="I116" s="41"/>
      <c r="J116" s="41"/>
      <c r="K116" s="41"/>
      <c r="L116" s="40"/>
      <c r="M116" s="42"/>
      <c r="N116" s="41"/>
      <c r="O116" s="41"/>
      <c r="P116" s="41"/>
    </row>
    <row r="117" spans="1:16" ht="15.75" customHeight="1" x14ac:dyDescent="0.25">
      <c r="A117" s="37"/>
      <c r="B117" s="38"/>
      <c r="C117" s="39"/>
      <c r="D117" s="38"/>
      <c r="E117" s="39"/>
      <c r="F117" s="40"/>
      <c r="G117" s="38"/>
      <c r="H117" s="39"/>
      <c r="I117" s="41"/>
      <c r="J117" s="41"/>
      <c r="K117" s="41"/>
      <c r="L117" s="40"/>
      <c r="M117" s="42"/>
      <c r="N117" s="41"/>
      <c r="O117" s="41"/>
      <c r="P117" s="41"/>
    </row>
    <row r="118" spans="1:16" ht="15.75" customHeight="1" x14ac:dyDescent="0.25">
      <c r="A118" s="37"/>
      <c r="B118" s="38"/>
      <c r="C118" s="39"/>
      <c r="D118" s="38"/>
      <c r="E118" s="39"/>
      <c r="F118" s="40"/>
      <c r="G118" s="38"/>
      <c r="H118" s="39"/>
      <c r="I118" s="41"/>
      <c r="J118" s="41"/>
      <c r="K118" s="41"/>
      <c r="L118" s="40"/>
      <c r="M118" s="42"/>
      <c r="N118" s="41"/>
      <c r="O118" s="41"/>
      <c r="P118" s="41"/>
    </row>
    <row r="119" spans="1:16" ht="15.75" customHeight="1" x14ac:dyDescent="0.25">
      <c r="A119" s="37"/>
      <c r="B119" s="38"/>
      <c r="C119" s="39"/>
      <c r="D119" s="38"/>
      <c r="E119" s="39"/>
      <c r="F119" s="40"/>
      <c r="G119" s="38"/>
      <c r="H119" s="39"/>
      <c r="I119" s="41"/>
      <c r="J119" s="41"/>
      <c r="K119" s="41"/>
      <c r="L119" s="40"/>
      <c r="M119" s="42"/>
      <c r="N119" s="41"/>
      <c r="O119" s="41"/>
      <c r="P119" s="41"/>
    </row>
    <row r="120" spans="1:16" ht="15.75" customHeight="1" x14ac:dyDescent="0.25">
      <c r="A120" s="37"/>
      <c r="B120" s="38"/>
      <c r="C120" s="39"/>
      <c r="D120" s="38"/>
      <c r="E120" s="39"/>
      <c r="F120" s="40"/>
      <c r="G120" s="38"/>
      <c r="H120" s="39"/>
      <c r="I120" s="41"/>
      <c r="J120" s="41"/>
      <c r="K120" s="41"/>
      <c r="L120" s="40"/>
      <c r="M120" s="42"/>
      <c r="N120" s="41"/>
      <c r="O120" s="41"/>
      <c r="P120" s="41"/>
    </row>
    <row r="121" spans="1:16" ht="15.75" customHeight="1" x14ac:dyDescent="0.25">
      <c r="A121" s="37"/>
      <c r="B121" s="38"/>
      <c r="C121" s="39"/>
      <c r="D121" s="38"/>
      <c r="E121" s="39"/>
      <c r="F121" s="40"/>
      <c r="G121" s="38"/>
      <c r="H121" s="39"/>
      <c r="I121" s="41"/>
      <c r="J121" s="41"/>
      <c r="K121" s="41"/>
      <c r="L121" s="40"/>
      <c r="M121" s="42"/>
      <c r="N121" s="41"/>
      <c r="O121" s="41"/>
      <c r="P121" s="41"/>
    </row>
    <row r="122" spans="1:16" ht="15.75" customHeight="1" x14ac:dyDescent="0.25">
      <c r="A122" s="37"/>
      <c r="B122" s="38"/>
      <c r="C122" s="39"/>
      <c r="D122" s="38"/>
      <c r="E122" s="39"/>
      <c r="F122" s="40"/>
      <c r="G122" s="38"/>
      <c r="H122" s="39"/>
      <c r="I122" s="41"/>
      <c r="J122" s="41"/>
      <c r="K122" s="41"/>
      <c r="L122" s="40"/>
      <c r="M122" s="42"/>
      <c r="N122" s="41"/>
      <c r="O122" s="41"/>
      <c r="P122" s="41"/>
    </row>
    <row r="123" spans="1:16" ht="15.75" customHeight="1" x14ac:dyDescent="0.25">
      <c r="A123" s="37"/>
      <c r="B123" s="38"/>
      <c r="C123" s="39"/>
      <c r="D123" s="38"/>
      <c r="E123" s="39"/>
      <c r="F123" s="40"/>
      <c r="G123" s="38"/>
      <c r="H123" s="39"/>
      <c r="I123" s="41"/>
      <c r="J123" s="41"/>
      <c r="K123" s="41"/>
      <c r="L123" s="40"/>
      <c r="M123" s="42"/>
      <c r="N123" s="41"/>
      <c r="O123" s="41"/>
      <c r="P123" s="41"/>
    </row>
    <row r="124" spans="1:16" ht="15.75" customHeight="1" x14ac:dyDescent="0.25">
      <c r="A124" s="37"/>
      <c r="B124" s="38"/>
      <c r="C124" s="39"/>
      <c r="D124" s="38"/>
      <c r="E124" s="39"/>
      <c r="F124" s="40"/>
      <c r="G124" s="38"/>
      <c r="H124" s="39"/>
      <c r="I124" s="41"/>
      <c r="J124" s="41"/>
      <c r="K124" s="41"/>
      <c r="L124" s="40"/>
      <c r="M124" s="42"/>
      <c r="N124" s="41"/>
      <c r="O124" s="41"/>
      <c r="P124" s="41"/>
    </row>
    <row r="125" spans="1:16" ht="15.75" customHeight="1" x14ac:dyDescent="0.25">
      <c r="A125" s="37"/>
      <c r="B125" s="38"/>
      <c r="C125" s="39"/>
      <c r="D125" s="38"/>
      <c r="E125" s="39"/>
      <c r="F125" s="40"/>
      <c r="G125" s="38"/>
      <c r="H125" s="39"/>
      <c r="I125" s="41"/>
      <c r="J125" s="41"/>
      <c r="K125" s="41"/>
      <c r="L125" s="40"/>
      <c r="M125" s="42"/>
      <c r="N125" s="41"/>
      <c r="O125" s="41"/>
      <c r="P125" s="41"/>
    </row>
    <row r="126" spans="1:16" ht="15.75" customHeight="1" x14ac:dyDescent="0.25">
      <c r="A126" s="37"/>
      <c r="B126" s="38"/>
      <c r="C126" s="39"/>
      <c r="D126" s="38"/>
      <c r="E126" s="39"/>
      <c r="F126" s="40"/>
      <c r="G126" s="38"/>
      <c r="H126" s="39"/>
      <c r="I126" s="41"/>
      <c r="J126" s="41"/>
      <c r="K126" s="41"/>
      <c r="L126" s="40"/>
      <c r="M126" s="42"/>
      <c r="N126" s="41"/>
      <c r="O126" s="41"/>
      <c r="P126" s="41"/>
    </row>
    <row r="127" spans="1:16" ht="15.75" customHeight="1" x14ac:dyDescent="0.25">
      <c r="A127" s="37"/>
      <c r="B127" s="38"/>
      <c r="C127" s="39"/>
      <c r="D127" s="38"/>
      <c r="E127" s="39"/>
      <c r="F127" s="40"/>
      <c r="G127" s="38"/>
      <c r="H127" s="39"/>
      <c r="I127" s="41"/>
      <c r="J127" s="41"/>
      <c r="K127" s="41"/>
      <c r="L127" s="40"/>
      <c r="M127" s="42"/>
      <c r="N127" s="41"/>
      <c r="O127" s="41"/>
      <c r="P127" s="41"/>
    </row>
    <row r="128" spans="1:16" ht="15.75" customHeight="1" x14ac:dyDescent="0.25">
      <c r="A128" s="37"/>
      <c r="B128" s="38"/>
      <c r="C128" s="39"/>
      <c r="D128" s="38"/>
      <c r="E128" s="39"/>
      <c r="F128" s="40"/>
      <c r="G128" s="38"/>
      <c r="H128" s="39"/>
      <c r="I128" s="41"/>
      <c r="J128" s="41"/>
      <c r="K128" s="41"/>
      <c r="L128" s="40"/>
      <c r="M128" s="42"/>
      <c r="N128" s="41"/>
      <c r="O128" s="41"/>
      <c r="P128" s="41"/>
    </row>
    <row r="129" spans="1:16" ht="15.75" customHeight="1" x14ac:dyDescent="0.25">
      <c r="A129" s="37"/>
      <c r="B129" s="38"/>
      <c r="C129" s="39"/>
      <c r="D129" s="38"/>
      <c r="E129" s="39"/>
      <c r="F129" s="40"/>
      <c r="G129" s="38"/>
      <c r="H129" s="39"/>
      <c r="I129" s="41"/>
      <c r="J129" s="41"/>
      <c r="K129" s="41"/>
      <c r="L129" s="40"/>
      <c r="M129" s="42"/>
      <c r="N129" s="41"/>
      <c r="O129" s="41"/>
      <c r="P129" s="41"/>
    </row>
    <row r="130" spans="1:16" ht="15.75" customHeight="1" x14ac:dyDescent="0.25">
      <c r="A130" s="37"/>
      <c r="B130" s="38"/>
      <c r="C130" s="39"/>
      <c r="D130" s="38"/>
      <c r="E130" s="39"/>
      <c r="F130" s="40"/>
      <c r="G130" s="38"/>
      <c r="H130" s="39"/>
      <c r="I130" s="41"/>
      <c r="J130" s="41"/>
      <c r="K130" s="41"/>
      <c r="L130" s="40"/>
      <c r="M130" s="42"/>
      <c r="N130" s="41"/>
      <c r="O130" s="41"/>
      <c r="P130" s="41"/>
    </row>
    <row r="131" spans="1:16" ht="15.75" customHeight="1" x14ac:dyDescent="0.25">
      <c r="A131" s="37"/>
      <c r="B131" s="38"/>
      <c r="C131" s="39"/>
      <c r="D131" s="38"/>
      <c r="E131" s="39"/>
      <c r="F131" s="40"/>
      <c r="G131" s="38"/>
      <c r="H131" s="39"/>
      <c r="I131" s="41"/>
      <c r="J131" s="41"/>
      <c r="K131" s="41"/>
      <c r="L131" s="40"/>
      <c r="M131" s="42"/>
      <c r="N131" s="41"/>
      <c r="O131" s="41"/>
      <c r="P131" s="41"/>
    </row>
    <row r="132" spans="1:16" ht="15.75" customHeight="1" x14ac:dyDescent="0.25">
      <c r="A132" s="37"/>
      <c r="B132" s="38"/>
      <c r="C132" s="39"/>
      <c r="D132" s="38"/>
      <c r="E132" s="39"/>
      <c r="F132" s="40"/>
      <c r="G132" s="38"/>
      <c r="H132" s="39"/>
      <c r="I132" s="41"/>
      <c r="J132" s="41"/>
      <c r="K132" s="41"/>
      <c r="L132" s="40"/>
      <c r="M132" s="42"/>
      <c r="N132" s="41"/>
      <c r="O132" s="41"/>
      <c r="P132" s="41"/>
    </row>
    <row r="133" spans="1:16" ht="15.75" customHeight="1" x14ac:dyDescent="0.25">
      <c r="A133" s="37"/>
      <c r="B133" s="38"/>
      <c r="C133" s="39"/>
      <c r="D133" s="38"/>
      <c r="E133" s="39"/>
      <c r="F133" s="40"/>
      <c r="G133" s="38"/>
      <c r="H133" s="39"/>
      <c r="I133" s="41"/>
      <c r="J133" s="41"/>
      <c r="K133" s="41"/>
      <c r="L133" s="40"/>
      <c r="M133" s="42"/>
      <c r="N133" s="41"/>
      <c r="O133" s="41"/>
      <c r="P133" s="41"/>
    </row>
    <row r="134" spans="1:16" ht="15.75" customHeight="1" x14ac:dyDescent="0.25">
      <c r="A134" s="37"/>
      <c r="B134" s="38"/>
      <c r="C134" s="39"/>
      <c r="D134" s="38"/>
      <c r="E134" s="39"/>
      <c r="F134" s="40"/>
      <c r="G134" s="38"/>
      <c r="H134" s="39"/>
      <c r="I134" s="41"/>
      <c r="J134" s="41"/>
      <c r="K134" s="41"/>
      <c r="L134" s="40"/>
      <c r="M134" s="42"/>
      <c r="N134" s="41"/>
      <c r="O134" s="41"/>
      <c r="P134" s="41"/>
    </row>
    <row r="135" spans="1:16" ht="15.75" customHeight="1" x14ac:dyDescent="0.25">
      <c r="A135" s="37"/>
      <c r="B135" s="38"/>
      <c r="C135" s="39"/>
      <c r="D135" s="38"/>
      <c r="E135" s="39"/>
      <c r="F135" s="40"/>
      <c r="G135" s="38"/>
      <c r="H135" s="39"/>
      <c r="I135" s="41"/>
      <c r="J135" s="41"/>
      <c r="K135" s="41"/>
      <c r="L135" s="40"/>
      <c r="M135" s="42"/>
      <c r="N135" s="41"/>
      <c r="O135" s="41"/>
      <c r="P135" s="41"/>
    </row>
    <row r="136" spans="1:16" ht="15.75" customHeight="1" x14ac:dyDescent="0.25">
      <c r="A136" s="37"/>
      <c r="B136" s="38"/>
      <c r="C136" s="39"/>
      <c r="D136" s="38"/>
      <c r="E136" s="39"/>
      <c r="F136" s="40"/>
      <c r="G136" s="38"/>
      <c r="H136" s="39"/>
      <c r="I136" s="41"/>
      <c r="J136" s="41"/>
      <c r="K136" s="41"/>
      <c r="L136" s="40"/>
      <c r="M136" s="42"/>
      <c r="N136" s="41"/>
      <c r="O136" s="41"/>
      <c r="P136" s="41"/>
    </row>
    <row r="137" spans="1:16" ht="15.75" customHeight="1" x14ac:dyDescent="0.25">
      <c r="A137" s="37"/>
      <c r="B137" s="38"/>
      <c r="C137" s="39"/>
      <c r="D137" s="38"/>
      <c r="E137" s="39"/>
      <c r="F137" s="40"/>
      <c r="G137" s="38"/>
      <c r="H137" s="39"/>
      <c r="I137" s="41"/>
      <c r="J137" s="41"/>
      <c r="K137" s="41"/>
      <c r="L137" s="40"/>
      <c r="M137" s="42"/>
      <c r="N137" s="41"/>
      <c r="O137" s="41"/>
      <c r="P137" s="41"/>
    </row>
    <row r="138" spans="1:16" ht="15.75" customHeight="1" x14ac:dyDescent="0.25">
      <c r="A138" s="37"/>
      <c r="B138" s="38"/>
      <c r="C138" s="39"/>
      <c r="D138" s="38"/>
      <c r="E138" s="39"/>
      <c r="F138" s="40"/>
      <c r="G138" s="38"/>
      <c r="H138" s="39"/>
      <c r="I138" s="41"/>
      <c r="J138" s="41"/>
      <c r="K138" s="41"/>
      <c r="L138" s="40"/>
      <c r="M138" s="42"/>
      <c r="N138" s="41"/>
      <c r="O138" s="41"/>
      <c r="P138" s="41"/>
    </row>
    <row r="139" spans="1:16" ht="15.75" customHeight="1" x14ac:dyDescent="0.25">
      <c r="A139" s="37"/>
      <c r="B139" s="38"/>
      <c r="C139" s="39"/>
      <c r="D139" s="38"/>
      <c r="E139" s="39"/>
      <c r="F139" s="40"/>
      <c r="G139" s="38"/>
      <c r="H139" s="39"/>
      <c r="I139" s="41"/>
      <c r="J139" s="41"/>
      <c r="K139" s="41"/>
      <c r="L139" s="40"/>
      <c r="M139" s="42"/>
      <c r="N139" s="41"/>
      <c r="O139" s="41"/>
      <c r="P139" s="41"/>
    </row>
    <row r="140" spans="1:16" ht="15.75" customHeight="1" x14ac:dyDescent="0.25">
      <c r="A140" s="37"/>
      <c r="B140" s="38"/>
      <c r="C140" s="39"/>
      <c r="D140" s="38"/>
      <c r="E140" s="39"/>
      <c r="F140" s="40"/>
      <c r="G140" s="38"/>
      <c r="H140" s="39"/>
      <c r="I140" s="41"/>
      <c r="J140" s="41"/>
      <c r="K140" s="41"/>
      <c r="L140" s="40"/>
      <c r="M140" s="42"/>
      <c r="N140" s="41"/>
      <c r="O140" s="41"/>
      <c r="P140" s="41"/>
    </row>
    <row r="141" spans="1:16" ht="15.75" customHeight="1" x14ac:dyDescent="0.25">
      <c r="A141" s="37"/>
      <c r="B141" s="38"/>
      <c r="C141" s="39"/>
      <c r="D141" s="38"/>
      <c r="E141" s="39"/>
      <c r="F141" s="40"/>
      <c r="G141" s="38"/>
      <c r="H141" s="39"/>
      <c r="I141" s="41"/>
      <c r="J141" s="41"/>
      <c r="K141" s="41"/>
      <c r="L141" s="40"/>
      <c r="M141" s="42"/>
      <c r="N141" s="41"/>
      <c r="O141" s="41"/>
      <c r="P141" s="41"/>
    </row>
    <row r="142" spans="1:16" ht="15.75" customHeight="1" x14ac:dyDescent="0.25">
      <c r="A142" s="37"/>
      <c r="B142" s="38"/>
      <c r="C142" s="39"/>
      <c r="D142" s="38"/>
      <c r="E142" s="39"/>
      <c r="F142" s="40"/>
      <c r="G142" s="38"/>
      <c r="H142" s="39"/>
      <c r="I142" s="41"/>
      <c r="J142" s="41"/>
      <c r="K142" s="41"/>
      <c r="L142" s="40"/>
      <c r="M142" s="42"/>
      <c r="N142" s="41"/>
      <c r="O142" s="41"/>
      <c r="P142" s="41"/>
    </row>
    <row r="143" spans="1:16" ht="15.75" customHeight="1" x14ac:dyDescent="0.25">
      <c r="A143" s="37"/>
      <c r="B143" s="38"/>
      <c r="C143" s="39"/>
      <c r="D143" s="38"/>
      <c r="E143" s="39"/>
      <c r="F143" s="40"/>
      <c r="G143" s="38"/>
      <c r="H143" s="39"/>
      <c r="I143" s="41"/>
      <c r="J143" s="41"/>
      <c r="K143" s="41"/>
      <c r="L143" s="40"/>
      <c r="M143" s="42"/>
      <c r="N143" s="41"/>
      <c r="O143" s="41"/>
      <c r="P143" s="41"/>
    </row>
    <row r="144" spans="1:16" ht="15.75" customHeight="1" x14ac:dyDescent="0.25">
      <c r="A144" s="37"/>
      <c r="B144" s="38"/>
      <c r="C144" s="39"/>
      <c r="D144" s="38"/>
      <c r="E144" s="39"/>
      <c r="F144" s="40"/>
      <c r="G144" s="38"/>
      <c r="H144" s="39"/>
      <c r="I144" s="41"/>
      <c r="J144" s="41"/>
      <c r="K144" s="41"/>
      <c r="L144" s="40"/>
      <c r="M144" s="42"/>
      <c r="N144" s="41"/>
      <c r="O144" s="41"/>
      <c r="P144" s="41"/>
    </row>
    <row r="145" spans="1:16" ht="15.75" customHeight="1" x14ac:dyDescent="0.25">
      <c r="A145" s="37"/>
      <c r="B145" s="38"/>
      <c r="C145" s="39"/>
      <c r="D145" s="38"/>
      <c r="E145" s="39"/>
      <c r="F145" s="40"/>
      <c r="G145" s="38"/>
      <c r="H145" s="39"/>
      <c r="I145" s="41"/>
      <c r="J145" s="41"/>
      <c r="K145" s="41"/>
      <c r="L145" s="40"/>
      <c r="M145" s="42"/>
      <c r="N145" s="41"/>
      <c r="O145" s="41"/>
      <c r="P145" s="41"/>
    </row>
    <row r="146" spans="1:16" ht="15.75" customHeight="1" x14ac:dyDescent="0.25">
      <c r="A146" s="37"/>
      <c r="B146" s="38"/>
      <c r="C146" s="39"/>
      <c r="D146" s="38"/>
      <c r="E146" s="39"/>
      <c r="F146" s="40"/>
      <c r="G146" s="38"/>
      <c r="H146" s="39"/>
      <c r="I146" s="41"/>
      <c r="J146" s="41"/>
      <c r="K146" s="41"/>
      <c r="L146" s="40"/>
      <c r="M146" s="42"/>
      <c r="N146" s="41"/>
      <c r="O146" s="41"/>
      <c r="P146" s="41"/>
    </row>
    <row r="147" spans="1:16" ht="15.75" customHeight="1" x14ac:dyDescent="0.25">
      <c r="A147" s="37"/>
      <c r="B147" s="38"/>
      <c r="C147" s="39"/>
      <c r="D147" s="38"/>
      <c r="E147" s="39"/>
      <c r="F147" s="40"/>
      <c r="G147" s="38"/>
      <c r="H147" s="39"/>
      <c r="I147" s="41"/>
      <c r="J147" s="41"/>
      <c r="K147" s="41"/>
      <c r="L147" s="40"/>
      <c r="M147" s="42"/>
      <c r="N147" s="41"/>
      <c r="O147" s="41"/>
      <c r="P147" s="41"/>
    </row>
    <row r="148" spans="1:16" ht="15.75" customHeight="1" x14ac:dyDescent="0.25">
      <c r="A148" s="37"/>
      <c r="B148" s="38"/>
      <c r="C148" s="39"/>
      <c r="D148" s="38"/>
      <c r="E148" s="39"/>
      <c r="F148" s="40"/>
      <c r="G148" s="38"/>
      <c r="H148" s="39"/>
      <c r="I148" s="41"/>
      <c r="J148" s="41"/>
      <c r="K148" s="41"/>
      <c r="L148" s="40"/>
      <c r="M148" s="42"/>
      <c r="N148" s="41"/>
      <c r="O148" s="41"/>
      <c r="P148" s="41"/>
    </row>
    <row r="149" spans="1:16" ht="15.75" customHeight="1" x14ac:dyDescent="0.25">
      <c r="A149" s="37"/>
      <c r="B149" s="38"/>
      <c r="C149" s="39"/>
      <c r="D149" s="38"/>
      <c r="E149" s="39"/>
      <c r="F149" s="40"/>
      <c r="G149" s="38"/>
      <c r="H149" s="39"/>
      <c r="I149" s="41"/>
      <c r="J149" s="41"/>
      <c r="K149" s="41"/>
      <c r="L149" s="40"/>
      <c r="M149" s="42"/>
      <c r="N149" s="41"/>
      <c r="O149" s="41"/>
      <c r="P149" s="41"/>
    </row>
    <row r="150" spans="1:16" ht="15.75" customHeight="1" x14ac:dyDescent="0.25">
      <c r="A150" s="37"/>
      <c r="B150" s="38"/>
      <c r="C150" s="39"/>
      <c r="D150" s="38"/>
      <c r="E150" s="39"/>
      <c r="F150" s="40"/>
      <c r="G150" s="38"/>
      <c r="H150" s="39"/>
      <c r="I150" s="41"/>
      <c r="J150" s="41"/>
      <c r="K150" s="41"/>
      <c r="L150" s="40"/>
      <c r="M150" s="42"/>
      <c r="N150" s="41"/>
      <c r="O150" s="41"/>
      <c r="P150" s="41"/>
    </row>
    <row r="151" spans="1:16" ht="15.75" customHeight="1" x14ac:dyDescent="0.25">
      <c r="A151" s="37"/>
      <c r="B151" s="38"/>
      <c r="C151" s="39"/>
      <c r="D151" s="38"/>
      <c r="E151" s="39"/>
      <c r="F151" s="40"/>
      <c r="G151" s="38"/>
      <c r="H151" s="39"/>
      <c r="I151" s="41"/>
      <c r="J151" s="41"/>
      <c r="K151" s="41"/>
      <c r="L151" s="40"/>
      <c r="M151" s="42"/>
      <c r="N151" s="41"/>
      <c r="O151" s="41"/>
      <c r="P151" s="41"/>
    </row>
    <row r="152" spans="1:16" ht="15.75" customHeight="1" x14ac:dyDescent="0.25">
      <c r="A152" s="37"/>
      <c r="B152" s="38"/>
      <c r="C152" s="39"/>
      <c r="D152" s="38"/>
      <c r="E152" s="39"/>
      <c r="F152" s="40"/>
      <c r="G152" s="38"/>
      <c r="H152" s="39"/>
      <c r="I152" s="41"/>
      <c r="J152" s="41"/>
      <c r="K152" s="41"/>
      <c r="L152" s="40"/>
      <c r="M152" s="42"/>
      <c r="N152" s="41"/>
      <c r="O152" s="41"/>
      <c r="P152" s="41"/>
    </row>
    <row r="153" spans="1:16" ht="15.75" customHeight="1" x14ac:dyDescent="0.25">
      <c r="A153" s="37"/>
      <c r="B153" s="38"/>
      <c r="C153" s="39"/>
      <c r="D153" s="38"/>
      <c r="E153" s="39"/>
      <c r="F153" s="40"/>
      <c r="G153" s="38"/>
      <c r="H153" s="39"/>
      <c r="I153" s="41"/>
      <c r="J153" s="41"/>
      <c r="K153" s="41"/>
      <c r="L153" s="40"/>
      <c r="M153" s="42"/>
      <c r="N153" s="41"/>
      <c r="O153" s="41"/>
      <c r="P153" s="41"/>
    </row>
    <row r="154" spans="1:16" ht="15.75" customHeight="1" x14ac:dyDescent="0.25">
      <c r="A154" s="37"/>
      <c r="B154" s="38"/>
      <c r="C154" s="39"/>
      <c r="D154" s="38"/>
      <c r="E154" s="39"/>
      <c r="F154" s="40"/>
      <c r="G154" s="38"/>
      <c r="H154" s="39"/>
      <c r="I154" s="41"/>
      <c r="J154" s="41"/>
      <c r="K154" s="41"/>
      <c r="L154" s="40"/>
      <c r="M154" s="42"/>
      <c r="N154" s="41"/>
      <c r="O154" s="41"/>
      <c r="P154" s="41"/>
    </row>
    <row r="155" spans="1:16" ht="15.75" customHeight="1" x14ac:dyDescent="0.25">
      <c r="A155" s="37"/>
      <c r="B155" s="38"/>
      <c r="C155" s="39"/>
      <c r="D155" s="38"/>
      <c r="E155" s="39"/>
      <c r="F155" s="40"/>
      <c r="G155" s="38"/>
      <c r="H155" s="39"/>
      <c r="I155" s="41"/>
      <c r="J155" s="41"/>
      <c r="K155" s="41"/>
      <c r="L155" s="40"/>
      <c r="M155" s="42"/>
      <c r="N155" s="41"/>
      <c r="O155" s="41"/>
      <c r="P155" s="41"/>
    </row>
    <row r="156" spans="1:16" ht="15.75" customHeight="1" x14ac:dyDescent="0.25">
      <c r="A156" s="37"/>
      <c r="B156" s="38"/>
      <c r="C156" s="39"/>
      <c r="D156" s="38"/>
      <c r="E156" s="39"/>
      <c r="F156" s="40"/>
      <c r="G156" s="38"/>
      <c r="H156" s="39"/>
      <c r="I156" s="41"/>
      <c r="J156" s="41"/>
      <c r="K156" s="41"/>
      <c r="L156" s="40"/>
      <c r="M156" s="42"/>
      <c r="N156" s="41"/>
      <c r="O156" s="41"/>
      <c r="P156" s="41"/>
    </row>
    <row r="157" spans="1:16" ht="15.75" customHeight="1" x14ac:dyDescent="0.25">
      <c r="A157" s="37"/>
      <c r="B157" s="38"/>
      <c r="C157" s="39"/>
      <c r="D157" s="38"/>
      <c r="E157" s="39"/>
      <c r="F157" s="40"/>
      <c r="G157" s="38"/>
      <c r="H157" s="39"/>
      <c r="I157" s="41"/>
      <c r="J157" s="41"/>
      <c r="K157" s="41"/>
      <c r="L157" s="40"/>
      <c r="M157" s="42"/>
      <c r="N157" s="41"/>
      <c r="O157" s="41"/>
      <c r="P157" s="41"/>
    </row>
    <row r="158" spans="1:16" ht="15.75" customHeight="1" x14ac:dyDescent="0.25">
      <c r="A158" s="37"/>
      <c r="B158" s="38"/>
      <c r="C158" s="39"/>
      <c r="D158" s="38"/>
      <c r="E158" s="39"/>
      <c r="F158" s="40"/>
      <c r="G158" s="38"/>
      <c r="H158" s="39"/>
      <c r="I158" s="41"/>
      <c r="J158" s="41"/>
      <c r="K158" s="41"/>
      <c r="L158" s="40"/>
      <c r="M158" s="42"/>
      <c r="N158" s="41"/>
      <c r="O158" s="41"/>
      <c r="P158" s="41"/>
    </row>
    <row r="159" spans="1:16" ht="15.75" customHeight="1" x14ac:dyDescent="0.25">
      <c r="A159" s="37"/>
      <c r="B159" s="38"/>
      <c r="C159" s="39"/>
      <c r="D159" s="38"/>
      <c r="E159" s="39"/>
      <c r="F159" s="40"/>
      <c r="G159" s="38"/>
      <c r="H159" s="39"/>
      <c r="I159" s="41"/>
      <c r="J159" s="41"/>
      <c r="K159" s="41"/>
      <c r="L159" s="40"/>
      <c r="M159" s="42"/>
      <c r="N159" s="41"/>
      <c r="O159" s="41"/>
      <c r="P159" s="41"/>
    </row>
    <row r="160" spans="1:16" ht="15.75" customHeight="1" x14ac:dyDescent="0.25">
      <c r="A160" s="37"/>
      <c r="B160" s="38"/>
      <c r="C160" s="39"/>
      <c r="D160" s="38"/>
      <c r="E160" s="39"/>
      <c r="F160" s="40"/>
      <c r="G160" s="38"/>
      <c r="H160" s="39"/>
      <c r="I160" s="41"/>
      <c r="J160" s="41"/>
      <c r="K160" s="41"/>
      <c r="L160" s="40"/>
      <c r="M160" s="42"/>
      <c r="N160" s="41"/>
      <c r="O160" s="41"/>
      <c r="P160" s="41"/>
    </row>
    <row r="161" spans="1:16" ht="15.75" customHeight="1" x14ac:dyDescent="0.25">
      <c r="A161" s="37"/>
      <c r="B161" s="38"/>
      <c r="C161" s="39"/>
      <c r="D161" s="38"/>
      <c r="E161" s="39"/>
      <c r="F161" s="40"/>
      <c r="G161" s="38"/>
      <c r="H161" s="39"/>
      <c r="I161" s="41"/>
      <c r="J161" s="41"/>
      <c r="K161" s="41"/>
      <c r="L161" s="40"/>
      <c r="M161" s="42"/>
      <c r="N161" s="41"/>
      <c r="O161" s="41"/>
      <c r="P161" s="41"/>
    </row>
    <row r="162" spans="1:16" ht="15.75" customHeight="1" x14ac:dyDescent="0.25">
      <c r="A162" s="37"/>
      <c r="B162" s="38"/>
      <c r="C162" s="39"/>
      <c r="D162" s="38"/>
      <c r="E162" s="39"/>
      <c r="F162" s="40"/>
      <c r="G162" s="38"/>
      <c r="H162" s="39"/>
      <c r="I162" s="41"/>
      <c r="J162" s="41"/>
      <c r="K162" s="41"/>
      <c r="L162" s="40"/>
      <c r="M162" s="42"/>
      <c r="N162" s="41"/>
      <c r="O162" s="41"/>
      <c r="P162" s="41"/>
    </row>
    <row r="163" spans="1:16" ht="15.75" customHeight="1" x14ac:dyDescent="0.25">
      <c r="A163" s="37"/>
      <c r="B163" s="38"/>
      <c r="C163" s="39"/>
      <c r="D163" s="38"/>
      <c r="E163" s="39"/>
      <c r="F163" s="40"/>
      <c r="G163" s="38"/>
      <c r="H163" s="39"/>
      <c r="I163" s="41"/>
      <c r="J163" s="41"/>
      <c r="K163" s="41"/>
      <c r="L163" s="40"/>
      <c r="M163" s="42"/>
      <c r="N163" s="41"/>
      <c r="O163" s="41"/>
      <c r="P163" s="41"/>
    </row>
    <row r="164" spans="1:16" ht="15.75" customHeight="1" x14ac:dyDescent="0.25">
      <c r="A164" s="37"/>
      <c r="B164" s="38"/>
      <c r="C164" s="39"/>
      <c r="D164" s="38"/>
      <c r="E164" s="39"/>
      <c r="F164" s="40"/>
      <c r="G164" s="38"/>
      <c r="H164" s="39"/>
      <c r="I164" s="41"/>
      <c r="J164" s="41"/>
      <c r="K164" s="41"/>
      <c r="L164" s="40"/>
      <c r="M164" s="42"/>
      <c r="N164" s="41"/>
      <c r="O164" s="41"/>
      <c r="P164" s="41"/>
    </row>
    <row r="165" spans="1:16" ht="15.75" customHeight="1" x14ac:dyDescent="0.25">
      <c r="A165" s="37"/>
      <c r="B165" s="38"/>
      <c r="C165" s="39"/>
      <c r="D165" s="38"/>
      <c r="E165" s="39"/>
      <c r="F165" s="40"/>
      <c r="G165" s="38"/>
      <c r="H165" s="39"/>
      <c r="I165" s="41"/>
      <c r="J165" s="41"/>
      <c r="K165" s="41"/>
      <c r="L165" s="40"/>
      <c r="M165" s="42"/>
      <c r="N165" s="41"/>
      <c r="O165" s="41"/>
      <c r="P165" s="41"/>
    </row>
    <row r="166" spans="1:16" ht="15.75" customHeight="1" x14ac:dyDescent="0.25">
      <c r="A166" s="37"/>
      <c r="B166" s="38"/>
      <c r="C166" s="39"/>
      <c r="D166" s="38"/>
      <c r="E166" s="39"/>
      <c r="F166" s="40"/>
      <c r="G166" s="38"/>
      <c r="H166" s="39"/>
      <c r="I166" s="41"/>
      <c r="J166" s="41"/>
      <c r="K166" s="41"/>
      <c r="L166" s="40"/>
      <c r="M166" s="42"/>
      <c r="N166" s="41"/>
      <c r="O166" s="41"/>
      <c r="P166" s="41"/>
    </row>
    <row r="167" spans="1:16" ht="15.75" customHeight="1" x14ac:dyDescent="0.25">
      <c r="A167" s="37"/>
      <c r="B167" s="38"/>
      <c r="C167" s="39"/>
      <c r="D167" s="38"/>
      <c r="E167" s="39"/>
      <c r="F167" s="40"/>
      <c r="G167" s="38"/>
      <c r="H167" s="39"/>
      <c r="I167" s="41"/>
      <c r="J167" s="41"/>
      <c r="K167" s="41"/>
      <c r="L167" s="40"/>
      <c r="M167" s="42"/>
      <c r="N167" s="41"/>
      <c r="O167" s="41"/>
      <c r="P167" s="41"/>
    </row>
    <row r="168" spans="1:16" ht="15.75" customHeight="1" x14ac:dyDescent="0.25">
      <c r="A168" s="37"/>
      <c r="B168" s="38"/>
      <c r="C168" s="39"/>
      <c r="D168" s="38"/>
      <c r="E168" s="39"/>
      <c r="F168" s="40"/>
      <c r="G168" s="38"/>
      <c r="H168" s="39"/>
      <c r="I168" s="41"/>
      <c r="J168" s="41"/>
      <c r="K168" s="41"/>
      <c r="L168" s="40"/>
      <c r="M168" s="42"/>
      <c r="N168" s="41"/>
      <c r="O168" s="41"/>
      <c r="P168" s="41"/>
    </row>
    <row r="169" spans="1:16" ht="15.75" customHeight="1" x14ac:dyDescent="0.25">
      <c r="A169" s="37"/>
      <c r="B169" s="38"/>
      <c r="C169" s="39"/>
      <c r="D169" s="38"/>
      <c r="E169" s="39"/>
      <c r="F169" s="40"/>
      <c r="G169" s="38"/>
      <c r="H169" s="39"/>
      <c r="I169" s="41"/>
      <c r="J169" s="41"/>
      <c r="K169" s="41"/>
      <c r="L169" s="40"/>
      <c r="M169" s="42"/>
      <c r="N169" s="41"/>
      <c r="O169" s="41"/>
      <c r="P169" s="41"/>
    </row>
    <row r="170" spans="1:16" ht="15.75" customHeight="1" x14ac:dyDescent="0.25">
      <c r="A170" s="37"/>
      <c r="B170" s="38"/>
      <c r="C170" s="39"/>
      <c r="D170" s="38"/>
      <c r="E170" s="39"/>
      <c r="F170" s="40"/>
      <c r="G170" s="38"/>
      <c r="H170" s="39"/>
      <c r="I170" s="41"/>
      <c r="J170" s="41"/>
      <c r="K170" s="41"/>
      <c r="L170" s="40"/>
      <c r="M170" s="42"/>
      <c r="N170" s="41"/>
      <c r="O170" s="41"/>
      <c r="P170" s="41"/>
    </row>
    <row r="171" spans="1:16" ht="15.75" customHeight="1" x14ac:dyDescent="0.25">
      <c r="A171" s="37"/>
      <c r="B171" s="38"/>
      <c r="C171" s="39"/>
      <c r="D171" s="38"/>
      <c r="E171" s="39"/>
      <c r="F171" s="40"/>
      <c r="G171" s="38"/>
      <c r="H171" s="39"/>
      <c r="I171" s="41"/>
      <c r="J171" s="41"/>
      <c r="K171" s="41"/>
      <c r="L171" s="40"/>
      <c r="M171" s="42"/>
      <c r="N171" s="41"/>
      <c r="O171" s="41"/>
      <c r="P171" s="41"/>
    </row>
    <row r="172" spans="1:16" ht="15.75" customHeight="1" x14ac:dyDescent="0.25">
      <c r="A172" s="37"/>
      <c r="B172" s="38"/>
      <c r="C172" s="39"/>
      <c r="D172" s="38"/>
      <c r="E172" s="39"/>
      <c r="F172" s="40"/>
      <c r="G172" s="38"/>
      <c r="H172" s="39"/>
      <c r="I172" s="41"/>
      <c r="J172" s="41"/>
      <c r="K172" s="41"/>
      <c r="L172" s="40"/>
      <c r="M172" s="42"/>
      <c r="N172" s="41"/>
      <c r="O172" s="41"/>
      <c r="P172" s="41"/>
    </row>
    <row r="173" spans="1:16" ht="15.75" customHeight="1" x14ac:dyDescent="0.25">
      <c r="A173" s="37"/>
      <c r="B173" s="38"/>
      <c r="C173" s="39"/>
      <c r="D173" s="38"/>
      <c r="E173" s="39"/>
      <c r="F173" s="40"/>
      <c r="G173" s="38"/>
      <c r="H173" s="39"/>
      <c r="I173" s="41"/>
      <c r="J173" s="41"/>
      <c r="K173" s="41"/>
      <c r="L173" s="40"/>
      <c r="M173" s="42"/>
      <c r="N173" s="41"/>
      <c r="O173" s="41"/>
      <c r="P173" s="41"/>
    </row>
    <row r="174" spans="1:16" ht="15.75" customHeight="1" x14ac:dyDescent="0.25">
      <c r="A174" s="37"/>
      <c r="B174" s="38"/>
      <c r="C174" s="39"/>
      <c r="D174" s="38"/>
      <c r="E174" s="39"/>
      <c r="F174" s="40"/>
      <c r="G174" s="38"/>
      <c r="H174" s="39"/>
      <c r="I174" s="41"/>
      <c r="J174" s="41"/>
      <c r="K174" s="41"/>
      <c r="L174" s="40"/>
      <c r="M174" s="42"/>
      <c r="N174" s="41"/>
      <c r="O174" s="41"/>
      <c r="P174" s="41"/>
    </row>
    <row r="175" spans="1:16" ht="15.75" customHeight="1" x14ac:dyDescent="0.25">
      <c r="A175" s="37"/>
      <c r="B175" s="38"/>
      <c r="C175" s="39"/>
      <c r="D175" s="38"/>
      <c r="E175" s="39"/>
      <c r="F175" s="40"/>
      <c r="G175" s="38"/>
      <c r="H175" s="39"/>
      <c r="I175" s="41"/>
      <c r="J175" s="41"/>
      <c r="K175" s="41"/>
      <c r="L175" s="40"/>
      <c r="M175" s="42"/>
      <c r="N175" s="41"/>
      <c r="O175" s="41"/>
      <c r="P175" s="41"/>
    </row>
    <row r="176" spans="1:16" ht="15.75" customHeight="1" x14ac:dyDescent="0.25">
      <c r="A176" s="37"/>
      <c r="B176" s="38"/>
      <c r="C176" s="39"/>
      <c r="D176" s="38"/>
      <c r="E176" s="39"/>
      <c r="F176" s="40"/>
      <c r="G176" s="38"/>
      <c r="H176" s="39"/>
      <c r="I176" s="41"/>
      <c r="J176" s="41"/>
      <c r="K176" s="41"/>
      <c r="L176" s="40"/>
      <c r="M176" s="42"/>
      <c r="N176" s="41"/>
      <c r="O176" s="41"/>
      <c r="P176" s="41"/>
    </row>
    <row r="177" spans="1:16" ht="15.75" customHeight="1" x14ac:dyDescent="0.25">
      <c r="A177" s="37"/>
      <c r="B177" s="38"/>
      <c r="C177" s="39"/>
      <c r="D177" s="38"/>
      <c r="E177" s="39"/>
      <c r="F177" s="40"/>
      <c r="G177" s="38"/>
      <c r="H177" s="39"/>
      <c r="I177" s="41"/>
      <c r="J177" s="41"/>
      <c r="K177" s="41"/>
      <c r="L177" s="40"/>
      <c r="M177" s="42"/>
      <c r="N177" s="41"/>
      <c r="O177" s="41"/>
      <c r="P177" s="41"/>
    </row>
    <row r="178" spans="1:16" ht="15.75" customHeight="1" x14ac:dyDescent="0.25">
      <c r="A178" s="37"/>
      <c r="B178" s="38"/>
      <c r="C178" s="39"/>
      <c r="D178" s="38"/>
      <c r="E178" s="39"/>
      <c r="F178" s="40"/>
      <c r="G178" s="38"/>
      <c r="H178" s="39"/>
      <c r="I178" s="41"/>
      <c r="J178" s="41"/>
      <c r="K178" s="41"/>
      <c r="L178" s="40"/>
      <c r="M178" s="42"/>
      <c r="N178" s="41"/>
      <c r="O178" s="41"/>
      <c r="P178" s="41"/>
    </row>
    <row r="179" spans="1:16" ht="15.75" customHeight="1" x14ac:dyDescent="0.25">
      <c r="A179" s="37"/>
      <c r="B179" s="38"/>
      <c r="C179" s="39"/>
      <c r="D179" s="38"/>
      <c r="E179" s="39"/>
      <c r="F179" s="40"/>
      <c r="G179" s="38"/>
      <c r="H179" s="39"/>
      <c r="I179" s="41"/>
      <c r="J179" s="41"/>
      <c r="K179" s="41"/>
      <c r="L179" s="40"/>
      <c r="M179" s="42"/>
      <c r="N179" s="41"/>
      <c r="O179" s="41"/>
      <c r="P179" s="41"/>
    </row>
    <row r="180" spans="1:16" ht="15.75" customHeight="1" x14ac:dyDescent="0.25">
      <c r="A180" s="37"/>
      <c r="B180" s="38"/>
      <c r="C180" s="39"/>
      <c r="D180" s="38"/>
      <c r="E180" s="39"/>
      <c r="F180" s="40"/>
      <c r="G180" s="38"/>
      <c r="H180" s="39"/>
      <c r="I180" s="41"/>
      <c r="J180" s="41"/>
      <c r="K180" s="41"/>
      <c r="L180" s="40"/>
      <c r="M180" s="42"/>
      <c r="N180" s="41"/>
      <c r="O180" s="41"/>
      <c r="P180" s="41"/>
    </row>
    <row r="181" spans="1:16" ht="15.75" customHeight="1" x14ac:dyDescent="0.25">
      <c r="A181" s="37"/>
      <c r="B181" s="38"/>
      <c r="C181" s="39"/>
      <c r="D181" s="38"/>
      <c r="E181" s="39"/>
      <c r="F181" s="40"/>
      <c r="G181" s="38"/>
      <c r="H181" s="39"/>
      <c r="I181" s="41"/>
      <c r="J181" s="41"/>
      <c r="K181" s="41"/>
      <c r="L181" s="40"/>
      <c r="M181" s="42"/>
      <c r="N181" s="41"/>
      <c r="O181" s="41"/>
      <c r="P181" s="41"/>
    </row>
    <row r="182" spans="1:16" ht="15.75" customHeight="1" x14ac:dyDescent="0.25">
      <c r="A182" s="37"/>
      <c r="B182" s="38"/>
      <c r="C182" s="39"/>
      <c r="D182" s="38"/>
      <c r="E182" s="39"/>
      <c r="F182" s="40"/>
      <c r="G182" s="38"/>
      <c r="H182" s="39"/>
      <c r="I182" s="41"/>
      <c r="J182" s="41"/>
      <c r="K182" s="41"/>
      <c r="L182" s="40"/>
      <c r="M182" s="42"/>
      <c r="N182" s="41"/>
      <c r="O182" s="41"/>
      <c r="P182" s="41"/>
    </row>
    <row r="183" spans="1:16" ht="15.75" customHeight="1" x14ac:dyDescent="0.25">
      <c r="A183" s="37"/>
      <c r="B183" s="38"/>
      <c r="C183" s="39"/>
      <c r="D183" s="38"/>
      <c r="E183" s="39"/>
      <c r="F183" s="40"/>
      <c r="G183" s="38"/>
      <c r="H183" s="39"/>
      <c r="I183" s="41"/>
      <c r="J183" s="41"/>
      <c r="K183" s="41"/>
      <c r="L183" s="40"/>
      <c r="M183" s="42"/>
      <c r="N183" s="41"/>
      <c r="O183" s="41"/>
      <c r="P183" s="41"/>
    </row>
    <row r="184" spans="1:16" ht="15.75" customHeight="1" x14ac:dyDescent="0.25">
      <c r="A184" s="37"/>
      <c r="B184" s="38"/>
      <c r="C184" s="39"/>
      <c r="D184" s="38"/>
      <c r="E184" s="39"/>
      <c r="F184" s="40"/>
      <c r="G184" s="38"/>
      <c r="H184" s="39"/>
      <c r="I184" s="41"/>
      <c r="J184" s="41"/>
      <c r="K184" s="41"/>
      <c r="L184" s="40"/>
      <c r="M184" s="42"/>
      <c r="N184" s="41"/>
      <c r="O184" s="41"/>
      <c r="P184" s="41"/>
    </row>
    <row r="185" spans="1:16" ht="15.75" customHeight="1" x14ac:dyDescent="0.25">
      <c r="A185" s="37"/>
      <c r="B185" s="38"/>
      <c r="C185" s="39"/>
      <c r="D185" s="38"/>
      <c r="E185" s="39"/>
      <c r="F185" s="40"/>
      <c r="G185" s="38"/>
      <c r="H185" s="39"/>
      <c r="I185" s="41"/>
      <c r="J185" s="41"/>
      <c r="K185" s="41"/>
      <c r="L185" s="40"/>
      <c r="M185" s="42"/>
      <c r="N185" s="41"/>
      <c r="O185" s="41"/>
      <c r="P185" s="41"/>
    </row>
    <row r="186" spans="1:16" ht="15.75" customHeight="1" x14ac:dyDescent="0.25">
      <c r="A186" s="37"/>
      <c r="B186" s="38"/>
      <c r="C186" s="39"/>
      <c r="D186" s="38"/>
      <c r="E186" s="39"/>
      <c r="F186" s="40"/>
      <c r="G186" s="38"/>
      <c r="H186" s="39"/>
      <c r="I186" s="41"/>
      <c r="J186" s="41"/>
      <c r="K186" s="41"/>
      <c r="L186" s="40"/>
      <c r="M186" s="42"/>
      <c r="N186" s="41"/>
      <c r="O186" s="41"/>
      <c r="P186" s="41"/>
    </row>
    <row r="187" spans="1:16" ht="15.75" customHeight="1" x14ac:dyDescent="0.25">
      <c r="A187" s="37"/>
      <c r="B187" s="38"/>
      <c r="C187" s="39"/>
      <c r="D187" s="38"/>
      <c r="E187" s="39"/>
      <c r="F187" s="40"/>
      <c r="G187" s="38"/>
      <c r="H187" s="39"/>
      <c r="I187" s="41"/>
      <c r="J187" s="41"/>
      <c r="K187" s="41"/>
      <c r="L187" s="40"/>
      <c r="M187" s="42"/>
      <c r="N187" s="41"/>
      <c r="O187" s="41"/>
      <c r="P187" s="41"/>
    </row>
    <row r="188" spans="1:16" ht="15.75" customHeight="1" x14ac:dyDescent="0.25">
      <c r="A188" s="37"/>
      <c r="B188" s="38"/>
      <c r="C188" s="39"/>
      <c r="D188" s="38"/>
      <c r="E188" s="39"/>
      <c r="F188" s="40"/>
      <c r="G188" s="38"/>
      <c r="H188" s="39"/>
      <c r="I188" s="41"/>
      <c r="J188" s="41"/>
      <c r="K188" s="41"/>
      <c r="L188" s="40"/>
      <c r="M188" s="42"/>
      <c r="N188" s="41"/>
      <c r="O188" s="41"/>
      <c r="P188" s="41"/>
    </row>
    <row r="189" spans="1:16" ht="15.75" customHeight="1" x14ac:dyDescent="0.25">
      <c r="A189" s="37"/>
      <c r="B189" s="38"/>
      <c r="C189" s="39"/>
      <c r="D189" s="38"/>
      <c r="E189" s="39"/>
      <c r="F189" s="40"/>
      <c r="G189" s="38"/>
      <c r="H189" s="39"/>
      <c r="I189" s="41"/>
      <c r="J189" s="41"/>
      <c r="K189" s="41"/>
      <c r="L189" s="40"/>
      <c r="M189" s="42"/>
      <c r="N189" s="41"/>
      <c r="O189" s="41"/>
      <c r="P189" s="41"/>
    </row>
    <row r="190" spans="1:16" ht="15.75" customHeight="1" x14ac:dyDescent="0.25">
      <c r="A190" s="37"/>
      <c r="B190" s="38"/>
      <c r="C190" s="39"/>
      <c r="D190" s="38"/>
      <c r="E190" s="39"/>
      <c r="F190" s="40"/>
      <c r="G190" s="38"/>
      <c r="H190" s="39"/>
      <c r="I190" s="41"/>
      <c r="J190" s="41"/>
      <c r="K190" s="41"/>
      <c r="L190" s="40"/>
      <c r="M190" s="42"/>
      <c r="N190" s="41"/>
      <c r="O190" s="41"/>
      <c r="P190" s="41"/>
    </row>
    <row r="191" spans="1:16" ht="15.75" customHeight="1" x14ac:dyDescent="0.25">
      <c r="A191" s="37"/>
      <c r="B191" s="38"/>
      <c r="C191" s="39"/>
      <c r="D191" s="38"/>
      <c r="E191" s="39"/>
      <c r="F191" s="40"/>
      <c r="G191" s="38"/>
      <c r="H191" s="39"/>
      <c r="I191" s="41"/>
      <c r="J191" s="41"/>
      <c r="K191" s="41"/>
      <c r="L191" s="40"/>
      <c r="M191" s="42"/>
      <c r="N191" s="41"/>
      <c r="O191" s="41"/>
      <c r="P191" s="41"/>
    </row>
    <row r="192" spans="1:16" ht="15.75" customHeight="1" x14ac:dyDescent="0.25">
      <c r="A192" s="37"/>
      <c r="B192" s="38"/>
      <c r="C192" s="39"/>
      <c r="D192" s="38"/>
      <c r="E192" s="39"/>
      <c r="F192" s="40"/>
      <c r="G192" s="38"/>
      <c r="H192" s="39"/>
      <c r="I192" s="41"/>
      <c r="J192" s="41"/>
      <c r="K192" s="41"/>
      <c r="L192" s="40"/>
      <c r="M192" s="42"/>
      <c r="N192" s="41"/>
      <c r="O192" s="41"/>
      <c r="P192" s="41"/>
    </row>
    <row r="193" spans="1:16" ht="15.75" customHeight="1" x14ac:dyDescent="0.25">
      <c r="A193" s="37"/>
      <c r="B193" s="38"/>
      <c r="C193" s="39"/>
      <c r="D193" s="38"/>
      <c r="E193" s="39"/>
      <c r="F193" s="40"/>
      <c r="G193" s="38"/>
      <c r="H193" s="39"/>
      <c r="I193" s="41"/>
      <c r="J193" s="41"/>
      <c r="K193" s="41"/>
      <c r="L193" s="40"/>
      <c r="M193" s="42"/>
      <c r="N193" s="41"/>
      <c r="O193" s="41"/>
      <c r="P193" s="41"/>
    </row>
    <row r="194" spans="1:16" ht="15.75" customHeight="1" x14ac:dyDescent="0.25">
      <c r="A194" s="37"/>
      <c r="B194" s="38"/>
      <c r="C194" s="39"/>
      <c r="D194" s="38"/>
      <c r="E194" s="39"/>
      <c r="F194" s="40"/>
      <c r="G194" s="38"/>
      <c r="H194" s="39"/>
      <c r="I194" s="41"/>
      <c r="J194" s="41"/>
      <c r="K194" s="41"/>
      <c r="L194" s="40"/>
      <c r="M194" s="42"/>
      <c r="N194" s="41"/>
      <c r="O194" s="41"/>
      <c r="P194" s="41"/>
    </row>
    <row r="195" spans="1:16" ht="15.75" customHeight="1" x14ac:dyDescent="0.25">
      <c r="A195" s="37"/>
      <c r="B195" s="38"/>
      <c r="C195" s="39"/>
      <c r="D195" s="38"/>
      <c r="E195" s="39"/>
      <c r="F195" s="40"/>
      <c r="G195" s="38"/>
      <c r="H195" s="39"/>
      <c r="I195" s="41"/>
      <c r="J195" s="41"/>
      <c r="K195" s="41"/>
      <c r="L195" s="40"/>
      <c r="M195" s="42"/>
      <c r="N195" s="41"/>
      <c r="O195" s="41"/>
      <c r="P195" s="41"/>
    </row>
    <row r="196" spans="1:16" ht="15.75" customHeight="1" x14ac:dyDescent="0.25">
      <c r="A196" s="37"/>
      <c r="B196" s="38"/>
      <c r="C196" s="39"/>
      <c r="D196" s="38"/>
      <c r="E196" s="39"/>
      <c r="F196" s="40"/>
      <c r="G196" s="38"/>
      <c r="H196" s="39"/>
      <c r="I196" s="41"/>
      <c r="J196" s="41"/>
      <c r="K196" s="41"/>
      <c r="L196" s="40"/>
      <c r="M196" s="42"/>
      <c r="N196" s="41"/>
      <c r="O196" s="41"/>
      <c r="P196" s="41"/>
    </row>
    <row r="197" spans="1:16" ht="15.75" customHeight="1" x14ac:dyDescent="0.25">
      <c r="A197" s="37"/>
      <c r="B197" s="38"/>
      <c r="C197" s="39"/>
      <c r="D197" s="38"/>
      <c r="E197" s="39"/>
      <c r="F197" s="40"/>
      <c r="G197" s="38"/>
      <c r="H197" s="39"/>
      <c r="I197" s="41"/>
      <c r="J197" s="41"/>
      <c r="K197" s="41"/>
      <c r="L197" s="40"/>
      <c r="M197" s="42"/>
      <c r="N197" s="41"/>
      <c r="O197" s="41"/>
      <c r="P197" s="41"/>
    </row>
    <row r="198" spans="1:16" ht="15.75" customHeight="1" x14ac:dyDescent="0.25">
      <c r="A198" s="37"/>
      <c r="B198" s="38"/>
      <c r="C198" s="39"/>
      <c r="D198" s="38"/>
      <c r="E198" s="39"/>
      <c r="F198" s="40"/>
      <c r="G198" s="38"/>
      <c r="H198" s="39"/>
      <c r="I198" s="41"/>
      <c r="J198" s="41"/>
      <c r="K198" s="41"/>
      <c r="L198" s="40"/>
      <c r="M198" s="42"/>
      <c r="N198" s="41"/>
      <c r="O198" s="41"/>
      <c r="P198" s="41"/>
    </row>
    <row r="199" spans="1:16" ht="15.75" customHeight="1" x14ac:dyDescent="0.25">
      <c r="A199" s="37"/>
      <c r="B199" s="38"/>
      <c r="C199" s="39"/>
      <c r="D199" s="38"/>
      <c r="E199" s="39"/>
      <c r="F199" s="40"/>
      <c r="G199" s="38"/>
      <c r="H199" s="39"/>
      <c r="I199" s="41"/>
      <c r="J199" s="41"/>
      <c r="K199" s="41"/>
      <c r="L199" s="40"/>
      <c r="M199" s="42"/>
      <c r="N199" s="41"/>
      <c r="O199" s="41"/>
      <c r="P199" s="41"/>
    </row>
    <row r="200" spans="1:16" ht="15.75" customHeight="1" x14ac:dyDescent="0.25">
      <c r="A200" s="37"/>
      <c r="B200" s="38"/>
      <c r="C200" s="39"/>
      <c r="D200" s="38"/>
      <c r="E200" s="39"/>
      <c r="F200" s="40"/>
      <c r="G200" s="38"/>
      <c r="H200" s="39"/>
      <c r="I200" s="41"/>
      <c r="J200" s="41"/>
      <c r="K200" s="41"/>
      <c r="L200" s="40"/>
      <c r="M200" s="42"/>
      <c r="N200" s="41"/>
      <c r="O200" s="41"/>
      <c r="P200" s="41"/>
    </row>
    <row r="201" spans="1:16" ht="15.75" customHeight="1" x14ac:dyDescent="0.25">
      <c r="A201" s="37"/>
      <c r="B201" s="38"/>
      <c r="C201" s="39"/>
      <c r="D201" s="38"/>
      <c r="E201" s="39"/>
      <c r="F201" s="40"/>
      <c r="G201" s="38"/>
      <c r="H201" s="39"/>
      <c r="I201" s="41"/>
      <c r="J201" s="41"/>
      <c r="K201" s="41"/>
      <c r="L201" s="40"/>
      <c r="M201" s="42"/>
      <c r="N201" s="41"/>
      <c r="O201" s="41"/>
      <c r="P201" s="41"/>
    </row>
    <row r="202" spans="1:16" ht="15.75" customHeight="1" x14ac:dyDescent="0.25">
      <c r="A202" s="37"/>
      <c r="B202" s="38"/>
      <c r="C202" s="39"/>
      <c r="D202" s="38"/>
      <c r="E202" s="39"/>
      <c r="F202" s="40"/>
      <c r="G202" s="38"/>
      <c r="H202" s="39"/>
      <c r="I202" s="41"/>
      <c r="J202" s="41"/>
      <c r="K202" s="41"/>
      <c r="L202" s="40"/>
      <c r="M202" s="42"/>
      <c r="N202" s="41"/>
      <c r="O202" s="41"/>
      <c r="P202" s="41"/>
    </row>
    <row r="203" spans="1:16" ht="15.75" customHeight="1" x14ac:dyDescent="0.25">
      <c r="A203" s="37"/>
      <c r="B203" s="38"/>
      <c r="C203" s="39"/>
      <c r="D203" s="38"/>
      <c r="E203" s="39"/>
      <c r="F203" s="40"/>
      <c r="G203" s="38"/>
      <c r="H203" s="39"/>
      <c r="I203" s="41"/>
      <c r="J203" s="41"/>
      <c r="K203" s="41"/>
      <c r="L203" s="40"/>
      <c r="M203" s="42"/>
      <c r="N203" s="41"/>
      <c r="O203" s="41"/>
      <c r="P203" s="41"/>
    </row>
    <row r="204" spans="1:16" ht="15.75" customHeight="1" x14ac:dyDescent="0.25">
      <c r="A204" s="37"/>
      <c r="B204" s="38"/>
      <c r="C204" s="39"/>
      <c r="D204" s="38"/>
      <c r="E204" s="39"/>
      <c r="F204" s="40"/>
      <c r="G204" s="38"/>
      <c r="H204" s="39"/>
      <c r="I204" s="41"/>
      <c r="J204" s="41"/>
      <c r="K204" s="41"/>
      <c r="L204" s="40"/>
      <c r="M204" s="42"/>
      <c r="N204" s="41"/>
      <c r="O204" s="41"/>
      <c r="P204" s="41"/>
    </row>
    <row r="205" spans="1:16" ht="15.75" customHeight="1" x14ac:dyDescent="0.25">
      <c r="A205" s="37"/>
      <c r="B205" s="38"/>
      <c r="C205" s="39"/>
      <c r="D205" s="38"/>
      <c r="E205" s="39"/>
      <c r="F205" s="40"/>
      <c r="G205" s="38"/>
      <c r="H205" s="39"/>
      <c r="I205" s="41"/>
      <c r="J205" s="41"/>
      <c r="K205" s="41"/>
      <c r="L205" s="40"/>
      <c r="M205" s="42"/>
      <c r="N205" s="41"/>
      <c r="O205" s="41"/>
      <c r="P205" s="41"/>
    </row>
    <row r="206" spans="1:16" ht="15.75" customHeight="1" x14ac:dyDescent="0.25">
      <c r="A206" s="37"/>
      <c r="B206" s="38"/>
      <c r="C206" s="39"/>
      <c r="D206" s="38"/>
      <c r="E206" s="39"/>
      <c r="F206" s="40"/>
      <c r="G206" s="38"/>
      <c r="H206" s="39"/>
      <c r="I206" s="41"/>
      <c r="J206" s="41"/>
      <c r="K206" s="41"/>
      <c r="L206" s="40"/>
      <c r="M206" s="42"/>
      <c r="N206" s="41"/>
      <c r="O206" s="41"/>
      <c r="P206" s="41"/>
    </row>
    <row r="207" spans="1:16" ht="15.75" customHeight="1" x14ac:dyDescent="0.25">
      <c r="A207" s="37"/>
      <c r="B207" s="38"/>
      <c r="C207" s="39"/>
      <c r="D207" s="38"/>
      <c r="E207" s="39"/>
      <c r="F207" s="40"/>
      <c r="G207" s="38"/>
      <c r="H207" s="39"/>
      <c r="I207" s="41"/>
      <c r="J207" s="41"/>
      <c r="K207" s="41"/>
      <c r="L207" s="40"/>
      <c r="M207" s="42"/>
      <c r="N207" s="41"/>
      <c r="O207" s="41"/>
      <c r="P207" s="41"/>
    </row>
    <row r="208" spans="1:16" ht="15.75" customHeight="1" x14ac:dyDescent="0.25">
      <c r="A208" s="37"/>
      <c r="B208" s="38"/>
      <c r="C208" s="39"/>
      <c r="D208" s="38"/>
      <c r="E208" s="39"/>
      <c r="F208" s="40"/>
      <c r="G208" s="38"/>
      <c r="H208" s="39"/>
      <c r="I208" s="41"/>
      <c r="J208" s="41"/>
      <c r="K208" s="41"/>
      <c r="L208" s="40"/>
      <c r="M208" s="42"/>
      <c r="N208" s="41"/>
      <c r="O208" s="41"/>
      <c r="P208" s="41"/>
    </row>
    <row r="209" spans="1:16" ht="15.75" customHeight="1" x14ac:dyDescent="0.25">
      <c r="A209" s="37"/>
      <c r="B209" s="38"/>
      <c r="C209" s="39"/>
      <c r="D209" s="38"/>
      <c r="E209" s="39"/>
      <c r="F209" s="40"/>
      <c r="G209" s="38"/>
      <c r="H209" s="39"/>
      <c r="I209" s="41"/>
      <c r="J209" s="41"/>
      <c r="K209" s="41"/>
      <c r="L209" s="40"/>
      <c r="M209" s="42"/>
      <c r="N209" s="41"/>
      <c r="O209" s="41"/>
      <c r="P209" s="41"/>
    </row>
    <row r="210" spans="1:16" ht="15.75" customHeight="1" x14ac:dyDescent="0.25">
      <c r="A210" s="37"/>
      <c r="B210" s="38"/>
      <c r="C210" s="39"/>
      <c r="D210" s="38"/>
      <c r="E210" s="39"/>
      <c r="F210" s="40"/>
      <c r="G210" s="38"/>
      <c r="H210" s="39"/>
      <c r="I210" s="41"/>
      <c r="J210" s="41"/>
      <c r="K210" s="41"/>
      <c r="L210" s="40"/>
      <c r="M210" s="42"/>
      <c r="N210" s="41"/>
      <c r="O210" s="41"/>
      <c r="P210" s="41"/>
    </row>
    <row r="211" spans="1:16" ht="15.75" customHeight="1" x14ac:dyDescent="0.25">
      <c r="A211" s="37"/>
      <c r="B211" s="38"/>
      <c r="C211" s="39"/>
      <c r="D211" s="38"/>
      <c r="E211" s="39"/>
      <c r="F211" s="40"/>
      <c r="G211" s="38"/>
      <c r="H211" s="39"/>
      <c r="I211" s="41"/>
      <c r="J211" s="41"/>
      <c r="K211" s="41"/>
      <c r="L211" s="40"/>
      <c r="M211" s="42"/>
      <c r="N211" s="41"/>
      <c r="O211" s="41"/>
      <c r="P211" s="41"/>
    </row>
    <row r="212" spans="1:16" ht="15.75" customHeight="1" x14ac:dyDescent="0.25">
      <c r="A212" s="37"/>
      <c r="B212" s="38"/>
      <c r="C212" s="39"/>
      <c r="D212" s="38"/>
      <c r="E212" s="39"/>
      <c r="F212" s="40"/>
      <c r="G212" s="38"/>
      <c r="H212" s="39"/>
      <c r="I212" s="41"/>
      <c r="J212" s="41"/>
      <c r="K212" s="41"/>
      <c r="L212" s="40"/>
      <c r="M212" s="42"/>
      <c r="N212" s="41"/>
      <c r="O212" s="41"/>
      <c r="P212" s="41"/>
    </row>
    <row r="213" spans="1:16" ht="15.75" customHeight="1" x14ac:dyDescent="0.25">
      <c r="A213" s="37"/>
      <c r="B213" s="38"/>
      <c r="C213" s="39"/>
      <c r="D213" s="38"/>
      <c r="E213" s="39"/>
      <c r="F213" s="40"/>
      <c r="G213" s="38"/>
      <c r="H213" s="39"/>
      <c r="I213" s="41"/>
      <c r="J213" s="41"/>
      <c r="K213" s="41"/>
      <c r="L213" s="40"/>
      <c r="M213" s="42"/>
      <c r="N213" s="41"/>
      <c r="O213" s="41"/>
      <c r="P213" s="41"/>
    </row>
    <row r="214" spans="1:16" ht="15.75" customHeight="1" x14ac:dyDescent="0.25">
      <c r="A214" s="37"/>
      <c r="B214" s="38"/>
      <c r="C214" s="39"/>
      <c r="D214" s="38"/>
      <c r="E214" s="39"/>
      <c r="F214" s="40"/>
      <c r="G214" s="38"/>
      <c r="H214" s="39"/>
      <c r="I214" s="41"/>
      <c r="J214" s="41"/>
      <c r="K214" s="41"/>
      <c r="L214" s="40"/>
      <c r="M214" s="42"/>
      <c r="N214" s="41"/>
      <c r="O214" s="41"/>
      <c r="P214" s="41"/>
    </row>
    <row r="215" spans="1:16" ht="15.75" customHeight="1" x14ac:dyDescent="0.25">
      <c r="A215" s="37"/>
      <c r="B215" s="38"/>
      <c r="C215" s="39"/>
      <c r="D215" s="38"/>
      <c r="E215" s="39"/>
      <c r="F215" s="40"/>
      <c r="G215" s="38"/>
      <c r="H215" s="39"/>
      <c r="I215" s="41"/>
      <c r="J215" s="41"/>
      <c r="K215" s="41"/>
      <c r="L215" s="40"/>
      <c r="M215" s="42"/>
      <c r="N215" s="41"/>
      <c r="O215" s="41"/>
      <c r="P215" s="41"/>
    </row>
    <row r="216" spans="1:16" ht="15.75" customHeight="1" x14ac:dyDescent="0.25">
      <c r="A216" s="37"/>
      <c r="B216" s="38"/>
      <c r="C216" s="39"/>
      <c r="D216" s="38"/>
      <c r="E216" s="39"/>
      <c r="F216" s="40"/>
      <c r="G216" s="38"/>
      <c r="H216" s="39"/>
      <c r="I216" s="41"/>
      <c r="J216" s="41"/>
      <c r="K216" s="41"/>
      <c r="L216" s="40"/>
      <c r="M216" s="42"/>
      <c r="N216" s="41"/>
      <c r="O216" s="41"/>
      <c r="P216" s="41"/>
    </row>
    <row r="217" spans="1:16" ht="15.75" customHeight="1" x14ac:dyDescent="0.25">
      <c r="A217" s="37"/>
      <c r="B217" s="38"/>
      <c r="C217" s="39"/>
      <c r="D217" s="38"/>
      <c r="E217" s="39"/>
      <c r="F217" s="40"/>
      <c r="G217" s="38"/>
      <c r="H217" s="39"/>
      <c r="I217" s="41"/>
      <c r="J217" s="41"/>
      <c r="K217" s="41"/>
      <c r="L217" s="40"/>
      <c r="M217" s="42"/>
      <c r="N217" s="41"/>
      <c r="O217" s="41"/>
      <c r="P217" s="41"/>
    </row>
    <row r="218" spans="1:16" ht="15.75" customHeight="1" x14ac:dyDescent="0.25">
      <c r="A218" s="37"/>
      <c r="B218" s="38"/>
      <c r="C218" s="39"/>
      <c r="D218" s="38"/>
      <c r="E218" s="39"/>
      <c r="F218" s="40"/>
      <c r="G218" s="38"/>
      <c r="H218" s="39"/>
      <c r="I218" s="41"/>
      <c r="J218" s="41"/>
      <c r="K218" s="41"/>
      <c r="L218" s="40"/>
      <c r="M218" s="42"/>
      <c r="N218" s="41"/>
      <c r="O218" s="41"/>
      <c r="P218" s="41"/>
    </row>
    <row r="219" spans="1:16" ht="15.75" customHeight="1" x14ac:dyDescent="0.25">
      <c r="A219" s="37"/>
      <c r="B219" s="38"/>
      <c r="C219" s="39"/>
      <c r="D219" s="38"/>
      <c r="E219" s="39"/>
      <c r="F219" s="40"/>
      <c r="G219" s="38"/>
      <c r="H219" s="39"/>
      <c r="I219" s="41"/>
      <c r="J219" s="41"/>
      <c r="K219" s="41"/>
      <c r="L219" s="40"/>
      <c r="M219" s="42"/>
      <c r="N219" s="41"/>
      <c r="O219" s="41"/>
      <c r="P219" s="41"/>
    </row>
    <row r="220" spans="1:16" ht="15.75" customHeight="1" x14ac:dyDescent="0.25">
      <c r="A220" s="37"/>
      <c r="B220" s="38"/>
      <c r="C220" s="39"/>
      <c r="D220" s="38"/>
      <c r="E220" s="39"/>
      <c r="F220" s="40"/>
      <c r="G220" s="38"/>
      <c r="H220" s="39"/>
      <c r="I220" s="41"/>
      <c r="J220" s="41"/>
      <c r="K220" s="41"/>
      <c r="L220" s="40"/>
      <c r="M220" s="42"/>
      <c r="N220" s="41"/>
      <c r="O220" s="41"/>
      <c r="P220" s="41"/>
    </row>
    <row r="221" spans="1:16" ht="15.75" customHeight="1" x14ac:dyDescent="0.25">
      <c r="A221" s="37"/>
      <c r="B221" s="38"/>
      <c r="C221" s="39"/>
      <c r="D221" s="38"/>
      <c r="E221" s="39"/>
      <c r="F221" s="40"/>
      <c r="G221" s="38"/>
      <c r="H221" s="39"/>
      <c r="I221" s="41"/>
      <c r="J221" s="41"/>
      <c r="K221" s="41"/>
      <c r="L221" s="40"/>
      <c r="M221" s="42"/>
      <c r="N221" s="41"/>
      <c r="O221" s="41"/>
      <c r="P221" s="41"/>
    </row>
    <row r="222" spans="1:16" ht="15.75" customHeight="1" x14ac:dyDescent="0.25">
      <c r="A222" s="37"/>
      <c r="B222" s="38"/>
      <c r="C222" s="39"/>
      <c r="D222" s="38"/>
      <c r="E222" s="39"/>
      <c r="F222" s="40"/>
      <c r="G222" s="38"/>
      <c r="H222" s="39"/>
      <c r="I222" s="41"/>
      <c r="J222" s="41"/>
      <c r="K222" s="41"/>
      <c r="L222" s="40"/>
      <c r="M222" s="42"/>
      <c r="N222" s="41"/>
      <c r="O222" s="41"/>
      <c r="P222" s="41"/>
    </row>
    <row r="223" spans="1:16" ht="15.75" customHeight="1" x14ac:dyDescent="0.25">
      <c r="A223" s="37"/>
      <c r="B223" s="38"/>
      <c r="C223" s="39"/>
      <c r="D223" s="38"/>
      <c r="E223" s="39"/>
      <c r="F223" s="40"/>
      <c r="G223" s="38"/>
      <c r="H223" s="39"/>
      <c r="I223" s="41"/>
      <c r="J223" s="41"/>
      <c r="K223" s="41"/>
      <c r="L223" s="40"/>
      <c r="M223" s="42"/>
      <c r="N223" s="41"/>
      <c r="O223" s="41"/>
      <c r="P223" s="41"/>
    </row>
    <row r="224" spans="1:16" ht="15.75" customHeight="1" x14ac:dyDescent="0.25">
      <c r="A224" s="37"/>
      <c r="B224" s="38"/>
      <c r="C224" s="39"/>
      <c r="D224" s="38"/>
      <c r="E224" s="39"/>
      <c r="F224" s="40"/>
      <c r="G224" s="38"/>
      <c r="H224" s="39"/>
      <c r="I224" s="41"/>
      <c r="J224" s="41"/>
      <c r="K224" s="41"/>
      <c r="L224" s="40"/>
      <c r="M224" s="42"/>
      <c r="N224" s="41"/>
      <c r="O224" s="41"/>
      <c r="P224" s="41"/>
    </row>
    <row r="225" spans="1:16" ht="15.75" customHeight="1" x14ac:dyDescent="0.25">
      <c r="A225" s="37"/>
      <c r="B225" s="38"/>
      <c r="C225" s="39"/>
      <c r="D225" s="38"/>
      <c r="E225" s="39"/>
      <c r="F225" s="40"/>
      <c r="G225" s="38"/>
      <c r="H225" s="39"/>
      <c r="I225" s="41"/>
      <c r="J225" s="41"/>
      <c r="K225" s="41"/>
      <c r="L225" s="40"/>
      <c r="M225" s="42"/>
      <c r="N225" s="41"/>
      <c r="O225" s="41"/>
      <c r="P225" s="41"/>
    </row>
    <row r="226" spans="1:16" ht="15.75" customHeight="1" x14ac:dyDescent="0.25">
      <c r="A226" s="37"/>
      <c r="B226" s="38"/>
      <c r="C226" s="39"/>
      <c r="D226" s="38"/>
      <c r="E226" s="39"/>
      <c r="F226" s="40"/>
      <c r="G226" s="38"/>
      <c r="H226" s="39"/>
      <c r="I226" s="41"/>
      <c r="J226" s="41"/>
      <c r="K226" s="41"/>
      <c r="L226" s="40"/>
      <c r="M226" s="42"/>
      <c r="N226" s="41"/>
      <c r="O226" s="41"/>
      <c r="P226" s="41"/>
    </row>
    <row r="227" spans="1:16" ht="15.75" customHeight="1" x14ac:dyDescent="0.25">
      <c r="A227" s="37"/>
      <c r="B227" s="38"/>
      <c r="C227" s="39"/>
      <c r="D227" s="38"/>
      <c r="E227" s="39"/>
      <c r="F227" s="40"/>
      <c r="G227" s="38"/>
      <c r="H227" s="39"/>
      <c r="I227" s="41"/>
      <c r="J227" s="41"/>
      <c r="K227" s="41"/>
      <c r="L227" s="40"/>
      <c r="M227" s="42"/>
      <c r="N227" s="41"/>
      <c r="O227" s="41"/>
      <c r="P227" s="41"/>
    </row>
    <row r="228" spans="1:16" ht="15.75" customHeight="1" x14ac:dyDescent="0.25">
      <c r="A228" s="37"/>
      <c r="B228" s="38"/>
      <c r="C228" s="39"/>
      <c r="D228" s="38"/>
      <c r="E228" s="39"/>
      <c r="F228" s="40"/>
      <c r="G228" s="38"/>
      <c r="H228" s="39"/>
      <c r="I228" s="41"/>
      <c r="J228" s="41"/>
      <c r="K228" s="41"/>
      <c r="L228" s="40"/>
      <c r="M228" s="42"/>
      <c r="N228" s="41"/>
      <c r="O228" s="41"/>
      <c r="P228" s="41"/>
    </row>
    <row r="229" spans="1:16" ht="15.75" customHeight="1" x14ac:dyDescent="0.25">
      <c r="A229" s="37"/>
      <c r="B229" s="38"/>
      <c r="C229" s="39"/>
      <c r="D229" s="38"/>
      <c r="E229" s="39"/>
      <c r="F229" s="40"/>
      <c r="G229" s="38"/>
      <c r="H229" s="39"/>
      <c r="I229" s="41"/>
      <c r="J229" s="41"/>
      <c r="K229" s="41"/>
      <c r="L229" s="40"/>
      <c r="M229" s="42"/>
      <c r="N229" s="41"/>
      <c r="O229" s="41"/>
      <c r="P229" s="41"/>
    </row>
    <row r="230" spans="1:16" ht="15.75" customHeight="1" x14ac:dyDescent="0.25">
      <c r="A230" s="37"/>
      <c r="B230" s="38"/>
      <c r="C230" s="39"/>
      <c r="D230" s="38"/>
      <c r="E230" s="39"/>
      <c r="F230" s="40"/>
      <c r="G230" s="38"/>
      <c r="H230" s="39"/>
      <c r="I230" s="41"/>
      <c r="J230" s="41"/>
      <c r="K230" s="41"/>
      <c r="L230" s="40"/>
      <c r="M230" s="42"/>
      <c r="N230" s="41"/>
      <c r="O230" s="41"/>
      <c r="P230" s="41"/>
    </row>
    <row r="231" spans="1:16" ht="15.75" customHeight="1" x14ac:dyDescent="0.25">
      <c r="A231" s="37"/>
      <c r="B231" s="38"/>
      <c r="C231" s="39"/>
      <c r="D231" s="38"/>
      <c r="E231" s="39"/>
      <c r="F231" s="40"/>
      <c r="G231" s="38"/>
      <c r="H231" s="39"/>
      <c r="I231" s="41"/>
      <c r="J231" s="41"/>
      <c r="K231" s="41"/>
      <c r="L231" s="40"/>
      <c r="M231" s="42"/>
      <c r="N231" s="41"/>
      <c r="O231" s="41"/>
      <c r="P231" s="41"/>
    </row>
    <row r="232" spans="1:16" ht="15.75" customHeight="1" x14ac:dyDescent="0.25">
      <c r="A232" s="37"/>
      <c r="B232" s="38"/>
      <c r="C232" s="39"/>
      <c r="D232" s="38"/>
      <c r="E232" s="39"/>
      <c r="F232" s="40"/>
      <c r="G232" s="38"/>
      <c r="H232" s="39"/>
      <c r="I232" s="41"/>
      <c r="J232" s="41"/>
      <c r="K232" s="41"/>
      <c r="L232" s="40"/>
      <c r="M232" s="42"/>
      <c r="N232" s="41"/>
      <c r="O232" s="41"/>
      <c r="P232" s="41"/>
    </row>
    <row r="233" spans="1:16" ht="15.75" customHeight="1" x14ac:dyDescent="0.25">
      <c r="A233" s="37"/>
      <c r="B233" s="38"/>
      <c r="C233" s="39"/>
      <c r="D233" s="38"/>
      <c r="E233" s="39"/>
      <c r="F233" s="40"/>
      <c r="G233" s="38"/>
      <c r="H233" s="39"/>
      <c r="I233" s="41"/>
      <c r="J233" s="41"/>
      <c r="K233" s="41"/>
      <c r="L233" s="40"/>
      <c r="M233" s="42"/>
      <c r="N233" s="41"/>
      <c r="O233" s="41"/>
      <c r="P233" s="41"/>
    </row>
    <row r="234" spans="1:16" ht="15.75" customHeight="1" x14ac:dyDescent="0.25">
      <c r="A234" s="37"/>
      <c r="B234" s="38"/>
      <c r="C234" s="39"/>
      <c r="D234" s="38"/>
      <c r="E234" s="39"/>
      <c r="F234" s="40"/>
      <c r="G234" s="38"/>
      <c r="H234" s="39"/>
      <c r="I234" s="41"/>
      <c r="J234" s="41"/>
      <c r="K234" s="41"/>
      <c r="L234" s="40"/>
      <c r="M234" s="42"/>
      <c r="N234" s="41"/>
      <c r="O234" s="41"/>
      <c r="P234" s="41"/>
    </row>
    <row r="235" spans="1:16" ht="15.75" customHeight="1" x14ac:dyDescent="0.25">
      <c r="A235" s="37"/>
      <c r="B235" s="38"/>
      <c r="C235" s="39"/>
      <c r="D235" s="38"/>
      <c r="E235" s="39"/>
      <c r="F235" s="40"/>
      <c r="G235" s="38"/>
      <c r="H235" s="39"/>
      <c r="I235" s="41"/>
      <c r="J235" s="41"/>
      <c r="K235" s="41"/>
      <c r="L235" s="40"/>
      <c r="M235" s="42"/>
      <c r="N235" s="41"/>
      <c r="O235" s="41"/>
      <c r="P235" s="41"/>
    </row>
    <row r="236" spans="1:16" ht="15.75" customHeight="1" x14ac:dyDescent="0.25">
      <c r="A236" s="37"/>
      <c r="B236" s="38"/>
      <c r="C236" s="39"/>
      <c r="D236" s="38"/>
      <c r="E236" s="39"/>
      <c r="F236" s="40"/>
      <c r="G236" s="38"/>
      <c r="H236" s="39"/>
      <c r="I236" s="41"/>
      <c r="J236" s="41"/>
      <c r="K236" s="41"/>
      <c r="L236" s="40"/>
      <c r="M236" s="42"/>
      <c r="N236" s="41"/>
      <c r="O236" s="41"/>
      <c r="P236" s="41"/>
    </row>
    <row r="237" spans="1:16" ht="15.75" customHeight="1" x14ac:dyDescent="0.25">
      <c r="A237" s="37"/>
      <c r="B237" s="38"/>
      <c r="C237" s="39"/>
      <c r="D237" s="38"/>
      <c r="E237" s="39"/>
      <c r="F237" s="40"/>
      <c r="G237" s="38"/>
      <c r="H237" s="39"/>
      <c r="I237" s="41"/>
      <c r="J237" s="41"/>
      <c r="K237" s="41"/>
      <c r="L237" s="40"/>
      <c r="M237" s="42"/>
      <c r="N237" s="41"/>
      <c r="O237" s="41"/>
      <c r="P237" s="41"/>
    </row>
    <row r="238" spans="1:16" ht="15.75" customHeight="1" x14ac:dyDescent="0.25">
      <c r="A238" s="37"/>
      <c r="B238" s="38"/>
      <c r="C238" s="39"/>
      <c r="D238" s="38"/>
      <c r="E238" s="39"/>
      <c r="F238" s="40"/>
      <c r="G238" s="38"/>
      <c r="H238" s="39"/>
      <c r="I238" s="41"/>
      <c r="J238" s="41"/>
      <c r="K238" s="41"/>
      <c r="L238" s="40"/>
      <c r="M238" s="42"/>
      <c r="N238" s="41"/>
      <c r="O238" s="41"/>
      <c r="P238" s="41"/>
    </row>
    <row r="239" spans="1:16" ht="15.75" customHeight="1" x14ac:dyDescent="0.25">
      <c r="A239" s="37"/>
      <c r="B239" s="38"/>
      <c r="C239" s="39"/>
      <c r="D239" s="38"/>
      <c r="E239" s="39"/>
      <c r="F239" s="40"/>
      <c r="G239" s="38"/>
      <c r="H239" s="39"/>
      <c r="I239" s="41"/>
      <c r="J239" s="41"/>
      <c r="K239" s="41"/>
      <c r="L239" s="40"/>
      <c r="M239" s="42"/>
      <c r="N239" s="41"/>
      <c r="O239" s="41"/>
      <c r="P239" s="41"/>
    </row>
    <row r="240" spans="1:16" ht="15.75" customHeight="1" x14ac:dyDescent="0.25">
      <c r="A240" s="37"/>
      <c r="B240" s="38"/>
      <c r="C240" s="39"/>
      <c r="D240" s="38"/>
      <c r="E240" s="39"/>
      <c r="F240" s="40"/>
      <c r="G240" s="38"/>
      <c r="H240" s="39"/>
      <c r="I240" s="41"/>
      <c r="J240" s="41"/>
      <c r="K240" s="41"/>
      <c r="L240" s="40"/>
      <c r="M240" s="42"/>
      <c r="N240" s="41"/>
      <c r="O240" s="41"/>
      <c r="P240" s="41"/>
    </row>
    <row r="241" spans="1:16" ht="15.75" customHeight="1" x14ac:dyDescent="0.25">
      <c r="A241" s="37"/>
      <c r="B241" s="38"/>
      <c r="C241" s="39"/>
      <c r="D241" s="38"/>
      <c r="E241" s="39"/>
      <c r="F241" s="40"/>
      <c r="G241" s="38"/>
      <c r="H241" s="39"/>
      <c r="I241" s="41"/>
      <c r="J241" s="41"/>
      <c r="K241" s="41"/>
      <c r="L241" s="40"/>
      <c r="M241" s="42"/>
      <c r="N241" s="41"/>
      <c r="O241" s="41"/>
      <c r="P241" s="41"/>
    </row>
    <row r="242" spans="1:16" ht="15.75" customHeight="1" x14ac:dyDescent="0.25">
      <c r="A242" s="37"/>
      <c r="B242" s="38"/>
      <c r="C242" s="39"/>
      <c r="D242" s="38"/>
      <c r="E242" s="39"/>
      <c r="F242" s="40"/>
      <c r="G242" s="38"/>
      <c r="H242" s="39"/>
      <c r="I242" s="41"/>
      <c r="J242" s="41"/>
      <c r="K242" s="41"/>
      <c r="L242" s="40"/>
      <c r="M242" s="42"/>
      <c r="N242" s="41"/>
      <c r="O242" s="41"/>
      <c r="P242" s="41"/>
    </row>
    <row r="243" spans="1:16" ht="15.75" customHeight="1" x14ac:dyDescent="0.25">
      <c r="A243" s="37"/>
      <c r="B243" s="38"/>
      <c r="C243" s="39"/>
      <c r="D243" s="38"/>
      <c r="E243" s="39"/>
      <c r="F243" s="40"/>
      <c r="G243" s="38"/>
      <c r="H243" s="39"/>
      <c r="I243" s="41"/>
      <c r="J243" s="41"/>
      <c r="K243" s="41"/>
      <c r="L243" s="40"/>
      <c r="M243" s="42"/>
      <c r="N243" s="41"/>
      <c r="O243" s="41"/>
      <c r="P243" s="41"/>
    </row>
    <row r="244" spans="1:16" ht="15.75" customHeight="1" x14ac:dyDescent="0.25">
      <c r="A244" s="37"/>
      <c r="B244" s="38"/>
      <c r="C244" s="39"/>
      <c r="D244" s="38"/>
      <c r="E244" s="39"/>
      <c r="F244" s="40"/>
      <c r="G244" s="38"/>
      <c r="H244" s="39"/>
      <c r="I244" s="41"/>
      <c r="J244" s="41"/>
      <c r="K244" s="41"/>
      <c r="L244" s="40"/>
      <c r="M244" s="42"/>
      <c r="N244" s="41"/>
      <c r="O244" s="41"/>
      <c r="P244" s="41"/>
    </row>
    <row r="245" spans="1:16" ht="15.75" customHeight="1" x14ac:dyDescent="0.25">
      <c r="A245" s="37"/>
      <c r="B245" s="38"/>
      <c r="C245" s="39"/>
      <c r="D245" s="38"/>
      <c r="E245" s="39"/>
      <c r="F245" s="40"/>
      <c r="G245" s="38"/>
      <c r="H245" s="39"/>
      <c r="I245" s="41"/>
      <c r="J245" s="41"/>
      <c r="K245" s="41"/>
      <c r="L245" s="40"/>
      <c r="M245" s="42"/>
      <c r="N245" s="41"/>
      <c r="O245" s="41"/>
      <c r="P245" s="41"/>
    </row>
    <row r="246" spans="1:16" ht="15.75" customHeight="1" x14ac:dyDescent="0.25">
      <c r="A246" s="37"/>
      <c r="B246" s="38"/>
      <c r="C246" s="39"/>
      <c r="D246" s="38"/>
      <c r="E246" s="39"/>
      <c r="F246" s="40"/>
      <c r="G246" s="38"/>
      <c r="H246" s="39"/>
      <c r="I246" s="41"/>
      <c r="J246" s="41"/>
      <c r="K246" s="41"/>
      <c r="L246" s="40"/>
      <c r="M246" s="42"/>
      <c r="N246" s="41"/>
      <c r="O246" s="41"/>
      <c r="P246" s="41"/>
    </row>
    <row r="247" spans="1:16" ht="15.75" customHeight="1" x14ac:dyDescent="0.25">
      <c r="A247" s="37"/>
      <c r="B247" s="38"/>
      <c r="C247" s="39"/>
      <c r="D247" s="38"/>
      <c r="E247" s="39"/>
      <c r="F247" s="40"/>
      <c r="G247" s="38"/>
      <c r="H247" s="39"/>
      <c r="I247" s="41"/>
      <c r="J247" s="41"/>
      <c r="K247" s="41"/>
      <c r="L247" s="40"/>
      <c r="M247" s="42"/>
      <c r="N247" s="41"/>
      <c r="O247" s="41"/>
      <c r="P247" s="41"/>
    </row>
    <row r="248" spans="1:16" ht="15.75" customHeight="1" x14ac:dyDescent="0.25">
      <c r="A248" s="37"/>
      <c r="B248" s="38"/>
      <c r="C248" s="39"/>
      <c r="D248" s="38"/>
      <c r="E248" s="39"/>
      <c r="F248" s="40"/>
      <c r="G248" s="38"/>
      <c r="H248" s="39"/>
      <c r="I248" s="41"/>
      <c r="J248" s="41"/>
      <c r="K248" s="41"/>
      <c r="L248" s="40"/>
      <c r="M248" s="42"/>
      <c r="N248" s="41"/>
      <c r="O248" s="41"/>
      <c r="P248" s="41"/>
    </row>
    <row r="249" spans="1:16" ht="15.75" customHeight="1" x14ac:dyDescent="0.25">
      <c r="A249" s="37"/>
      <c r="B249" s="38"/>
      <c r="C249" s="39"/>
      <c r="D249" s="38"/>
      <c r="E249" s="39"/>
      <c r="F249" s="40"/>
      <c r="G249" s="38"/>
      <c r="H249" s="39"/>
      <c r="I249" s="41"/>
      <c r="J249" s="41"/>
      <c r="K249" s="41"/>
      <c r="L249" s="40"/>
      <c r="M249" s="42"/>
      <c r="N249" s="41"/>
      <c r="O249" s="41"/>
      <c r="P249" s="41"/>
    </row>
    <row r="250" spans="1:16" ht="15.75" customHeight="1" x14ac:dyDescent="0.25">
      <c r="A250" s="37"/>
      <c r="B250" s="38"/>
      <c r="C250" s="39"/>
      <c r="D250" s="38"/>
      <c r="E250" s="39"/>
      <c r="F250" s="40"/>
      <c r="G250" s="38"/>
      <c r="H250" s="39"/>
      <c r="I250" s="41"/>
      <c r="J250" s="41"/>
      <c r="K250" s="41"/>
      <c r="L250" s="40"/>
      <c r="M250" s="42"/>
      <c r="N250" s="41"/>
      <c r="O250" s="41"/>
      <c r="P250" s="41"/>
    </row>
    <row r="251" spans="1:16" ht="15.75" customHeight="1" x14ac:dyDescent="0.25">
      <c r="A251" s="37"/>
      <c r="B251" s="38"/>
      <c r="C251" s="39"/>
      <c r="D251" s="38"/>
      <c r="E251" s="39"/>
      <c r="F251" s="40"/>
      <c r="G251" s="38"/>
      <c r="H251" s="39"/>
      <c r="I251" s="41"/>
      <c r="J251" s="41"/>
      <c r="K251" s="41"/>
      <c r="L251" s="40"/>
      <c r="M251" s="42"/>
      <c r="N251" s="41"/>
      <c r="O251" s="41"/>
      <c r="P251" s="41"/>
    </row>
    <row r="252" spans="1:16" ht="15.75" customHeight="1" x14ac:dyDescent="0.25">
      <c r="A252" s="37"/>
      <c r="B252" s="38"/>
      <c r="C252" s="39"/>
      <c r="D252" s="38"/>
      <c r="E252" s="39"/>
      <c r="F252" s="40"/>
      <c r="G252" s="38"/>
      <c r="H252" s="39"/>
      <c r="I252" s="41"/>
      <c r="J252" s="41"/>
      <c r="K252" s="41"/>
      <c r="L252" s="40"/>
      <c r="M252" s="42"/>
      <c r="N252" s="41"/>
      <c r="O252" s="41"/>
      <c r="P252" s="41"/>
    </row>
    <row r="253" spans="1:16" ht="15.75" customHeight="1" x14ac:dyDescent="0.25">
      <c r="A253" s="37"/>
      <c r="B253" s="38"/>
      <c r="C253" s="39"/>
      <c r="D253" s="38"/>
      <c r="E253" s="39"/>
      <c r="F253" s="40"/>
      <c r="G253" s="38"/>
      <c r="H253" s="39"/>
      <c r="I253" s="41"/>
      <c r="J253" s="41"/>
      <c r="K253" s="41"/>
      <c r="L253" s="40"/>
      <c r="M253" s="42"/>
      <c r="N253" s="41"/>
      <c r="O253" s="41"/>
      <c r="P253" s="41"/>
    </row>
    <row r="254" spans="1:16" ht="15.75" customHeight="1" x14ac:dyDescent="0.25">
      <c r="A254" s="37"/>
      <c r="B254" s="38"/>
      <c r="C254" s="39"/>
      <c r="D254" s="38"/>
      <c r="E254" s="39"/>
      <c r="F254" s="40"/>
      <c r="G254" s="38"/>
      <c r="H254" s="39"/>
      <c r="I254" s="41"/>
      <c r="J254" s="41"/>
      <c r="K254" s="41"/>
      <c r="L254" s="40"/>
      <c r="M254" s="42"/>
      <c r="N254" s="41"/>
      <c r="O254" s="41"/>
      <c r="P254" s="41"/>
    </row>
    <row r="255" spans="1:16" ht="15.75" customHeight="1" x14ac:dyDescent="0.25">
      <c r="A255" s="37"/>
      <c r="B255" s="38"/>
      <c r="C255" s="39"/>
      <c r="D255" s="38"/>
      <c r="E255" s="39"/>
      <c r="F255" s="40"/>
      <c r="G255" s="38"/>
      <c r="H255" s="39"/>
      <c r="I255" s="41"/>
      <c r="J255" s="41"/>
      <c r="K255" s="41"/>
      <c r="L255" s="40"/>
      <c r="M255" s="42"/>
      <c r="N255" s="41"/>
      <c r="O255" s="41"/>
      <c r="P255" s="41"/>
    </row>
    <row r="256" spans="1:16" ht="15.75" customHeight="1" x14ac:dyDescent="0.25">
      <c r="A256" s="37"/>
      <c r="B256" s="38"/>
      <c r="C256" s="39"/>
      <c r="D256" s="38"/>
      <c r="E256" s="39"/>
      <c r="F256" s="40"/>
      <c r="G256" s="38"/>
      <c r="H256" s="39"/>
      <c r="I256" s="41"/>
      <c r="J256" s="41"/>
      <c r="K256" s="41"/>
      <c r="L256" s="40"/>
      <c r="M256" s="42"/>
      <c r="N256" s="41"/>
      <c r="O256" s="41"/>
      <c r="P256" s="41"/>
    </row>
    <row r="257" spans="1:16" ht="15.75" customHeight="1" x14ac:dyDescent="0.25">
      <c r="A257" s="37"/>
      <c r="B257" s="38"/>
      <c r="C257" s="39"/>
      <c r="D257" s="38"/>
      <c r="E257" s="39"/>
      <c r="F257" s="40"/>
      <c r="G257" s="38"/>
      <c r="H257" s="39"/>
      <c r="I257" s="41"/>
      <c r="J257" s="41"/>
      <c r="K257" s="41"/>
      <c r="L257" s="40"/>
      <c r="M257" s="42"/>
      <c r="N257" s="41"/>
      <c r="O257" s="41"/>
      <c r="P257" s="41"/>
    </row>
    <row r="258" spans="1:16" ht="15.75" customHeight="1" x14ac:dyDescent="0.25">
      <c r="A258" s="37"/>
      <c r="B258" s="38"/>
      <c r="C258" s="39"/>
      <c r="D258" s="38"/>
      <c r="E258" s="39"/>
      <c r="F258" s="40"/>
      <c r="G258" s="38"/>
      <c r="H258" s="39"/>
      <c r="I258" s="41"/>
      <c r="J258" s="41"/>
      <c r="K258" s="41"/>
      <c r="L258" s="40"/>
      <c r="M258" s="42"/>
      <c r="N258" s="41"/>
      <c r="O258" s="41"/>
      <c r="P258" s="41"/>
    </row>
    <row r="259" spans="1:16" ht="15.75" customHeight="1" x14ac:dyDescent="0.25">
      <c r="A259" s="37"/>
      <c r="B259" s="38"/>
      <c r="C259" s="39"/>
      <c r="D259" s="38"/>
      <c r="E259" s="39"/>
      <c r="F259" s="40"/>
      <c r="G259" s="38"/>
      <c r="H259" s="39"/>
      <c r="I259" s="41"/>
      <c r="J259" s="41"/>
      <c r="K259" s="41"/>
      <c r="L259" s="40"/>
      <c r="M259" s="42"/>
      <c r="N259" s="41"/>
      <c r="O259" s="41"/>
      <c r="P259" s="41"/>
    </row>
    <row r="260" spans="1:16" ht="15.75" customHeight="1" x14ac:dyDescent="0.25">
      <c r="A260" s="37"/>
      <c r="B260" s="38"/>
      <c r="C260" s="39"/>
      <c r="D260" s="38"/>
      <c r="E260" s="39"/>
      <c r="F260" s="40"/>
      <c r="G260" s="38"/>
      <c r="H260" s="39"/>
      <c r="I260" s="41"/>
      <c r="J260" s="41"/>
      <c r="K260" s="41"/>
      <c r="L260" s="40"/>
      <c r="M260" s="42"/>
      <c r="N260" s="41"/>
      <c r="O260" s="41"/>
      <c r="P260" s="41"/>
    </row>
    <row r="261" spans="1:16" ht="15.75" customHeight="1" x14ac:dyDescent="0.25">
      <c r="A261" s="37"/>
      <c r="B261" s="38"/>
      <c r="C261" s="39"/>
      <c r="D261" s="38"/>
      <c r="E261" s="39"/>
      <c r="F261" s="40"/>
      <c r="G261" s="38"/>
      <c r="H261" s="39"/>
      <c r="I261" s="41"/>
      <c r="J261" s="41"/>
      <c r="K261" s="41"/>
      <c r="L261" s="40"/>
      <c r="M261" s="42"/>
      <c r="N261" s="41"/>
      <c r="O261" s="41"/>
      <c r="P261" s="41"/>
    </row>
    <row r="262" spans="1:16" ht="15.75" customHeight="1" x14ac:dyDescent="0.25">
      <c r="A262" s="37"/>
      <c r="B262" s="38"/>
      <c r="C262" s="39"/>
      <c r="D262" s="38"/>
      <c r="E262" s="39"/>
      <c r="F262" s="40"/>
      <c r="G262" s="38"/>
      <c r="H262" s="39"/>
      <c r="I262" s="41"/>
      <c r="J262" s="41"/>
      <c r="K262" s="41"/>
      <c r="L262" s="40"/>
      <c r="M262" s="42"/>
      <c r="N262" s="41"/>
      <c r="O262" s="41"/>
      <c r="P262" s="41"/>
    </row>
    <row r="263" spans="1:16" ht="15.75" customHeight="1" x14ac:dyDescent="0.25">
      <c r="A263" s="37"/>
      <c r="B263" s="38"/>
      <c r="C263" s="39"/>
      <c r="D263" s="38"/>
      <c r="E263" s="39"/>
      <c r="F263" s="40"/>
      <c r="G263" s="38"/>
      <c r="H263" s="39"/>
      <c r="I263" s="41"/>
      <c r="J263" s="41"/>
      <c r="K263" s="41"/>
      <c r="L263" s="40"/>
      <c r="M263" s="42"/>
      <c r="N263" s="41"/>
      <c r="O263" s="41"/>
      <c r="P263" s="41"/>
    </row>
    <row r="264" spans="1:16" ht="15.75" customHeight="1" x14ac:dyDescent="0.25">
      <c r="A264" s="37"/>
      <c r="B264" s="38"/>
      <c r="C264" s="39"/>
      <c r="D264" s="38"/>
      <c r="E264" s="39"/>
      <c r="F264" s="40"/>
      <c r="G264" s="38"/>
      <c r="H264" s="39"/>
      <c r="I264" s="41"/>
      <c r="J264" s="41"/>
      <c r="K264" s="41"/>
      <c r="L264" s="40"/>
      <c r="M264" s="42"/>
      <c r="N264" s="41"/>
      <c r="O264" s="41"/>
      <c r="P264" s="41"/>
    </row>
    <row r="265" spans="1:16" ht="15.75" customHeight="1" x14ac:dyDescent="0.25">
      <c r="A265" s="37"/>
      <c r="B265" s="38"/>
      <c r="C265" s="39"/>
      <c r="D265" s="38"/>
      <c r="E265" s="39"/>
      <c r="F265" s="40"/>
      <c r="G265" s="38"/>
      <c r="H265" s="39"/>
      <c r="I265" s="41"/>
      <c r="J265" s="41"/>
      <c r="K265" s="41"/>
      <c r="L265" s="40"/>
      <c r="M265" s="42"/>
      <c r="N265" s="41"/>
      <c r="O265" s="41"/>
      <c r="P265" s="41"/>
    </row>
    <row r="266" spans="1:16" ht="15.75" customHeight="1" x14ac:dyDescent="0.25">
      <c r="A266" s="37"/>
      <c r="B266" s="38"/>
      <c r="C266" s="39"/>
      <c r="D266" s="38"/>
      <c r="E266" s="39"/>
      <c r="F266" s="40"/>
      <c r="G266" s="38"/>
      <c r="H266" s="39"/>
      <c r="I266" s="41"/>
      <c r="J266" s="41"/>
      <c r="K266" s="41"/>
      <c r="L266" s="40"/>
      <c r="M266" s="42"/>
      <c r="N266" s="41"/>
      <c r="O266" s="41"/>
      <c r="P266" s="41"/>
    </row>
    <row r="267" spans="1:16" ht="15.75" customHeight="1" x14ac:dyDescent="0.25">
      <c r="A267" s="37"/>
      <c r="B267" s="38"/>
      <c r="C267" s="39"/>
      <c r="D267" s="38"/>
      <c r="E267" s="39"/>
      <c r="F267" s="40"/>
      <c r="G267" s="38"/>
      <c r="H267" s="39"/>
      <c r="I267" s="41"/>
      <c r="J267" s="41"/>
      <c r="K267" s="41"/>
      <c r="L267" s="40"/>
      <c r="M267" s="42"/>
      <c r="N267" s="41"/>
      <c r="O267" s="41"/>
      <c r="P267" s="41"/>
    </row>
    <row r="268" spans="1:16" ht="15.75" customHeight="1" x14ac:dyDescent="0.25">
      <c r="A268" s="37"/>
      <c r="B268" s="38"/>
      <c r="C268" s="39"/>
      <c r="D268" s="38"/>
      <c r="E268" s="39"/>
      <c r="F268" s="40"/>
      <c r="G268" s="38"/>
      <c r="H268" s="39"/>
      <c r="I268" s="41"/>
      <c r="J268" s="41"/>
      <c r="K268" s="41"/>
      <c r="L268" s="40"/>
      <c r="M268" s="42"/>
      <c r="N268" s="41"/>
      <c r="O268" s="41"/>
      <c r="P268" s="41"/>
    </row>
    <row r="269" spans="1:16" ht="15.75" customHeight="1" x14ac:dyDescent="0.25">
      <c r="A269" s="37"/>
      <c r="B269" s="38"/>
      <c r="C269" s="39"/>
      <c r="D269" s="38"/>
      <c r="E269" s="39"/>
      <c r="F269" s="40"/>
      <c r="G269" s="38"/>
      <c r="H269" s="39"/>
      <c r="I269" s="41"/>
      <c r="J269" s="41"/>
      <c r="K269" s="41"/>
      <c r="L269" s="40"/>
      <c r="M269" s="42"/>
      <c r="N269" s="41"/>
      <c r="O269" s="41"/>
      <c r="P269" s="41"/>
    </row>
    <row r="270" spans="1:16" ht="15.75" customHeight="1" x14ac:dyDescent="0.25">
      <c r="A270" s="37"/>
      <c r="B270" s="38"/>
      <c r="C270" s="39"/>
      <c r="D270" s="38"/>
      <c r="E270" s="39"/>
      <c r="F270" s="40"/>
      <c r="G270" s="38"/>
      <c r="H270" s="39"/>
      <c r="I270" s="41"/>
      <c r="J270" s="41"/>
      <c r="K270" s="41"/>
      <c r="L270" s="40"/>
      <c r="M270" s="42"/>
      <c r="N270" s="41"/>
      <c r="O270" s="41"/>
      <c r="P270" s="41"/>
    </row>
    <row r="271" spans="1:16" ht="15.75" customHeight="1" x14ac:dyDescent="0.25">
      <c r="A271" s="37"/>
      <c r="B271" s="38"/>
      <c r="C271" s="39"/>
      <c r="D271" s="38"/>
      <c r="E271" s="39"/>
      <c r="F271" s="40"/>
      <c r="G271" s="38"/>
      <c r="H271" s="39"/>
      <c r="I271" s="41"/>
      <c r="J271" s="41"/>
      <c r="K271" s="41"/>
      <c r="L271" s="40"/>
      <c r="M271" s="42"/>
      <c r="N271" s="41"/>
      <c r="O271" s="41"/>
      <c r="P271" s="41"/>
    </row>
    <row r="272" spans="1:16" ht="15.75" customHeight="1" x14ac:dyDescent="0.25">
      <c r="A272" s="37"/>
      <c r="B272" s="38"/>
      <c r="C272" s="39"/>
      <c r="D272" s="38"/>
      <c r="E272" s="39"/>
      <c r="F272" s="40"/>
      <c r="G272" s="38"/>
      <c r="H272" s="39"/>
      <c r="I272" s="41"/>
      <c r="J272" s="41"/>
      <c r="K272" s="41"/>
      <c r="L272" s="40"/>
      <c r="M272" s="42"/>
      <c r="N272" s="41"/>
      <c r="O272" s="41"/>
      <c r="P272" s="41"/>
    </row>
    <row r="273" spans="1:16" ht="15.75" customHeight="1" x14ac:dyDescent="0.25">
      <c r="A273" s="37"/>
      <c r="B273" s="38"/>
      <c r="C273" s="39"/>
      <c r="D273" s="38"/>
      <c r="E273" s="39"/>
      <c r="F273" s="40"/>
      <c r="G273" s="38"/>
      <c r="H273" s="39"/>
      <c r="I273" s="41"/>
      <c r="J273" s="41"/>
      <c r="K273" s="41"/>
      <c r="L273" s="40"/>
      <c r="M273" s="42"/>
      <c r="N273" s="41"/>
      <c r="O273" s="41"/>
      <c r="P273" s="41"/>
    </row>
    <row r="274" spans="1:16" ht="15.75" customHeight="1" x14ac:dyDescent="0.25">
      <c r="A274" s="37"/>
      <c r="B274" s="38"/>
      <c r="C274" s="39"/>
      <c r="D274" s="38"/>
      <c r="E274" s="39"/>
      <c r="F274" s="40"/>
      <c r="G274" s="38"/>
      <c r="H274" s="39"/>
      <c r="I274" s="41"/>
      <c r="J274" s="41"/>
      <c r="K274" s="41"/>
      <c r="L274" s="40"/>
      <c r="M274" s="42"/>
      <c r="N274" s="41"/>
      <c r="O274" s="41"/>
      <c r="P274" s="41"/>
    </row>
    <row r="275" spans="1:16" ht="15.75" customHeight="1" x14ac:dyDescent="0.25">
      <c r="A275" s="37"/>
      <c r="B275" s="38"/>
      <c r="C275" s="39"/>
      <c r="D275" s="38"/>
      <c r="E275" s="39"/>
      <c r="F275" s="40"/>
      <c r="G275" s="38"/>
      <c r="H275" s="39"/>
      <c r="I275" s="41"/>
      <c r="J275" s="41"/>
      <c r="K275" s="41"/>
      <c r="L275" s="40"/>
      <c r="M275" s="42"/>
      <c r="N275" s="41"/>
      <c r="O275" s="41"/>
      <c r="P275" s="41"/>
    </row>
    <row r="276" spans="1:16" ht="15.75" customHeight="1" x14ac:dyDescent="0.25">
      <c r="A276" s="37"/>
      <c r="B276" s="38"/>
      <c r="C276" s="39"/>
      <c r="D276" s="38"/>
      <c r="E276" s="39"/>
      <c r="F276" s="40"/>
      <c r="G276" s="38"/>
      <c r="H276" s="39"/>
      <c r="I276" s="41"/>
      <c r="J276" s="41"/>
      <c r="K276" s="41"/>
      <c r="L276" s="40"/>
      <c r="M276" s="42"/>
      <c r="N276" s="41"/>
      <c r="O276" s="41"/>
      <c r="P276" s="41"/>
    </row>
    <row r="277" spans="1:16" ht="15.75" customHeight="1" x14ac:dyDescent="0.25">
      <c r="A277" s="37"/>
      <c r="B277" s="38"/>
      <c r="C277" s="39"/>
      <c r="D277" s="38"/>
      <c r="E277" s="39"/>
      <c r="F277" s="40"/>
      <c r="G277" s="38"/>
      <c r="H277" s="39"/>
      <c r="I277" s="41"/>
      <c r="J277" s="41"/>
      <c r="K277" s="41"/>
      <c r="L277" s="40"/>
      <c r="M277" s="42"/>
      <c r="N277" s="41"/>
      <c r="O277" s="41"/>
      <c r="P277" s="41"/>
    </row>
    <row r="278" spans="1:16" ht="15.75" customHeight="1" x14ac:dyDescent="0.25">
      <c r="A278" s="37"/>
      <c r="B278" s="38"/>
      <c r="C278" s="39"/>
      <c r="D278" s="38"/>
      <c r="E278" s="39"/>
      <c r="F278" s="40"/>
      <c r="G278" s="38"/>
      <c r="H278" s="39"/>
      <c r="I278" s="41"/>
      <c r="J278" s="41"/>
      <c r="K278" s="41"/>
      <c r="L278" s="40"/>
      <c r="M278" s="42"/>
      <c r="N278" s="41"/>
      <c r="O278" s="41"/>
      <c r="P278" s="41"/>
    </row>
    <row r="279" spans="1:16" ht="15.75" customHeight="1" x14ac:dyDescent="0.25">
      <c r="A279" s="37"/>
      <c r="B279" s="38"/>
      <c r="C279" s="39"/>
      <c r="D279" s="38"/>
      <c r="E279" s="39"/>
      <c r="F279" s="40"/>
      <c r="G279" s="38"/>
      <c r="H279" s="39"/>
      <c r="I279" s="41"/>
      <c r="J279" s="41"/>
      <c r="K279" s="41"/>
      <c r="L279" s="40"/>
      <c r="M279" s="42"/>
      <c r="N279" s="41"/>
      <c r="O279" s="41"/>
      <c r="P279" s="41"/>
    </row>
    <row r="280" spans="1:16" ht="15.75" customHeight="1" x14ac:dyDescent="0.25">
      <c r="A280" s="37"/>
      <c r="B280" s="38"/>
      <c r="C280" s="39"/>
      <c r="D280" s="38"/>
      <c r="E280" s="39"/>
      <c r="F280" s="40"/>
      <c r="G280" s="38"/>
      <c r="H280" s="39"/>
      <c r="I280" s="41"/>
      <c r="J280" s="41"/>
      <c r="K280" s="41"/>
      <c r="L280" s="40"/>
      <c r="M280" s="42"/>
      <c r="N280" s="41"/>
      <c r="O280" s="41"/>
      <c r="P280" s="41"/>
    </row>
    <row r="281" spans="1:16" ht="15.75" customHeight="1" x14ac:dyDescent="0.25">
      <c r="A281" s="37"/>
      <c r="B281" s="38"/>
      <c r="C281" s="39"/>
      <c r="D281" s="38"/>
      <c r="E281" s="39"/>
      <c r="F281" s="40"/>
      <c r="G281" s="38"/>
      <c r="H281" s="39"/>
      <c r="I281" s="41"/>
      <c r="J281" s="41"/>
      <c r="K281" s="41"/>
      <c r="L281" s="40"/>
      <c r="M281" s="42"/>
      <c r="N281" s="41"/>
      <c r="O281" s="41"/>
      <c r="P281" s="41"/>
    </row>
    <row r="282" spans="1:16" ht="15.75" customHeight="1" x14ac:dyDescent="0.25">
      <c r="A282" s="37"/>
      <c r="B282" s="38"/>
      <c r="C282" s="39"/>
      <c r="D282" s="38"/>
      <c r="E282" s="39"/>
      <c r="F282" s="40"/>
      <c r="G282" s="38"/>
      <c r="H282" s="39"/>
      <c r="I282" s="41"/>
      <c r="J282" s="41"/>
      <c r="K282" s="41"/>
      <c r="L282" s="40"/>
      <c r="M282" s="42"/>
      <c r="N282" s="41"/>
      <c r="O282" s="41"/>
      <c r="P282" s="41"/>
    </row>
    <row r="283" spans="1:16" ht="15.75" customHeight="1" x14ac:dyDescent="0.25">
      <c r="A283" s="37"/>
      <c r="B283" s="38"/>
      <c r="C283" s="39"/>
      <c r="D283" s="38"/>
      <c r="E283" s="39"/>
      <c r="F283" s="40"/>
      <c r="G283" s="38"/>
      <c r="H283" s="39"/>
      <c r="I283" s="41"/>
      <c r="J283" s="41"/>
      <c r="K283" s="41"/>
      <c r="L283" s="40"/>
      <c r="M283" s="42"/>
      <c r="N283" s="41"/>
      <c r="O283" s="41"/>
      <c r="P283" s="41"/>
    </row>
    <row r="284" spans="1:16" ht="15.75" customHeight="1" x14ac:dyDescent="0.25">
      <c r="A284" s="37"/>
      <c r="B284" s="38"/>
      <c r="C284" s="39"/>
      <c r="D284" s="38"/>
      <c r="E284" s="39"/>
      <c r="F284" s="40"/>
      <c r="G284" s="38"/>
      <c r="H284" s="39"/>
      <c r="I284" s="41"/>
      <c r="J284" s="41"/>
      <c r="K284" s="41"/>
      <c r="L284" s="40"/>
      <c r="M284" s="42"/>
      <c r="N284" s="41"/>
      <c r="O284" s="41"/>
      <c r="P284" s="41"/>
    </row>
    <row r="285" spans="1:16" ht="15.75" customHeight="1" x14ac:dyDescent="0.25">
      <c r="A285" s="37"/>
      <c r="B285" s="38"/>
      <c r="C285" s="39"/>
      <c r="D285" s="38"/>
      <c r="E285" s="39"/>
      <c r="F285" s="40"/>
      <c r="G285" s="38"/>
      <c r="H285" s="39"/>
      <c r="I285" s="41"/>
      <c r="J285" s="41"/>
      <c r="K285" s="41"/>
      <c r="L285" s="40"/>
      <c r="M285" s="42"/>
      <c r="N285" s="41"/>
      <c r="O285" s="41"/>
      <c r="P285" s="41"/>
    </row>
    <row r="286" spans="1:16" ht="15.75" customHeight="1" x14ac:dyDescent="0.25">
      <c r="A286" s="37"/>
      <c r="B286" s="38"/>
      <c r="C286" s="39"/>
      <c r="D286" s="38"/>
      <c r="E286" s="39"/>
      <c r="F286" s="40"/>
      <c r="G286" s="38"/>
      <c r="H286" s="39"/>
      <c r="I286" s="41"/>
      <c r="J286" s="41"/>
      <c r="K286" s="41"/>
      <c r="L286" s="40"/>
      <c r="M286" s="42"/>
      <c r="N286" s="41"/>
      <c r="O286" s="41"/>
      <c r="P286" s="41"/>
    </row>
    <row r="287" spans="1:16" ht="15.75" customHeight="1" x14ac:dyDescent="0.25">
      <c r="A287" s="37"/>
      <c r="B287" s="38"/>
      <c r="C287" s="39"/>
      <c r="D287" s="38"/>
      <c r="E287" s="39"/>
      <c r="F287" s="40"/>
      <c r="G287" s="38"/>
      <c r="H287" s="39"/>
      <c r="I287" s="41"/>
      <c r="J287" s="41"/>
      <c r="K287" s="41"/>
      <c r="L287" s="40"/>
      <c r="M287" s="42"/>
      <c r="N287" s="41"/>
      <c r="O287" s="41"/>
      <c r="P287" s="41"/>
    </row>
    <row r="288" spans="1:16" ht="15.75" customHeight="1" x14ac:dyDescent="0.25">
      <c r="A288" s="37"/>
      <c r="B288" s="38"/>
      <c r="C288" s="39"/>
      <c r="D288" s="38"/>
      <c r="E288" s="39"/>
      <c r="F288" s="40"/>
      <c r="G288" s="38"/>
      <c r="H288" s="39"/>
      <c r="I288" s="41"/>
      <c r="J288" s="41"/>
      <c r="K288" s="41"/>
      <c r="L288" s="40"/>
      <c r="M288" s="42"/>
      <c r="N288" s="41"/>
      <c r="O288" s="41"/>
      <c r="P288" s="41"/>
    </row>
    <row r="289" spans="1:16" ht="15.75" customHeight="1" x14ac:dyDescent="0.25">
      <c r="A289" s="37"/>
      <c r="B289" s="38"/>
      <c r="C289" s="39"/>
      <c r="D289" s="38"/>
      <c r="E289" s="39"/>
      <c r="F289" s="40"/>
      <c r="G289" s="38"/>
      <c r="H289" s="39"/>
      <c r="I289" s="41"/>
      <c r="J289" s="41"/>
      <c r="K289" s="41"/>
      <c r="L289" s="40"/>
      <c r="M289" s="42"/>
      <c r="N289" s="41"/>
      <c r="O289" s="41"/>
      <c r="P289" s="41"/>
    </row>
    <row r="290" spans="1:16" ht="15.75" customHeight="1" x14ac:dyDescent="0.25">
      <c r="A290" s="37"/>
      <c r="B290" s="38"/>
      <c r="C290" s="39"/>
      <c r="D290" s="38"/>
      <c r="E290" s="39"/>
      <c r="F290" s="40"/>
      <c r="G290" s="38"/>
      <c r="H290" s="39"/>
      <c r="I290" s="41"/>
      <c r="J290" s="41"/>
      <c r="K290" s="41"/>
      <c r="L290" s="40"/>
      <c r="M290" s="42"/>
      <c r="N290" s="41"/>
      <c r="O290" s="41"/>
      <c r="P290" s="41"/>
    </row>
    <row r="291" spans="1:16" ht="15.75" customHeight="1" x14ac:dyDescent="0.25">
      <c r="A291" s="37"/>
      <c r="B291" s="38"/>
      <c r="C291" s="39"/>
      <c r="D291" s="38"/>
      <c r="E291" s="39"/>
      <c r="F291" s="40"/>
      <c r="G291" s="38"/>
      <c r="H291" s="39"/>
      <c r="I291" s="41"/>
      <c r="J291" s="41"/>
      <c r="K291" s="41"/>
      <c r="L291" s="40"/>
      <c r="M291" s="42"/>
      <c r="N291" s="41"/>
      <c r="O291" s="41"/>
      <c r="P291" s="41"/>
    </row>
    <row r="292" spans="1:16" ht="15.75" customHeight="1" x14ac:dyDescent="0.25">
      <c r="A292" s="37"/>
      <c r="B292" s="38"/>
      <c r="C292" s="39"/>
      <c r="D292" s="38"/>
      <c r="E292" s="39"/>
      <c r="F292" s="40"/>
      <c r="G292" s="38"/>
      <c r="H292" s="39"/>
      <c r="I292" s="41"/>
      <c r="J292" s="41"/>
      <c r="K292" s="41"/>
      <c r="L292" s="40"/>
      <c r="M292" s="42"/>
      <c r="N292" s="41"/>
      <c r="O292" s="41"/>
      <c r="P292" s="41"/>
    </row>
    <row r="293" spans="1:16" ht="15.75" customHeight="1" x14ac:dyDescent="0.25">
      <c r="A293" s="37"/>
      <c r="B293" s="38"/>
      <c r="C293" s="39"/>
      <c r="D293" s="38"/>
      <c r="E293" s="39"/>
      <c r="F293" s="40"/>
      <c r="G293" s="38"/>
      <c r="H293" s="39"/>
      <c r="I293" s="41"/>
      <c r="J293" s="41"/>
      <c r="K293" s="41"/>
      <c r="L293" s="40"/>
      <c r="M293" s="42"/>
      <c r="N293" s="41"/>
      <c r="O293" s="41"/>
      <c r="P293" s="41"/>
    </row>
    <row r="294" spans="1:16" ht="15.75" customHeight="1" x14ac:dyDescent="0.25">
      <c r="A294" s="37"/>
      <c r="B294" s="38"/>
      <c r="C294" s="39"/>
      <c r="D294" s="38"/>
      <c r="E294" s="39"/>
      <c r="F294" s="40"/>
      <c r="G294" s="38"/>
      <c r="H294" s="39"/>
      <c r="I294" s="41"/>
      <c r="J294" s="41"/>
      <c r="K294" s="41"/>
      <c r="L294" s="40"/>
      <c r="M294" s="42"/>
      <c r="N294" s="41"/>
      <c r="O294" s="41"/>
      <c r="P294" s="41"/>
    </row>
    <row r="295" spans="1:16" ht="15.75" customHeight="1" x14ac:dyDescent="0.25">
      <c r="A295" s="37"/>
      <c r="B295" s="38"/>
      <c r="C295" s="39"/>
      <c r="D295" s="38"/>
      <c r="E295" s="39"/>
      <c r="F295" s="40"/>
      <c r="G295" s="38"/>
      <c r="H295" s="39"/>
      <c r="I295" s="41"/>
      <c r="J295" s="41"/>
      <c r="K295" s="41"/>
      <c r="L295" s="40"/>
      <c r="M295" s="42"/>
      <c r="N295" s="41"/>
      <c r="O295" s="41"/>
      <c r="P295" s="41"/>
    </row>
    <row r="296" spans="1:16" ht="15.75" customHeight="1" x14ac:dyDescent="0.25">
      <c r="A296" s="37"/>
      <c r="B296" s="38"/>
      <c r="C296" s="39"/>
      <c r="D296" s="38"/>
      <c r="E296" s="39"/>
      <c r="F296" s="40"/>
      <c r="G296" s="38"/>
      <c r="H296" s="39"/>
      <c r="I296" s="41"/>
      <c r="J296" s="41"/>
      <c r="K296" s="41"/>
      <c r="L296" s="40"/>
      <c r="M296" s="42"/>
      <c r="N296" s="41"/>
      <c r="O296" s="41"/>
      <c r="P296" s="41"/>
    </row>
    <row r="297" spans="1:16" ht="15.75" customHeight="1" x14ac:dyDescent="0.25">
      <c r="A297" s="37"/>
      <c r="B297" s="38"/>
      <c r="C297" s="39"/>
      <c r="D297" s="38"/>
      <c r="E297" s="39"/>
      <c r="F297" s="40"/>
      <c r="G297" s="38"/>
      <c r="H297" s="39"/>
      <c r="I297" s="41"/>
      <c r="J297" s="41"/>
      <c r="K297" s="41"/>
      <c r="L297" s="40"/>
      <c r="M297" s="42"/>
      <c r="N297" s="41"/>
      <c r="O297" s="41"/>
      <c r="P297" s="41"/>
    </row>
    <row r="298" spans="1:16" ht="15.75" customHeight="1" x14ac:dyDescent="0.25">
      <c r="A298" s="37"/>
      <c r="B298" s="38"/>
      <c r="C298" s="39"/>
      <c r="D298" s="38"/>
      <c r="E298" s="39"/>
      <c r="F298" s="40"/>
      <c r="G298" s="38"/>
      <c r="H298" s="39"/>
      <c r="I298" s="41"/>
      <c r="J298" s="41"/>
      <c r="K298" s="41"/>
      <c r="L298" s="40"/>
      <c r="M298" s="42"/>
      <c r="N298" s="41"/>
      <c r="O298" s="41"/>
      <c r="P298" s="41"/>
    </row>
    <row r="299" spans="1:16" ht="15.75" customHeight="1" x14ac:dyDescent="0.25">
      <c r="A299" s="37"/>
      <c r="B299" s="38"/>
      <c r="C299" s="39"/>
      <c r="D299" s="38"/>
      <c r="E299" s="39"/>
      <c r="F299" s="40"/>
      <c r="G299" s="38"/>
      <c r="H299" s="39"/>
      <c r="I299" s="41"/>
      <c r="J299" s="41"/>
      <c r="K299" s="41"/>
      <c r="L299" s="40"/>
      <c r="M299" s="42"/>
      <c r="N299" s="41"/>
      <c r="O299" s="41"/>
      <c r="P299" s="41"/>
    </row>
    <row r="300" spans="1:16" ht="15.75" customHeight="1" x14ac:dyDescent="0.25">
      <c r="A300" s="37"/>
      <c r="B300" s="38"/>
      <c r="C300" s="39"/>
      <c r="D300" s="38"/>
      <c r="E300" s="39"/>
      <c r="F300" s="40"/>
      <c r="G300" s="38"/>
      <c r="H300" s="39"/>
      <c r="I300" s="41"/>
      <c r="J300" s="41"/>
      <c r="K300" s="41"/>
      <c r="L300" s="40"/>
      <c r="M300" s="42"/>
      <c r="N300" s="41"/>
      <c r="O300" s="41"/>
      <c r="P300" s="41"/>
    </row>
    <row r="301" spans="1:16" ht="15.75" customHeight="1" x14ac:dyDescent="0.25">
      <c r="A301" s="37"/>
      <c r="B301" s="38"/>
      <c r="C301" s="39"/>
      <c r="D301" s="38"/>
      <c r="E301" s="39"/>
      <c r="F301" s="40"/>
      <c r="G301" s="38"/>
      <c r="H301" s="39"/>
      <c r="I301" s="41"/>
      <c r="J301" s="41"/>
      <c r="K301" s="41"/>
      <c r="L301" s="40"/>
      <c r="M301" s="42"/>
      <c r="N301" s="41"/>
      <c r="O301" s="41"/>
      <c r="P301" s="41"/>
    </row>
    <row r="302" spans="1:16" ht="15.75" customHeight="1" x14ac:dyDescent="0.25">
      <c r="A302" s="37"/>
      <c r="B302" s="38"/>
      <c r="C302" s="39"/>
      <c r="D302" s="38"/>
      <c r="E302" s="39"/>
      <c r="F302" s="40"/>
      <c r="G302" s="38"/>
      <c r="H302" s="39"/>
      <c r="I302" s="41"/>
      <c r="J302" s="41"/>
      <c r="K302" s="41"/>
      <c r="L302" s="40"/>
      <c r="M302" s="42"/>
      <c r="N302" s="41"/>
      <c r="O302" s="41"/>
      <c r="P302" s="41"/>
    </row>
    <row r="303" spans="1:16" ht="15.75" customHeight="1" x14ac:dyDescent="0.25">
      <c r="A303" s="37"/>
      <c r="B303" s="38"/>
      <c r="C303" s="39"/>
      <c r="D303" s="38"/>
      <c r="E303" s="39"/>
      <c r="F303" s="40"/>
      <c r="G303" s="38"/>
      <c r="H303" s="39"/>
      <c r="I303" s="41"/>
      <c r="J303" s="41"/>
      <c r="K303" s="41"/>
      <c r="L303" s="40"/>
      <c r="M303" s="42"/>
      <c r="N303" s="41"/>
      <c r="O303" s="41"/>
      <c r="P303" s="41"/>
    </row>
    <row r="304" spans="1:16" ht="15.75" customHeight="1" x14ac:dyDescent="0.25">
      <c r="A304" s="37"/>
      <c r="B304" s="38"/>
      <c r="C304" s="39"/>
      <c r="D304" s="38"/>
      <c r="E304" s="39"/>
      <c r="F304" s="40"/>
      <c r="G304" s="38"/>
      <c r="H304" s="39"/>
      <c r="I304" s="41"/>
      <c r="J304" s="41"/>
      <c r="K304" s="41"/>
      <c r="L304" s="40"/>
      <c r="M304" s="42"/>
      <c r="N304" s="41"/>
      <c r="O304" s="41"/>
      <c r="P304" s="41"/>
    </row>
    <row r="305" spans="1:16" ht="15.75" customHeight="1" x14ac:dyDescent="0.25">
      <c r="A305" s="37"/>
      <c r="B305" s="38"/>
      <c r="C305" s="39"/>
      <c r="D305" s="38"/>
      <c r="E305" s="39"/>
      <c r="F305" s="40"/>
      <c r="G305" s="38"/>
      <c r="H305" s="39"/>
      <c r="I305" s="41"/>
      <c r="J305" s="41"/>
      <c r="K305" s="41"/>
      <c r="L305" s="40"/>
      <c r="M305" s="42"/>
      <c r="N305" s="41"/>
      <c r="O305" s="41"/>
      <c r="P305" s="41"/>
    </row>
    <row r="306" spans="1:16" ht="15.75" customHeight="1" x14ac:dyDescent="0.25">
      <c r="A306" s="37"/>
      <c r="B306" s="38"/>
      <c r="C306" s="39"/>
      <c r="D306" s="38"/>
      <c r="E306" s="39"/>
      <c r="F306" s="40"/>
      <c r="G306" s="38"/>
      <c r="H306" s="39"/>
      <c r="I306" s="41"/>
      <c r="J306" s="41"/>
      <c r="K306" s="41"/>
      <c r="L306" s="40"/>
      <c r="M306" s="42"/>
      <c r="N306" s="41"/>
      <c r="O306" s="41"/>
      <c r="P306" s="41"/>
    </row>
    <row r="307" spans="1:16" ht="15.75" customHeight="1" x14ac:dyDescent="0.25">
      <c r="A307" s="37"/>
      <c r="B307" s="38"/>
      <c r="C307" s="39"/>
      <c r="D307" s="38"/>
      <c r="E307" s="39"/>
      <c r="F307" s="40"/>
      <c r="G307" s="38"/>
      <c r="H307" s="39"/>
      <c r="I307" s="41"/>
      <c r="J307" s="41"/>
      <c r="K307" s="41"/>
      <c r="L307" s="40"/>
      <c r="M307" s="42"/>
      <c r="N307" s="41"/>
      <c r="O307" s="41"/>
      <c r="P307" s="41"/>
    </row>
    <row r="308" spans="1:16" ht="15.75" customHeight="1" x14ac:dyDescent="0.25">
      <c r="A308" s="37"/>
      <c r="B308" s="38"/>
      <c r="C308" s="39"/>
      <c r="D308" s="38"/>
      <c r="E308" s="39"/>
      <c r="F308" s="40"/>
      <c r="G308" s="38"/>
      <c r="H308" s="39"/>
      <c r="I308" s="41"/>
      <c r="J308" s="41"/>
      <c r="K308" s="41"/>
      <c r="L308" s="40"/>
      <c r="M308" s="42"/>
      <c r="N308" s="41"/>
      <c r="O308" s="41"/>
      <c r="P308" s="41"/>
    </row>
    <row r="309" spans="1:16" ht="15.75" customHeight="1" x14ac:dyDescent="0.25">
      <c r="A309" s="37"/>
      <c r="B309" s="38"/>
      <c r="C309" s="39"/>
      <c r="D309" s="38"/>
      <c r="E309" s="39"/>
      <c r="F309" s="40"/>
      <c r="G309" s="38"/>
      <c r="H309" s="39"/>
      <c r="I309" s="41"/>
      <c r="J309" s="41"/>
      <c r="K309" s="41"/>
      <c r="L309" s="40"/>
      <c r="M309" s="42"/>
      <c r="N309" s="41"/>
      <c r="O309" s="41"/>
      <c r="P309" s="41"/>
    </row>
    <row r="310" spans="1:16" ht="15.75" customHeight="1" x14ac:dyDescent="0.25">
      <c r="A310" s="37"/>
      <c r="B310" s="38"/>
      <c r="C310" s="39"/>
      <c r="D310" s="38"/>
      <c r="E310" s="39"/>
      <c r="F310" s="40"/>
      <c r="G310" s="38"/>
      <c r="H310" s="39"/>
      <c r="I310" s="41"/>
      <c r="J310" s="41"/>
      <c r="K310" s="41"/>
      <c r="L310" s="40"/>
      <c r="M310" s="42"/>
      <c r="N310" s="41"/>
      <c r="O310" s="41"/>
      <c r="P310" s="41"/>
    </row>
    <row r="311" spans="1:16" ht="15.75" customHeight="1" x14ac:dyDescent="0.25">
      <c r="A311" s="37"/>
      <c r="B311" s="38"/>
      <c r="C311" s="39"/>
      <c r="D311" s="38"/>
      <c r="E311" s="39"/>
      <c r="F311" s="40"/>
      <c r="G311" s="38"/>
      <c r="H311" s="39"/>
      <c r="I311" s="41"/>
      <c r="J311" s="41"/>
      <c r="K311" s="41"/>
      <c r="L311" s="40"/>
      <c r="M311" s="42"/>
      <c r="N311" s="41"/>
      <c r="O311" s="41"/>
      <c r="P311" s="41"/>
    </row>
    <row r="312" spans="1:16" ht="15.75" customHeight="1" x14ac:dyDescent="0.25">
      <c r="A312" s="37"/>
      <c r="B312" s="38"/>
      <c r="C312" s="39"/>
      <c r="D312" s="38"/>
      <c r="E312" s="39"/>
      <c r="F312" s="40"/>
      <c r="G312" s="38"/>
      <c r="H312" s="39"/>
      <c r="I312" s="41"/>
      <c r="J312" s="41"/>
      <c r="K312" s="41"/>
      <c r="L312" s="40"/>
      <c r="M312" s="42"/>
      <c r="N312" s="41"/>
      <c r="O312" s="41"/>
      <c r="P312" s="41"/>
    </row>
    <row r="313" spans="1:16" ht="15.75" customHeight="1" x14ac:dyDescent="0.25">
      <c r="A313" s="37"/>
      <c r="B313" s="38"/>
      <c r="C313" s="39"/>
      <c r="D313" s="38"/>
      <c r="E313" s="39"/>
      <c r="F313" s="40"/>
      <c r="G313" s="38"/>
      <c r="H313" s="39"/>
      <c r="I313" s="41"/>
      <c r="J313" s="41"/>
      <c r="K313" s="41"/>
      <c r="L313" s="40"/>
      <c r="M313" s="42"/>
      <c r="N313" s="41"/>
      <c r="O313" s="41"/>
      <c r="P313" s="41"/>
    </row>
    <row r="314" spans="1:16" ht="15.75" customHeight="1" x14ac:dyDescent="0.25">
      <c r="A314" s="37"/>
      <c r="B314" s="38"/>
      <c r="C314" s="39"/>
      <c r="D314" s="38"/>
      <c r="E314" s="39"/>
      <c r="F314" s="40"/>
      <c r="G314" s="38"/>
      <c r="H314" s="39"/>
      <c r="I314" s="41"/>
      <c r="J314" s="41"/>
      <c r="K314" s="41"/>
      <c r="L314" s="40"/>
      <c r="M314" s="42"/>
      <c r="N314" s="41"/>
      <c r="O314" s="41"/>
      <c r="P314" s="41"/>
    </row>
    <row r="315" spans="1:16" ht="15.75" customHeight="1" x14ac:dyDescent="0.25">
      <c r="A315" s="37"/>
      <c r="B315" s="38"/>
      <c r="C315" s="39"/>
      <c r="D315" s="38"/>
      <c r="E315" s="39"/>
      <c r="F315" s="40"/>
      <c r="G315" s="38"/>
      <c r="H315" s="39"/>
      <c r="I315" s="41"/>
      <c r="J315" s="41"/>
      <c r="K315" s="41"/>
      <c r="L315" s="40"/>
      <c r="M315" s="42"/>
      <c r="N315" s="41"/>
      <c r="O315" s="41"/>
      <c r="P315" s="41"/>
    </row>
    <row r="316" spans="1:16" ht="15.75" customHeight="1" x14ac:dyDescent="0.25">
      <c r="A316" s="37"/>
      <c r="B316" s="38"/>
      <c r="C316" s="39"/>
      <c r="D316" s="38"/>
      <c r="E316" s="39"/>
      <c r="F316" s="40"/>
      <c r="G316" s="38"/>
      <c r="H316" s="39"/>
      <c r="I316" s="41"/>
      <c r="J316" s="41"/>
      <c r="K316" s="41"/>
      <c r="L316" s="40"/>
      <c r="M316" s="42"/>
      <c r="N316" s="41"/>
      <c r="O316" s="41"/>
      <c r="P316" s="41"/>
    </row>
    <row r="317" spans="1:16" ht="15.75" customHeight="1" x14ac:dyDescent="0.25">
      <c r="A317" s="37"/>
      <c r="B317" s="38"/>
      <c r="C317" s="39"/>
      <c r="D317" s="38"/>
      <c r="E317" s="39"/>
      <c r="F317" s="40"/>
      <c r="G317" s="38"/>
      <c r="H317" s="39"/>
      <c r="I317" s="41"/>
      <c r="J317" s="41"/>
      <c r="K317" s="41"/>
      <c r="L317" s="40"/>
      <c r="M317" s="42"/>
      <c r="N317" s="41"/>
      <c r="O317" s="41"/>
      <c r="P317" s="41"/>
    </row>
    <row r="318" spans="1:16" ht="15.75" customHeight="1" x14ac:dyDescent="0.25">
      <c r="A318" s="37"/>
      <c r="B318" s="38"/>
      <c r="C318" s="39"/>
      <c r="D318" s="38"/>
      <c r="E318" s="39"/>
      <c r="F318" s="40"/>
      <c r="G318" s="38"/>
      <c r="H318" s="39"/>
      <c r="I318" s="41"/>
      <c r="J318" s="41"/>
      <c r="K318" s="41"/>
      <c r="L318" s="40"/>
      <c r="M318" s="42"/>
      <c r="N318" s="41"/>
      <c r="O318" s="41"/>
      <c r="P318" s="41"/>
    </row>
    <row r="319" spans="1:16" ht="15.75" customHeight="1" x14ac:dyDescent="0.25">
      <c r="A319" s="37"/>
      <c r="B319" s="38"/>
      <c r="C319" s="39"/>
      <c r="D319" s="38"/>
      <c r="E319" s="39"/>
      <c r="F319" s="40"/>
      <c r="G319" s="38"/>
      <c r="H319" s="39"/>
      <c r="I319" s="41"/>
      <c r="J319" s="41"/>
      <c r="K319" s="41"/>
      <c r="L319" s="40"/>
      <c r="M319" s="42"/>
      <c r="N319" s="41"/>
      <c r="O319" s="41"/>
      <c r="P319" s="41"/>
    </row>
    <row r="320" spans="1:16" ht="15.75" customHeight="1" x14ac:dyDescent="0.25">
      <c r="A320" s="37"/>
      <c r="B320" s="38"/>
      <c r="C320" s="39"/>
      <c r="D320" s="38"/>
      <c r="E320" s="39"/>
      <c r="F320" s="40"/>
      <c r="G320" s="38"/>
      <c r="H320" s="39"/>
      <c r="I320" s="41"/>
      <c r="J320" s="41"/>
      <c r="K320" s="41"/>
      <c r="L320" s="40"/>
      <c r="M320" s="42"/>
      <c r="N320" s="41"/>
      <c r="O320" s="41"/>
      <c r="P320" s="41"/>
    </row>
    <row r="321" spans="1:16" ht="15.75" customHeight="1" x14ac:dyDescent="0.25">
      <c r="A321" s="37"/>
      <c r="B321" s="38"/>
      <c r="C321" s="39"/>
      <c r="D321" s="38"/>
      <c r="E321" s="39"/>
      <c r="F321" s="40"/>
      <c r="G321" s="38"/>
      <c r="H321" s="39"/>
      <c r="I321" s="41"/>
      <c r="J321" s="41"/>
      <c r="K321" s="41"/>
      <c r="L321" s="40"/>
      <c r="M321" s="42"/>
      <c r="N321" s="41"/>
      <c r="O321" s="41"/>
      <c r="P321" s="41"/>
    </row>
    <row r="322" spans="1:16" ht="15.75" customHeight="1" x14ac:dyDescent="0.25">
      <c r="A322" s="37"/>
      <c r="B322" s="38"/>
      <c r="C322" s="39"/>
      <c r="D322" s="38"/>
      <c r="E322" s="39"/>
      <c r="F322" s="40"/>
      <c r="G322" s="38"/>
      <c r="H322" s="39"/>
      <c r="I322" s="41"/>
      <c r="J322" s="41"/>
      <c r="K322" s="41"/>
      <c r="L322" s="40"/>
      <c r="M322" s="42"/>
      <c r="N322" s="41"/>
      <c r="O322" s="41"/>
      <c r="P322" s="41"/>
    </row>
    <row r="323" spans="1:16" ht="15.75" customHeight="1" x14ac:dyDescent="0.25">
      <c r="A323" s="37"/>
      <c r="B323" s="38"/>
      <c r="C323" s="39"/>
      <c r="D323" s="38"/>
      <c r="E323" s="39"/>
      <c r="F323" s="40"/>
      <c r="G323" s="38"/>
      <c r="H323" s="39"/>
      <c r="I323" s="41"/>
      <c r="J323" s="41"/>
      <c r="K323" s="41"/>
      <c r="L323" s="40"/>
      <c r="M323" s="42"/>
      <c r="N323" s="41"/>
      <c r="O323" s="41"/>
      <c r="P323" s="41"/>
    </row>
    <row r="324" spans="1:16" ht="15.75" customHeight="1" x14ac:dyDescent="0.25">
      <c r="A324" s="37"/>
      <c r="B324" s="38"/>
      <c r="C324" s="39"/>
      <c r="D324" s="38"/>
      <c r="E324" s="39"/>
      <c r="F324" s="40"/>
      <c r="G324" s="38"/>
      <c r="H324" s="39"/>
      <c r="I324" s="41"/>
      <c r="J324" s="41"/>
      <c r="K324" s="41"/>
      <c r="L324" s="40"/>
      <c r="M324" s="42"/>
      <c r="N324" s="41"/>
      <c r="O324" s="41"/>
      <c r="P324" s="41"/>
    </row>
    <row r="325" spans="1:16" ht="15.75" customHeight="1" x14ac:dyDescent="0.25">
      <c r="A325" s="37"/>
      <c r="B325" s="38"/>
      <c r="C325" s="39"/>
      <c r="D325" s="38"/>
      <c r="E325" s="39"/>
      <c r="F325" s="40"/>
      <c r="G325" s="38"/>
      <c r="H325" s="39"/>
      <c r="I325" s="41"/>
      <c r="J325" s="41"/>
      <c r="K325" s="41"/>
      <c r="L325" s="40"/>
      <c r="M325" s="42"/>
      <c r="N325" s="41"/>
      <c r="O325" s="41"/>
      <c r="P325" s="41"/>
    </row>
    <row r="326" spans="1:16" ht="15.75" customHeight="1" x14ac:dyDescent="0.25">
      <c r="A326" s="37"/>
      <c r="B326" s="38"/>
      <c r="C326" s="39"/>
      <c r="D326" s="38"/>
      <c r="E326" s="39"/>
      <c r="F326" s="40"/>
      <c r="G326" s="38"/>
      <c r="H326" s="39"/>
      <c r="I326" s="41"/>
      <c r="J326" s="41"/>
      <c r="K326" s="41"/>
      <c r="L326" s="40"/>
      <c r="M326" s="42"/>
      <c r="N326" s="41"/>
      <c r="O326" s="41"/>
      <c r="P326" s="41"/>
    </row>
    <row r="327" spans="1:16" ht="15.75" customHeight="1" x14ac:dyDescent="0.25">
      <c r="A327" s="37"/>
      <c r="B327" s="38"/>
      <c r="C327" s="39"/>
      <c r="D327" s="38"/>
      <c r="E327" s="39"/>
      <c r="F327" s="40"/>
      <c r="G327" s="38"/>
      <c r="H327" s="39"/>
      <c r="I327" s="41"/>
      <c r="J327" s="41"/>
      <c r="K327" s="41"/>
      <c r="L327" s="40"/>
      <c r="M327" s="42"/>
      <c r="N327" s="41"/>
      <c r="O327" s="41"/>
      <c r="P327" s="41"/>
    </row>
    <row r="328" spans="1:16" ht="15.75" customHeight="1" x14ac:dyDescent="0.25">
      <c r="A328" s="37"/>
      <c r="B328" s="38"/>
      <c r="C328" s="39"/>
      <c r="D328" s="38"/>
      <c r="E328" s="39"/>
      <c r="F328" s="40"/>
      <c r="G328" s="38"/>
      <c r="H328" s="39"/>
      <c r="I328" s="41"/>
      <c r="J328" s="41"/>
      <c r="K328" s="41"/>
      <c r="L328" s="40"/>
      <c r="M328" s="42"/>
      <c r="N328" s="41"/>
      <c r="O328" s="41"/>
      <c r="P328" s="41"/>
    </row>
    <row r="329" spans="1:16" ht="15.75" customHeight="1" x14ac:dyDescent="0.25">
      <c r="A329" s="37"/>
      <c r="B329" s="38"/>
      <c r="C329" s="39"/>
      <c r="D329" s="38"/>
      <c r="E329" s="39"/>
      <c r="F329" s="40"/>
      <c r="G329" s="38"/>
      <c r="H329" s="39"/>
      <c r="I329" s="41"/>
      <c r="J329" s="41"/>
      <c r="K329" s="41"/>
      <c r="L329" s="40"/>
      <c r="M329" s="42"/>
      <c r="N329" s="41"/>
      <c r="O329" s="41"/>
      <c r="P329" s="41"/>
    </row>
    <row r="330" spans="1:16" ht="15.75" customHeight="1" x14ac:dyDescent="0.25">
      <c r="A330" s="37"/>
      <c r="B330" s="38"/>
      <c r="C330" s="39"/>
      <c r="D330" s="38"/>
      <c r="E330" s="39"/>
      <c r="F330" s="40"/>
      <c r="G330" s="38"/>
      <c r="H330" s="39"/>
      <c r="I330" s="41"/>
      <c r="J330" s="41"/>
      <c r="K330" s="41"/>
      <c r="L330" s="40"/>
      <c r="M330" s="42"/>
      <c r="N330" s="41"/>
      <c r="O330" s="41"/>
      <c r="P330" s="41"/>
    </row>
    <row r="331" spans="1:16" ht="15.75" customHeight="1" x14ac:dyDescent="0.25">
      <c r="A331" s="37"/>
      <c r="B331" s="38"/>
      <c r="C331" s="39"/>
      <c r="D331" s="38"/>
      <c r="E331" s="39"/>
      <c r="F331" s="40"/>
      <c r="G331" s="38"/>
      <c r="H331" s="39"/>
      <c r="I331" s="41"/>
      <c r="J331" s="41"/>
      <c r="K331" s="41"/>
      <c r="L331" s="40"/>
      <c r="M331" s="42"/>
      <c r="N331" s="41"/>
      <c r="O331" s="41"/>
      <c r="P331" s="41"/>
    </row>
    <row r="332" spans="1:16" ht="15.75" customHeight="1" x14ac:dyDescent="0.25">
      <c r="A332" s="37"/>
      <c r="B332" s="38"/>
      <c r="C332" s="39"/>
      <c r="D332" s="38"/>
      <c r="E332" s="39"/>
      <c r="F332" s="40"/>
      <c r="G332" s="38"/>
      <c r="H332" s="39"/>
      <c r="I332" s="41"/>
      <c r="J332" s="41"/>
      <c r="K332" s="41"/>
      <c r="L332" s="40"/>
      <c r="M332" s="42"/>
      <c r="N332" s="41"/>
      <c r="O332" s="41"/>
      <c r="P332" s="41"/>
    </row>
    <row r="333" spans="1:16" ht="15.75" customHeight="1" x14ac:dyDescent="0.25">
      <c r="A333" s="37"/>
      <c r="B333" s="38"/>
      <c r="C333" s="39"/>
      <c r="D333" s="38"/>
      <c r="E333" s="39"/>
      <c r="F333" s="40"/>
      <c r="G333" s="38"/>
      <c r="H333" s="39"/>
      <c r="I333" s="41"/>
      <c r="J333" s="41"/>
      <c r="K333" s="41"/>
      <c r="L333" s="40"/>
      <c r="M333" s="42"/>
      <c r="N333" s="41"/>
      <c r="O333" s="41"/>
      <c r="P333" s="41"/>
    </row>
    <row r="334" spans="1:16" ht="15.75" customHeight="1" x14ac:dyDescent="0.25">
      <c r="A334" s="37"/>
      <c r="B334" s="38"/>
      <c r="C334" s="39"/>
      <c r="D334" s="38"/>
      <c r="E334" s="39"/>
      <c r="F334" s="40"/>
      <c r="G334" s="38"/>
      <c r="H334" s="39"/>
      <c r="I334" s="41"/>
      <c r="J334" s="41"/>
      <c r="K334" s="41"/>
      <c r="L334" s="40"/>
      <c r="M334" s="42"/>
      <c r="N334" s="41"/>
      <c r="O334" s="41"/>
      <c r="P334" s="41"/>
    </row>
    <row r="335" spans="1:16" ht="15.75" customHeight="1" x14ac:dyDescent="0.25">
      <c r="A335" s="37"/>
      <c r="B335" s="38"/>
      <c r="C335" s="39"/>
      <c r="D335" s="38"/>
      <c r="E335" s="39"/>
      <c r="F335" s="40"/>
      <c r="G335" s="38"/>
      <c r="H335" s="39"/>
      <c r="I335" s="41"/>
      <c r="J335" s="41"/>
      <c r="K335" s="41"/>
      <c r="L335" s="40"/>
      <c r="M335" s="42"/>
      <c r="N335" s="41"/>
      <c r="O335" s="41"/>
      <c r="P335" s="41"/>
    </row>
    <row r="336" spans="1:16" ht="15.75" customHeight="1" x14ac:dyDescent="0.25">
      <c r="A336" s="37"/>
      <c r="B336" s="38"/>
      <c r="C336" s="39"/>
      <c r="D336" s="38"/>
      <c r="E336" s="39"/>
      <c r="F336" s="40"/>
      <c r="G336" s="38"/>
      <c r="H336" s="39"/>
      <c r="I336" s="41"/>
      <c r="J336" s="41"/>
      <c r="K336" s="41"/>
      <c r="L336" s="40"/>
      <c r="M336" s="42"/>
      <c r="N336" s="41"/>
      <c r="O336" s="41"/>
      <c r="P336" s="41"/>
    </row>
    <row r="337" spans="1:16" ht="15.75" customHeight="1" x14ac:dyDescent="0.25">
      <c r="A337" s="37"/>
      <c r="B337" s="38"/>
      <c r="C337" s="39"/>
      <c r="D337" s="38"/>
      <c r="E337" s="39"/>
      <c r="F337" s="40"/>
      <c r="G337" s="38"/>
      <c r="H337" s="39"/>
      <c r="I337" s="41"/>
      <c r="J337" s="41"/>
      <c r="K337" s="41"/>
      <c r="L337" s="40"/>
      <c r="M337" s="42"/>
      <c r="N337" s="41"/>
      <c r="O337" s="41"/>
      <c r="P337" s="41"/>
    </row>
    <row r="338" spans="1:16" ht="15.75" customHeight="1" x14ac:dyDescent="0.25">
      <c r="A338" s="37"/>
      <c r="B338" s="38"/>
      <c r="C338" s="39"/>
      <c r="D338" s="38"/>
      <c r="E338" s="39"/>
      <c r="F338" s="40"/>
      <c r="G338" s="38"/>
      <c r="H338" s="39"/>
      <c r="I338" s="41"/>
      <c r="J338" s="41"/>
      <c r="K338" s="41"/>
      <c r="L338" s="40"/>
      <c r="M338" s="42"/>
      <c r="N338" s="41"/>
      <c r="O338" s="41"/>
      <c r="P338" s="41"/>
    </row>
    <row r="339" spans="1:16" ht="15.75" customHeight="1" x14ac:dyDescent="0.25">
      <c r="A339" s="37"/>
      <c r="B339" s="38"/>
      <c r="C339" s="39"/>
      <c r="D339" s="38"/>
      <c r="E339" s="39"/>
      <c r="F339" s="40"/>
      <c r="G339" s="38"/>
      <c r="H339" s="39"/>
      <c r="I339" s="41"/>
      <c r="J339" s="41"/>
      <c r="K339" s="41"/>
      <c r="L339" s="40"/>
      <c r="M339" s="42"/>
      <c r="N339" s="41"/>
      <c r="O339" s="41"/>
      <c r="P339" s="41"/>
    </row>
    <row r="340" spans="1:16" ht="15.75" customHeight="1" x14ac:dyDescent="0.25">
      <c r="A340" s="37"/>
      <c r="B340" s="38"/>
      <c r="C340" s="39"/>
      <c r="D340" s="38"/>
      <c r="E340" s="39"/>
      <c r="F340" s="40"/>
      <c r="G340" s="38"/>
      <c r="H340" s="39"/>
      <c r="I340" s="41"/>
      <c r="J340" s="41"/>
      <c r="K340" s="41"/>
      <c r="L340" s="40"/>
      <c r="M340" s="42"/>
      <c r="N340" s="41"/>
      <c r="O340" s="41"/>
      <c r="P340" s="41"/>
    </row>
    <row r="341" spans="1:16" ht="15.75" customHeight="1" x14ac:dyDescent="0.25">
      <c r="A341" s="37"/>
      <c r="B341" s="38"/>
      <c r="C341" s="39"/>
      <c r="D341" s="38"/>
      <c r="E341" s="39"/>
      <c r="F341" s="40"/>
      <c r="G341" s="38"/>
      <c r="H341" s="39"/>
      <c r="I341" s="41"/>
      <c r="J341" s="41"/>
      <c r="K341" s="41"/>
      <c r="L341" s="40"/>
      <c r="M341" s="42"/>
      <c r="N341" s="41"/>
      <c r="O341" s="41"/>
      <c r="P341" s="41"/>
    </row>
    <row r="342" spans="1:16" ht="15.75" customHeight="1" x14ac:dyDescent="0.25">
      <c r="A342" s="37"/>
      <c r="B342" s="38"/>
      <c r="C342" s="39"/>
      <c r="D342" s="38"/>
      <c r="E342" s="39"/>
      <c r="F342" s="40"/>
      <c r="G342" s="38"/>
      <c r="H342" s="39"/>
      <c r="I342" s="41"/>
      <c r="J342" s="41"/>
      <c r="K342" s="41"/>
      <c r="L342" s="40"/>
      <c r="M342" s="42"/>
      <c r="N342" s="41"/>
      <c r="O342" s="41"/>
      <c r="P342" s="41"/>
    </row>
    <row r="343" spans="1:16" ht="15.75" customHeight="1" x14ac:dyDescent="0.25">
      <c r="A343" s="37"/>
      <c r="B343" s="38"/>
      <c r="C343" s="39"/>
      <c r="D343" s="38"/>
      <c r="E343" s="39"/>
      <c r="F343" s="40"/>
      <c r="G343" s="38"/>
      <c r="H343" s="39"/>
      <c r="I343" s="41"/>
      <c r="J343" s="41"/>
      <c r="K343" s="41"/>
      <c r="L343" s="40"/>
      <c r="M343" s="42"/>
      <c r="N343" s="41"/>
      <c r="O343" s="41"/>
      <c r="P343" s="41"/>
    </row>
    <row r="344" spans="1:16" ht="15.75" customHeight="1" x14ac:dyDescent="0.25">
      <c r="A344" s="37"/>
      <c r="B344" s="38"/>
      <c r="C344" s="39"/>
      <c r="D344" s="38"/>
      <c r="E344" s="39"/>
      <c r="F344" s="40"/>
      <c r="G344" s="38"/>
      <c r="H344" s="39"/>
      <c r="I344" s="41"/>
      <c r="J344" s="41"/>
      <c r="K344" s="41"/>
      <c r="L344" s="40"/>
      <c r="M344" s="42"/>
      <c r="N344" s="41"/>
      <c r="O344" s="41"/>
      <c r="P344" s="41"/>
    </row>
    <row r="345" spans="1:16" ht="15.75" customHeight="1" x14ac:dyDescent="0.25">
      <c r="A345" s="37"/>
      <c r="B345" s="38"/>
      <c r="C345" s="39"/>
      <c r="D345" s="38"/>
      <c r="E345" s="39"/>
      <c r="F345" s="40"/>
      <c r="G345" s="38"/>
      <c r="H345" s="39"/>
      <c r="I345" s="41"/>
      <c r="J345" s="41"/>
      <c r="K345" s="41"/>
      <c r="L345" s="40"/>
      <c r="M345" s="42"/>
      <c r="N345" s="41"/>
      <c r="O345" s="41"/>
      <c r="P345" s="41"/>
    </row>
    <row r="346" spans="1:16" ht="15.75" customHeight="1" x14ac:dyDescent="0.25">
      <c r="A346" s="37"/>
      <c r="B346" s="38"/>
      <c r="C346" s="39"/>
      <c r="D346" s="38"/>
      <c r="E346" s="39"/>
      <c r="F346" s="40"/>
      <c r="G346" s="38"/>
      <c r="H346" s="39"/>
      <c r="I346" s="41"/>
      <c r="J346" s="41"/>
      <c r="K346" s="41"/>
      <c r="L346" s="40"/>
      <c r="M346" s="42"/>
      <c r="N346" s="41"/>
      <c r="O346" s="41"/>
      <c r="P346" s="41"/>
    </row>
    <row r="347" spans="1:16" ht="15.75" customHeight="1" x14ac:dyDescent="0.25">
      <c r="A347" s="37"/>
      <c r="B347" s="38"/>
      <c r="C347" s="39"/>
      <c r="D347" s="38"/>
      <c r="E347" s="39"/>
      <c r="F347" s="40"/>
      <c r="G347" s="38"/>
      <c r="H347" s="39"/>
      <c r="I347" s="41"/>
      <c r="J347" s="41"/>
      <c r="K347" s="41"/>
      <c r="L347" s="40"/>
      <c r="M347" s="42"/>
      <c r="N347" s="41"/>
      <c r="O347" s="41"/>
      <c r="P347" s="41"/>
    </row>
    <row r="348" spans="1:16" ht="15.75" customHeight="1" x14ac:dyDescent="0.25">
      <c r="A348" s="37"/>
      <c r="B348" s="38"/>
      <c r="C348" s="39"/>
      <c r="D348" s="38"/>
      <c r="E348" s="39"/>
      <c r="F348" s="40"/>
      <c r="G348" s="38"/>
      <c r="H348" s="39"/>
      <c r="I348" s="41"/>
      <c r="J348" s="41"/>
      <c r="K348" s="41"/>
      <c r="L348" s="40"/>
      <c r="M348" s="42"/>
      <c r="N348" s="41"/>
      <c r="O348" s="41"/>
      <c r="P348" s="41"/>
    </row>
    <row r="349" spans="1:16" ht="15.75" customHeight="1" x14ac:dyDescent="0.25">
      <c r="A349" s="37"/>
      <c r="B349" s="38"/>
      <c r="C349" s="39"/>
      <c r="D349" s="38"/>
      <c r="E349" s="39"/>
      <c r="F349" s="40"/>
      <c r="G349" s="38"/>
      <c r="H349" s="39"/>
      <c r="I349" s="41"/>
      <c r="J349" s="41"/>
      <c r="K349" s="41"/>
      <c r="L349" s="40"/>
      <c r="M349" s="42"/>
      <c r="N349" s="41"/>
      <c r="O349" s="41"/>
      <c r="P349" s="41"/>
    </row>
    <row r="350" spans="1:16" ht="15.75" customHeight="1" x14ac:dyDescent="0.25">
      <c r="A350" s="37"/>
      <c r="B350" s="38"/>
      <c r="C350" s="39"/>
      <c r="D350" s="38"/>
      <c r="E350" s="39"/>
      <c r="F350" s="40"/>
      <c r="G350" s="38"/>
      <c r="H350" s="39"/>
      <c r="I350" s="41"/>
      <c r="J350" s="41"/>
      <c r="K350" s="41"/>
      <c r="L350" s="40"/>
      <c r="M350" s="42"/>
      <c r="N350" s="41"/>
      <c r="O350" s="41"/>
      <c r="P350" s="41"/>
    </row>
    <row r="351" spans="1:16" ht="15.75" customHeight="1" x14ac:dyDescent="0.25">
      <c r="A351" s="37"/>
      <c r="B351" s="38"/>
      <c r="C351" s="39"/>
      <c r="D351" s="38"/>
      <c r="E351" s="39"/>
      <c r="F351" s="40"/>
      <c r="G351" s="38"/>
      <c r="H351" s="39"/>
      <c r="I351" s="41"/>
      <c r="J351" s="41"/>
      <c r="K351" s="41"/>
      <c r="L351" s="40"/>
      <c r="M351" s="42"/>
      <c r="N351" s="41"/>
      <c r="O351" s="41"/>
      <c r="P351" s="41"/>
    </row>
    <row r="352" spans="1:16" ht="15.75" customHeight="1" x14ac:dyDescent="0.25">
      <c r="A352" s="37"/>
      <c r="B352" s="38"/>
      <c r="C352" s="39"/>
      <c r="D352" s="38"/>
      <c r="E352" s="39"/>
      <c r="F352" s="40"/>
      <c r="G352" s="38"/>
      <c r="H352" s="39"/>
      <c r="I352" s="41"/>
      <c r="J352" s="41"/>
      <c r="K352" s="41"/>
      <c r="L352" s="40"/>
      <c r="M352" s="42"/>
      <c r="N352" s="41"/>
      <c r="O352" s="41"/>
      <c r="P352" s="41"/>
    </row>
    <row r="353" spans="1:16" ht="15.75" customHeight="1" x14ac:dyDescent="0.25">
      <c r="A353" s="37"/>
      <c r="B353" s="38"/>
      <c r="C353" s="39"/>
      <c r="D353" s="38"/>
      <c r="E353" s="39"/>
      <c r="F353" s="40"/>
      <c r="G353" s="38"/>
      <c r="H353" s="39"/>
      <c r="I353" s="41"/>
      <c r="J353" s="41"/>
      <c r="K353" s="41"/>
      <c r="L353" s="40"/>
      <c r="M353" s="42"/>
      <c r="N353" s="41"/>
      <c r="O353" s="41"/>
      <c r="P353" s="41"/>
    </row>
    <row r="354" spans="1:16" ht="15.75" customHeight="1" x14ac:dyDescent="0.25">
      <c r="A354" s="37"/>
      <c r="B354" s="38"/>
      <c r="C354" s="39"/>
      <c r="D354" s="38"/>
      <c r="E354" s="39"/>
      <c r="F354" s="40"/>
      <c r="G354" s="38"/>
      <c r="H354" s="39"/>
      <c r="I354" s="41"/>
      <c r="J354" s="41"/>
      <c r="K354" s="41"/>
      <c r="L354" s="40"/>
      <c r="M354" s="42"/>
      <c r="N354" s="41"/>
      <c r="O354" s="41"/>
      <c r="P354" s="41"/>
    </row>
    <row r="355" spans="1:16" ht="15.75" customHeight="1" x14ac:dyDescent="0.25">
      <c r="A355" s="37"/>
      <c r="B355" s="38"/>
      <c r="C355" s="39"/>
      <c r="D355" s="38"/>
      <c r="E355" s="39"/>
      <c r="F355" s="40"/>
      <c r="G355" s="38"/>
      <c r="H355" s="39"/>
      <c r="I355" s="41"/>
      <c r="J355" s="41"/>
      <c r="K355" s="41"/>
      <c r="L355" s="40"/>
      <c r="M355" s="42"/>
      <c r="N355" s="41"/>
      <c r="O355" s="41"/>
      <c r="P355" s="41"/>
    </row>
    <row r="356" spans="1:16" ht="15.75" customHeight="1" x14ac:dyDescent="0.25">
      <c r="A356" s="37"/>
      <c r="B356" s="38"/>
      <c r="C356" s="39"/>
      <c r="D356" s="38"/>
      <c r="E356" s="39"/>
      <c r="F356" s="40"/>
      <c r="G356" s="38"/>
      <c r="H356" s="39"/>
      <c r="I356" s="41"/>
      <c r="J356" s="41"/>
      <c r="K356" s="41"/>
      <c r="L356" s="40"/>
      <c r="M356" s="42"/>
      <c r="N356" s="41"/>
      <c r="O356" s="41"/>
      <c r="P356" s="41"/>
    </row>
    <row r="357" spans="1:16" ht="15.75" customHeight="1" x14ac:dyDescent="0.25">
      <c r="A357" s="37"/>
      <c r="B357" s="38"/>
      <c r="C357" s="39"/>
      <c r="D357" s="38"/>
      <c r="E357" s="39"/>
      <c r="F357" s="40"/>
      <c r="G357" s="38"/>
      <c r="H357" s="39"/>
      <c r="I357" s="41"/>
      <c r="J357" s="41"/>
      <c r="K357" s="41"/>
      <c r="L357" s="40"/>
      <c r="M357" s="42"/>
      <c r="N357" s="41"/>
      <c r="O357" s="41"/>
      <c r="P357" s="41"/>
    </row>
    <row r="358" spans="1:16" ht="15.75" customHeight="1" x14ac:dyDescent="0.25">
      <c r="A358" s="37"/>
      <c r="B358" s="38"/>
      <c r="C358" s="39"/>
      <c r="D358" s="38"/>
      <c r="E358" s="39"/>
      <c r="F358" s="40"/>
      <c r="G358" s="38"/>
      <c r="H358" s="39"/>
      <c r="I358" s="41"/>
      <c r="J358" s="41"/>
      <c r="K358" s="41"/>
      <c r="L358" s="40"/>
      <c r="M358" s="42"/>
      <c r="N358" s="41"/>
      <c r="O358" s="41"/>
      <c r="P358" s="41"/>
    </row>
    <row r="359" spans="1:16" ht="15.75" customHeight="1" x14ac:dyDescent="0.25">
      <c r="A359" s="37"/>
      <c r="B359" s="38"/>
      <c r="C359" s="39"/>
      <c r="D359" s="38"/>
      <c r="E359" s="39"/>
      <c r="F359" s="40"/>
      <c r="G359" s="38"/>
      <c r="H359" s="39"/>
      <c r="I359" s="41"/>
      <c r="J359" s="41"/>
      <c r="K359" s="41"/>
      <c r="L359" s="40"/>
      <c r="M359" s="42"/>
      <c r="N359" s="41"/>
      <c r="O359" s="41"/>
      <c r="P359" s="41"/>
    </row>
    <row r="360" spans="1:16" ht="15.75" customHeight="1" x14ac:dyDescent="0.25">
      <c r="A360" s="37"/>
      <c r="B360" s="38"/>
      <c r="C360" s="39"/>
      <c r="D360" s="38"/>
      <c r="E360" s="39"/>
      <c r="F360" s="40"/>
      <c r="G360" s="38"/>
      <c r="H360" s="39"/>
      <c r="I360" s="41"/>
      <c r="J360" s="41"/>
      <c r="K360" s="41"/>
      <c r="L360" s="40"/>
      <c r="M360" s="42"/>
      <c r="N360" s="41"/>
      <c r="O360" s="41"/>
      <c r="P360" s="41"/>
    </row>
    <row r="361" spans="1:16" ht="15.75" customHeight="1" x14ac:dyDescent="0.25">
      <c r="A361" s="37"/>
      <c r="B361" s="38"/>
      <c r="C361" s="39"/>
      <c r="D361" s="38"/>
      <c r="E361" s="39"/>
      <c r="F361" s="40"/>
      <c r="G361" s="38"/>
      <c r="H361" s="39"/>
      <c r="I361" s="41"/>
      <c r="J361" s="41"/>
      <c r="K361" s="41"/>
      <c r="L361" s="40"/>
      <c r="M361" s="42"/>
      <c r="N361" s="41"/>
      <c r="O361" s="41"/>
      <c r="P361" s="41"/>
    </row>
    <row r="362" spans="1:16" ht="15.75" customHeight="1" x14ac:dyDescent="0.25">
      <c r="A362" s="37"/>
      <c r="B362" s="38"/>
      <c r="C362" s="39"/>
      <c r="D362" s="38"/>
      <c r="E362" s="39"/>
      <c r="F362" s="40"/>
      <c r="G362" s="38"/>
      <c r="H362" s="39"/>
      <c r="I362" s="41"/>
      <c r="J362" s="41"/>
      <c r="K362" s="41"/>
      <c r="L362" s="40"/>
      <c r="M362" s="42"/>
      <c r="N362" s="41"/>
      <c r="O362" s="41"/>
      <c r="P362" s="41"/>
    </row>
    <row r="363" spans="1:16" ht="15.75" customHeight="1" x14ac:dyDescent="0.25">
      <c r="A363" s="37"/>
      <c r="B363" s="38"/>
      <c r="C363" s="39"/>
      <c r="D363" s="38"/>
      <c r="E363" s="39"/>
      <c r="F363" s="40"/>
      <c r="G363" s="38"/>
      <c r="H363" s="39"/>
      <c r="I363" s="41"/>
      <c r="J363" s="41"/>
      <c r="K363" s="41"/>
      <c r="L363" s="40"/>
      <c r="M363" s="42"/>
      <c r="N363" s="41"/>
      <c r="O363" s="41"/>
      <c r="P363" s="41"/>
    </row>
    <row r="364" spans="1:16" ht="15.75" customHeight="1" x14ac:dyDescent="0.25">
      <c r="A364" s="37"/>
      <c r="B364" s="38"/>
      <c r="C364" s="39"/>
      <c r="D364" s="38"/>
      <c r="E364" s="39"/>
      <c r="F364" s="40"/>
      <c r="G364" s="38"/>
      <c r="H364" s="39"/>
      <c r="I364" s="41"/>
      <c r="J364" s="41"/>
      <c r="K364" s="41"/>
      <c r="L364" s="40"/>
      <c r="M364" s="42"/>
      <c r="N364" s="41"/>
      <c r="O364" s="41"/>
      <c r="P364" s="41"/>
    </row>
    <row r="365" spans="1:16" ht="15.75" customHeight="1" x14ac:dyDescent="0.25">
      <c r="A365" s="37"/>
      <c r="B365" s="38"/>
      <c r="C365" s="39"/>
      <c r="D365" s="38"/>
      <c r="E365" s="39"/>
      <c r="F365" s="40"/>
      <c r="G365" s="38"/>
      <c r="H365" s="39"/>
      <c r="I365" s="41"/>
      <c r="J365" s="41"/>
      <c r="K365" s="41"/>
      <c r="L365" s="40"/>
      <c r="M365" s="42"/>
      <c r="N365" s="41"/>
      <c r="O365" s="41"/>
      <c r="P365" s="41"/>
    </row>
    <row r="366" spans="1:16" ht="15.75" customHeight="1" x14ac:dyDescent="0.25">
      <c r="A366" s="37"/>
      <c r="B366" s="38"/>
      <c r="C366" s="39"/>
      <c r="D366" s="38"/>
      <c r="E366" s="39"/>
      <c r="F366" s="40"/>
      <c r="G366" s="38"/>
      <c r="H366" s="39"/>
      <c r="I366" s="41"/>
      <c r="J366" s="41"/>
      <c r="K366" s="41"/>
      <c r="L366" s="40"/>
      <c r="M366" s="42"/>
      <c r="N366" s="41"/>
      <c r="O366" s="41"/>
      <c r="P366" s="41"/>
    </row>
    <row r="367" spans="1:16" ht="15.75" customHeight="1" x14ac:dyDescent="0.25">
      <c r="A367" s="37"/>
      <c r="B367" s="38"/>
      <c r="C367" s="39"/>
      <c r="D367" s="38"/>
      <c r="E367" s="39"/>
      <c r="F367" s="40"/>
      <c r="G367" s="38"/>
      <c r="H367" s="39"/>
      <c r="I367" s="41"/>
      <c r="J367" s="41"/>
      <c r="K367" s="41"/>
      <c r="L367" s="40"/>
      <c r="M367" s="42"/>
      <c r="N367" s="41"/>
      <c r="O367" s="41"/>
      <c r="P367" s="41"/>
    </row>
    <row r="368" spans="1:16" ht="15.75" customHeight="1" x14ac:dyDescent="0.25">
      <c r="A368" s="37"/>
      <c r="B368" s="38"/>
      <c r="C368" s="39"/>
      <c r="D368" s="38"/>
      <c r="E368" s="39"/>
      <c r="F368" s="40"/>
      <c r="G368" s="38"/>
      <c r="H368" s="39"/>
      <c r="I368" s="41"/>
      <c r="J368" s="41"/>
      <c r="K368" s="41"/>
      <c r="L368" s="40"/>
      <c r="M368" s="42"/>
      <c r="N368" s="41"/>
      <c r="O368" s="41"/>
      <c r="P368" s="41"/>
    </row>
    <row r="369" spans="1:16" ht="15.75" customHeight="1" x14ac:dyDescent="0.25">
      <c r="A369" s="37"/>
      <c r="B369" s="38"/>
      <c r="C369" s="39"/>
      <c r="D369" s="38"/>
      <c r="E369" s="39"/>
      <c r="F369" s="40"/>
      <c r="G369" s="38"/>
      <c r="H369" s="39"/>
      <c r="I369" s="41"/>
      <c r="J369" s="41"/>
      <c r="K369" s="41"/>
      <c r="L369" s="40"/>
      <c r="M369" s="42"/>
      <c r="N369" s="41"/>
      <c r="O369" s="41"/>
      <c r="P369" s="41"/>
    </row>
    <row r="370" spans="1:16" ht="15.75" customHeight="1" x14ac:dyDescent="0.25">
      <c r="A370" s="37"/>
      <c r="B370" s="38"/>
      <c r="C370" s="39"/>
      <c r="D370" s="38"/>
      <c r="E370" s="39"/>
      <c r="F370" s="40"/>
      <c r="G370" s="38"/>
      <c r="H370" s="39"/>
      <c r="I370" s="41"/>
      <c r="J370" s="41"/>
      <c r="K370" s="41"/>
      <c r="L370" s="40"/>
      <c r="M370" s="42"/>
      <c r="N370" s="41"/>
      <c r="O370" s="41"/>
      <c r="P370" s="41"/>
    </row>
    <row r="371" spans="1:16" ht="15.75" customHeight="1" x14ac:dyDescent="0.25">
      <c r="A371" s="37"/>
      <c r="B371" s="38"/>
      <c r="C371" s="39"/>
      <c r="D371" s="38"/>
      <c r="E371" s="39"/>
      <c r="F371" s="40"/>
      <c r="G371" s="38"/>
      <c r="H371" s="39"/>
      <c r="I371" s="41"/>
      <c r="J371" s="41"/>
      <c r="K371" s="41"/>
      <c r="L371" s="40"/>
      <c r="M371" s="42"/>
      <c r="N371" s="41"/>
      <c r="O371" s="41"/>
      <c r="P371" s="41"/>
    </row>
    <row r="372" spans="1:16" ht="15.75" customHeight="1" x14ac:dyDescent="0.25">
      <c r="A372" s="37"/>
      <c r="B372" s="38"/>
      <c r="C372" s="39"/>
      <c r="D372" s="38"/>
      <c r="E372" s="39"/>
      <c r="F372" s="40"/>
      <c r="G372" s="38"/>
      <c r="H372" s="39"/>
      <c r="I372" s="41"/>
      <c r="J372" s="41"/>
      <c r="K372" s="41"/>
      <c r="L372" s="40"/>
      <c r="M372" s="42"/>
      <c r="N372" s="41"/>
      <c r="O372" s="41"/>
      <c r="P372" s="41"/>
    </row>
    <row r="373" spans="1:16" ht="15.75" customHeight="1" x14ac:dyDescent="0.25">
      <c r="A373" s="37"/>
      <c r="B373" s="38"/>
      <c r="C373" s="39"/>
      <c r="D373" s="38"/>
      <c r="E373" s="39"/>
      <c r="F373" s="40"/>
      <c r="G373" s="38"/>
      <c r="H373" s="39"/>
      <c r="I373" s="41"/>
      <c r="J373" s="41"/>
      <c r="K373" s="41"/>
      <c r="L373" s="40"/>
      <c r="M373" s="42"/>
      <c r="N373" s="41"/>
      <c r="O373" s="41"/>
      <c r="P373" s="41"/>
    </row>
    <row r="374" spans="1:16" ht="15.75" customHeight="1" x14ac:dyDescent="0.25">
      <c r="A374" s="37"/>
      <c r="B374" s="38"/>
      <c r="C374" s="39"/>
      <c r="D374" s="38"/>
      <c r="E374" s="39"/>
      <c r="F374" s="40"/>
      <c r="G374" s="38"/>
      <c r="H374" s="39"/>
      <c r="I374" s="41"/>
      <c r="J374" s="41"/>
      <c r="K374" s="41"/>
      <c r="L374" s="40"/>
      <c r="M374" s="42"/>
      <c r="N374" s="41"/>
      <c r="O374" s="41"/>
      <c r="P374" s="41"/>
    </row>
    <row r="375" spans="1:16" ht="15.75" customHeight="1" x14ac:dyDescent="0.25">
      <c r="A375" s="37"/>
      <c r="B375" s="38"/>
      <c r="C375" s="39"/>
      <c r="D375" s="38"/>
      <c r="E375" s="39"/>
      <c r="F375" s="40"/>
      <c r="G375" s="38"/>
      <c r="H375" s="39"/>
      <c r="I375" s="41"/>
      <c r="J375" s="41"/>
      <c r="K375" s="41"/>
      <c r="L375" s="40"/>
      <c r="M375" s="42"/>
      <c r="N375" s="41"/>
      <c r="O375" s="41"/>
      <c r="P375" s="41"/>
    </row>
    <row r="376" spans="1:16" ht="15.75" customHeight="1" x14ac:dyDescent="0.25">
      <c r="A376" s="37"/>
      <c r="B376" s="38"/>
      <c r="C376" s="39"/>
      <c r="D376" s="38"/>
      <c r="E376" s="39"/>
      <c r="F376" s="40"/>
      <c r="G376" s="38"/>
      <c r="H376" s="39"/>
      <c r="I376" s="41"/>
      <c r="J376" s="41"/>
      <c r="K376" s="41"/>
      <c r="L376" s="40"/>
      <c r="M376" s="42"/>
      <c r="N376" s="41"/>
      <c r="O376" s="41"/>
      <c r="P376" s="41"/>
    </row>
    <row r="377" spans="1:16" ht="15.75" customHeight="1" x14ac:dyDescent="0.25">
      <c r="A377" s="37"/>
      <c r="B377" s="38"/>
      <c r="C377" s="39"/>
      <c r="D377" s="38"/>
      <c r="E377" s="39"/>
      <c r="F377" s="40"/>
      <c r="G377" s="38"/>
      <c r="H377" s="39"/>
      <c r="I377" s="41"/>
      <c r="J377" s="41"/>
      <c r="K377" s="41"/>
      <c r="L377" s="40"/>
      <c r="M377" s="42"/>
      <c r="N377" s="41"/>
      <c r="O377" s="41"/>
      <c r="P377" s="41"/>
    </row>
    <row r="378" spans="1:16" ht="15.75" customHeight="1" x14ac:dyDescent="0.25">
      <c r="A378" s="37"/>
      <c r="B378" s="38"/>
      <c r="C378" s="39"/>
      <c r="D378" s="38"/>
      <c r="E378" s="39"/>
      <c r="F378" s="40"/>
      <c r="G378" s="38"/>
      <c r="H378" s="39"/>
      <c r="I378" s="41"/>
      <c r="J378" s="41"/>
      <c r="K378" s="41"/>
      <c r="L378" s="40"/>
      <c r="M378" s="42"/>
      <c r="N378" s="41"/>
      <c r="O378" s="41"/>
      <c r="P378" s="41"/>
    </row>
    <row r="379" spans="1:16" ht="15.75" customHeight="1" x14ac:dyDescent="0.25">
      <c r="A379" s="37"/>
      <c r="B379" s="38"/>
      <c r="C379" s="39"/>
      <c r="D379" s="38"/>
      <c r="E379" s="39"/>
      <c r="F379" s="40"/>
      <c r="G379" s="38"/>
      <c r="H379" s="39"/>
      <c r="I379" s="41"/>
      <c r="J379" s="41"/>
      <c r="K379" s="41"/>
      <c r="L379" s="40"/>
      <c r="M379" s="42"/>
      <c r="N379" s="41"/>
      <c r="O379" s="41"/>
      <c r="P379" s="41"/>
    </row>
    <row r="380" spans="1:16" ht="15.75" customHeight="1" x14ac:dyDescent="0.25">
      <c r="A380" s="37"/>
      <c r="B380" s="38"/>
      <c r="C380" s="39"/>
      <c r="D380" s="38"/>
      <c r="E380" s="39"/>
      <c r="F380" s="40"/>
      <c r="G380" s="38"/>
      <c r="H380" s="39"/>
      <c r="I380" s="41"/>
      <c r="J380" s="41"/>
      <c r="K380" s="41"/>
      <c r="L380" s="40"/>
      <c r="M380" s="42"/>
      <c r="N380" s="41"/>
      <c r="O380" s="41"/>
      <c r="P380" s="41"/>
    </row>
    <row r="381" spans="1:16" ht="15.75" customHeight="1" x14ac:dyDescent="0.25">
      <c r="A381" s="37"/>
      <c r="B381" s="38"/>
      <c r="C381" s="39"/>
      <c r="D381" s="38"/>
      <c r="E381" s="39"/>
      <c r="F381" s="40"/>
      <c r="G381" s="38"/>
      <c r="H381" s="39"/>
      <c r="I381" s="41"/>
      <c r="J381" s="41"/>
      <c r="K381" s="41"/>
      <c r="L381" s="40"/>
      <c r="M381" s="42"/>
      <c r="N381" s="41"/>
      <c r="O381" s="41"/>
      <c r="P381" s="41"/>
    </row>
    <row r="382" spans="1:16" ht="15.75" customHeight="1" x14ac:dyDescent="0.25">
      <c r="A382" s="37"/>
      <c r="B382" s="38"/>
      <c r="C382" s="39"/>
      <c r="D382" s="38"/>
      <c r="E382" s="39"/>
      <c r="F382" s="40"/>
      <c r="G382" s="38"/>
      <c r="H382" s="39"/>
      <c r="I382" s="41"/>
      <c r="J382" s="41"/>
      <c r="K382" s="41"/>
      <c r="L382" s="40"/>
      <c r="M382" s="42"/>
      <c r="N382" s="41"/>
      <c r="O382" s="41"/>
      <c r="P382" s="41"/>
    </row>
    <row r="383" spans="1:16" ht="15.75" customHeight="1" x14ac:dyDescent="0.25">
      <c r="A383" s="37"/>
      <c r="B383" s="38"/>
      <c r="C383" s="39"/>
      <c r="D383" s="38"/>
      <c r="E383" s="39"/>
      <c r="F383" s="40"/>
      <c r="G383" s="38"/>
      <c r="H383" s="39"/>
      <c r="I383" s="41"/>
      <c r="J383" s="41"/>
      <c r="K383" s="41"/>
      <c r="L383" s="40"/>
      <c r="M383" s="42"/>
      <c r="N383" s="41"/>
      <c r="O383" s="41"/>
      <c r="P383" s="41"/>
    </row>
    <row r="384" spans="1:16" ht="15.75" customHeight="1" x14ac:dyDescent="0.25">
      <c r="A384" s="37"/>
      <c r="B384" s="38"/>
      <c r="C384" s="39"/>
      <c r="D384" s="38"/>
      <c r="E384" s="39"/>
      <c r="F384" s="40"/>
      <c r="G384" s="38"/>
      <c r="H384" s="39"/>
      <c r="I384" s="41"/>
      <c r="J384" s="41"/>
      <c r="K384" s="41"/>
      <c r="L384" s="40"/>
      <c r="M384" s="42"/>
      <c r="N384" s="41"/>
      <c r="O384" s="41"/>
      <c r="P384" s="41"/>
    </row>
    <row r="385" spans="1:16" ht="15.75" customHeight="1" x14ac:dyDescent="0.25">
      <c r="A385" s="37"/>
      <c r="B385" s="38"/>
      <c r="C385" s="39"/>
      <c r="D385" s="38"/>
      <c r="E385" s="39"/>
      <c r="F385" s="40"/>
      <c r="G385" s="38"/>
      <c r="H385" s="39"/>
      <c r="I385" s="41"/>
      <c r="J385" s="41"/>
      <c r="K385" s="41"/>
      <c r="L385" s="40"/>
      <c r="M385" s="42"/>
      <c r="N385" s="41"/>
      <c r="O385" s="41"/>
      <c r="P385" s="41"/>
    </row>
    <row r="386" spans="1:16" ht="15.75" customHeight="1" x14ac:dyDescent="0.25">
      <c r="A386" s="37"/>
      <c r="B386" s="38"/>
      <c r="C386" s="39"/>
      <c r="D386" s="38"/>
      <c r="E386" s="39"/>
      <c r="F386" s="40"/>
      <c r="G386" s="38"/>
      <c r="H386" s="39"/>
      <c r="I386" s="41"/>
      <c r="J386" s="41"/>
      <c r="K386" s="41"/>
      <c r="L386" s="40"/>
      <c r="M386" s="42"/>
      <c r="N386" s="41"/>
      <c r="O386" s="41"/>
      <c r="P386" s="41"/>
    </row>
    <row r="387" spans="1:16" ht="15.75" customHeight="1" x14ac:dyDescent="0.25">
      <c r="A387" s="37"/>
      <c r="B387" s="38"/>
      <c r="C387" s="39"/>
      <c r="D387" s="38"/>
      <c r="E387" s="39"/>
      <c r="F387" s="40"/>
      <c r="G387" s="38"/>
      <c r="H387" s="39"/>
      <c r="I387" s="41"/>
      <c r="J387" s="41"/>
      <c r="K387" s="41"/>
      <c r="L387" s="40"/>
      <c r="M387" s="42"/>
      <c r="N387" s="41"/>
      <c r="O387" s="41"/>
      <c r="P387" s="41"/>
    </row>
    <row r="388" spans="1:16" ht="15.75" customHeight="1" x14ac:dyDescent="0.25">
      <c r="A388" s="37"/>
      <c r="B388" s="38"/>
      <c r="C388" s="39"/>
      <c r="D388" s="38"/>
      <c r="E388" s="39"/>
      <c r="F388" s="40"/>
      <c r="G388" s="38"/>
      <c r="H388" s="39"/>
      <c r="I388" s="41"/>
      <c r="J388" s="41"/>
      <c r="K388" s="41"/>
      <c r="L388" s="40"/>
      <c r="M388" s="42"/>
      <c r="N388" s="41"/>
      <c r="O388" s="41"/>
      <c r="P388" s="41"/>
    </row>
    <row r="389" spans="1:16" ht="15.75" customHeight="1" x14ac:dyDescent="0.25">
      <c r="A389" s="37"/>
      <c r="B389" s="38"/>
      <c r="C389" s="39"/>
      <c r="D389" s="38"/>
      <c r="E389" s="39"/>
      <c r="F389" s="40"/>
      <c r="G389" s="38"/>
      <c r="H389" s="39"/>
      <c r="I389" s="41"/>
      <c r="J389" s="41"/>
      <c r="K389" s="41"/>
      <c r="L389" s="40"/>
      <c r="M389" s="42"/>
      <c r="N389" s="41"/>
      <c r="O389" s="41"/>
      <c r="P389" s="41"/>
    </row>
    <row r="390" spans="1:16" ht="15.75" customHeight="1" x14ac:dyDescent="0.25">
      <c r="A390" s="37"/>
      <c r="B390" s="38"/>
      <c r="C390" s="39"/>
      <c r="D390" s="38"/>
      <c r="E390" s="39"/>
      <c r="F390" s="40"/>
      <c r="G390" s="38"/>
      <c r="H390" s="39"/>
      <c r="I390" s="41"/>
      <c r="J390" s="41"/>
      <c r="K390" s="41"/>
      <c r="L390" s="40"/>
      <c r="M390" s="42"/>
      <c r="N390" s="41"/>
      <c r="O390" s="41"/>
      <c r="P390" s="41"/>
    </row>
    <row r="391" spans="1:16" ht="15.75" customHeight="1" x14ac:dyDescent="0.25">
      <c r="A391" s="37"/>
      <c r="B391" s="38"/>
      <c r="C391" s="39"/>
      <c r="D391" s="38"/>
      <c r="E391" s="39"/>
      <c r="F391" s="40"/>
      <c r="G391" s="38"/>
      <c r="H391" s="39"/>
      <c r="I391" s="41"/>
      <c r="J391" s="41"/>
      <c r="K391" s="41"/>
      <c r="L391" s="40"/>
      <c r="M391" s="42"/>
      <c r="N391" s="41"/>
      <c r="O391" s="41"/>
      <c r="P391" s="41"/>
    </row>
    <row r="392" spans="1:16" ht="15.75" customHeight="1" x14ac:dyDescent="0.25">
      <c r="A392" s="37"/>
      <c r="B392" s="38"/>
      <c r="C392" s="39"/>
      <c r="D392" s="38"/>
      <c r="E392" s="39"/>
      <c r="F392" s="40"/>
      <c r="G392" s="38"/>
      <c r="H392" s="39"/>
      <c r="I392" s="41"/>
      <c r="J392" s="41"/>
      <c r="K392" s="41"/>
      <c r="L392" s="40"/>
      <c r="M392" s="42"/>
      <c r="N392" s="41"/>
      <c r="O392" s="41"/>
      <c r="P392" s="41"/>
    </row>
    <row r="393" spans="1:16" ht="15.75" customHeight="1" x14ac:dyDescent="0.25">
      <c r="A393" s="37"/>
      <c r="B393" s="38"/>
      <c r="C393" s="39"/>
      <c r="D393" s="38"/>
      <c r="E393" s="39"/>
      <c r="F393" s="40"/>
      <c r="G393" s="38"/>
      <c r="H393" s="39"/>
      <c r="I393" s="41"/>
      <c r="J393" s="41"/>
      <c r="K393" s="41"/>
      <c r="L393" s="40"/>
      <c r="M393" s="42"/>
      <c r="N393" s="41"/>
      <c r="O393" s="41"/>
      <c r="P393" s="41"/>
    </row>
    <row r="394" spans="1:16" ht="15.75" customHeight="1" x14ac:dyDescent="0.25">
      <c r="A394" s="37"/>
      <c r="B394" s="38"/>
      <c r="C394" s="39"/>
      <c r="D394" s="38"/>
      <c r="E394" s="39"/>
      <c r="F394" s="40"/>
      <c r="G394" s="38"/>
      <c r="H394" s="39"/>
      <c r="I394" s="41"/>
      <c r="J394" s="41"/>
      <c r="K394" s="41"/>
      <c r="L394" s="40"/>
      <c r="M394" s="42"/>
      <c r="N394" s="41"/>
      <c r="O394" s="41"/>
      <c r="P394" s="41"/>
    </row>
    <row r="395" spans="1:16" ht="15.75" customHeight="1" x14ac:dyDescent="0.25">
      <c r="A395" s="37"/>
      <c r="B395" s="38"/>
      <c r="C395" s="39"/>
      <c r="D395" s="38"/>
      <c r="E395" s="39"/>
      <c r="F395" s="40"/>
      <c r="G395" s="38"/>
      <c r="H395" s="39"/>
      <c r="I395" s="41"/>
      <c r="J395" s="41"/>
      <c r="K395" s="41"/>
      <c r="L395" s="40"/>
      <c r="M395" s="42"/>
      <c r="N395" s="41"/>
      <c r="O395" s="41"/>
      <c r="P395" s="41"/>
    </row>
    <row r="396" spans="1:16" ht="15.75" customHeight="1" x14ac:dyDescent="0.25">
      <c r="A396" s="37"/>
      <c r="B396" s="38"/>
      <c r="C396" s="39"/>
      <c r="D396" s="38"/>
      <c r="E396" s="39"/>
      <c r="F396" s="40"/>
      <c r="G396" s="38"/>
      <c r="H396" s="39"/>
      <c r="I396" s="41"/>
      <c r="J396" s="41"/>
      <c r="K396" s="41"/>
      <c r="L396" s="40"/>
      <c r="M396" s="42"/>
      <c r="N396" s="41"/>
      <c r="O396" s="41"/>
      <c r="P396" s="41"/>
    </row>
    <row r="397" spans="1:16" ht="15.75" customHeight="1" x14ac:dyDescent="0.25">
      <c r="A397" s="37"/>
      <c r="B397" s="38"/>
      <c r="C397" s="39"/>
      <c r="D397" s="38"/>
      <c r="E397" s="39"/>
      <c r="F397" s="40"/>
      <c r="G397" s="38"/>
      <c r="H397" s="39"/>
      <c r="I397" s="41"/>
      <c r="J397" s="41"/>
      <c r="K397" s="41"/>
      <c r="L397" s="40"/>
      <c r="M397" s="42"/>
      <c r="N397" s="41"/>
      <c r="O397" s="41"/>
      <c r="P397" s="41"/>
    </row>
    <row r="398" spans="1:16" ht="15.75" customHeight="1" x14ac:dyDescent="0.25">
      <c r="A398" s="37"/>
      <c r="B398" s="38"/>
      <c r="C398" s="39"/>
      <c r="D398" s="38"/>
      <c r="E398" s="39"/>
      <c r="F398" s="40"/>
      <c r="G398" s="38"/>
      <c r="H398" s="39"/>
      <c r="I398" s="41"/>
      <c r="J398" s="41"/>
      <c r="K398" s="41"/>
      <c r="L398" s="40"/>
      <c r="M398" s="42"/>
      <c r="N398" s="41"/>
      <c r="O398" s="41"/>
      <c r="P398" s="41"/>
    </row>
    <row r="399" spans="1:16" ht="15.75" customHeight="1" x14ac:dyDescent="0.25">
      <c r="A399" s="37"/>
      <c r="B399" s="38"/>
      <c r="C399" s="39"/>
      <c r="D399" s="38"/>
      <c r="E399" s="39"/>
      <c r="F399" s="40"/>
      <c r="G399" s="38"/>
      <c r="H399" s="39"/>
      <c r="I399" s="41"/>
      <c r="J399" s="41"/>
      <c r="K399" s="41"/>
      <c r="L399" s="40"/>
      <c r="M399" s="42"/>
      <c r="N399" s="41"/>
      <c r="O399" s="41"/>
      <c r="P399" s="41"/>
    </row>
    <row r="400" spans="1:16" ht="15.75" customHeight="1" x14ac:dyDescent="0.25">
      <c r="A400" s="37"/>
      <c r="B400" s="38"/>
      <c r="C400" s="39"/>
      <c r="D400" s="38"/>
      <c r="E400" s="39"/>
      <c r="F400" s="40"/>
      <c r="G400" s="38"/>
      <c r="H400" s="39"/>
      <c r="I400" s="41"/>
      <c r="J400" s="41"/>
      <c r="K400" s="41"/>
      <c r="L400" s="40"/>
      <c r="M400" s="42"/>
      <c r="N400" s="41"/>
      <c r="O400" s="41"/>
      <c r="P400" s="41"/>
    </row>
    <row r="401" spans="1:16" ht="15.75" customHeight="1" x14ac:dyDescent="0.25">
      <c r="A401" s="37"/>
      <c r="B401" s="38"/>
      <c r="C401" s="39"/>
      <c r="D401" s="38"/>
      <c r="E401" s="39"/>
      <c r="F401" s="40"/>
      <c r="G401" s="38"/>
      <c r="H401" s="39"/>
      <c r="I401" s="41"/>
      <c r="J401" s="41"/>
      <c r="K401" s="41"/>
      <c r="L401" s="40"/>
      <c r="M401" s="42"/>
      <c r="N401" s="41"/>
      <c r="O401" s="41"/>
      <c r="P401" s="41"/>
    </row>
    <row r="402" spans="1:16" ht="15.75" customHeight="1" x14ac:dyDescent="0.25">
      <c r="A402" s="37"/>
      <c r="B402" s="38"/>
      <c r="C402" s="39"/>
      <c r="D402" s="38"/>
      <c r="E402" s="39"/>
      <c r="F402" s="40"/>
      <c r="G402" s="38"/>
      <c r="H402" s="39"/>
      <c r="I402" s="41"/>
      <c r="J402" s="41"/>
      <c r="K402" s="41"/>
      <c r="L402" s="40"/>
      <c r="M402" s="42"/>
      <c r="N402" s="41"/>
      <c r="O402" s="41"/>
      <c r="P402" s="41"/>
    </row>
    <row r="403" spans="1:16" ht="15.75" customHeight="1" x14ac:dyDescent="0.25">
      <c r="A403" s="37"/>
      <c r="B403" s="38"/>
      <c r="C403" s="39"/>
      <c r="D403" s="38"/>
      <c r="E403" s="39"/>
      <c r="F403" s="40"/>
      <c r="G403" s="38"/>
      <c r="H403" s="39"/>
      <c r="I403" s="41"/>
      <c r="J403" s="41"/>
      <c r="K403" s="41"/>
      <c r="L403" s="40"/>
      <c r="M403" s="42"/>
      <c r="N403" s="41"/>
      <c r="O403" s="41"/>
      <c r="P403" s="41"/>
    </row>
    <row r="404" spans="1:16" ht="15.75" customHeight="1" x14ac:dyDescent="0.25">
      <c r="A404" s="37"/>
      <c r="B404" s="38"/>
      <c r="C404" s="39"/>
      <c r="D404" s="38"/>
      <c r="E404" s="39"/>
      <c r="F404" s="40"/>
      <c r="G404" s="38"/>
      <c r="H404" s="39"/>
      <c r="I404" s="41"/>
      <c r="J404" s="41"/>
      <c r="K404" s="41"/>
      <c r="L404" s="40"/>
      <c r="M404" s="42"/>
      <c r="N404" s="41"/>
      <c r="O404" s="41"/>
      <c r="P404" s="41"/>
    </row>
    <row r="405" spans="1:16" ht="15.75" customHeight="1" x14ac:dyDescent="0.25">
      <c r="A405" s="37"/>
      <c r="B405" s="38"/>
      <c r="C405" s="39"/>
      <c r="D405" s="38"/>
      <c r="E405" s="39"/>
      <c r="F405" s="40"/>
      <c r="G405" s="38"/>
      <c r="H405" s="39"/>
      <c r="I405" s="41"/>
      <c r="J405" s="41"/>
      <c r="K405" s="41"/>
      <c r="L405" s="40"/>
      <c r="M405" s="42"/>
      <c r="N405" s="41"/>
      <c r="O405" s="41"/>
      <c r="P405" s="41"/>
    </row>
    <row r="406" spans="1:16" ht="15.75" customHeight="1" x14ac:dyDescent="0.25">
      <c r="A406" s="37"/>
      <c r="B406" s="38"/>
      <c r="C406" s="39"/>
      <c r="D406" s="38"/>
      <c r="E406" s="39"/>
      <c r="F406" s="40"/>
      <c r="G406" s="38"/>
      <c r="H406" s="39"/>
      <c r="I406" s="41"/>
      <c r="J406" s="41"/>
      <c r="K406" s="41"/>
      <c r="L406" s="40"/>
      <c r="M406" s="42"/>
      <c r="N406" s="41"/>
      <c r="O406" s="41"/>
      <c r="P406" s="41"/>
    </row>
    <row r="407" spans="1:16" ht="15.75" customHeight="1" x14ac:dyDescent="0.25">
      <c r="A407" s="37"/>
      <c r="B407" s="38"/>
      <c r="C407" s="39"/>
      <c r="D407" s="38"/>
      <c r="E407" s="39"/>
      <c r="F407" s="40"/>
      <c r="G407" s="38"/>
      <c r="H407" s="39"/>
      <c r="I407" s="41"/>
      <c r="J407" s="41"/>
      <c r="K407" s="41"/>
      <c r="L407" s="40"/>
      <c r="M407" s="42"/>
      <c r="N407" s="41"/>
      <c r="O407" s="41"/>
      <c r="P407" s="41"/>
    </row>
    <row r="408" spans="1:16" ht="15.75" customHeight="1" x14ac:dyDescent="0.25">
      <c r="A408" s="37"/>
      <c r="B408" s="38"/>
      <c r="C408" s="39"/>
      <c r="D408" s="38"/>
      <c r="E408" s="39"/>
      <c r="F408" s="40"/>
      <c r="G408" s="38"/>
      <c r="H408" s="39"/>
      <c r="I408" s="41"/>
      <c r="J408" s="41"/>
      <c r="K408" s="41"/>
      <c r="L408" s="40"/>
      <c r="M408" s="42"/>
      <c r="N408" s="41"/>
      <c r="O408" s="41"/>
      <c r="P408" s="41"/>
    </row>
    <row r="409" spans="1:16" ht="15.75" customHeight="1" x14ac:dyDescent="0.25">
      <c r="A409" s="37"/>
      <c r="B409" s="38"/>
      <c r="C409" s="39"/>
      <c r="D409" s="38"/>
      <c r="E409" s="39"/>
      <c r="F409" s="40"/>
      <c r="G409" s="38"/>
      <c r="H409" s="39"/>
      <c r="I409" s="41"/>
      <c r="J409" s="41"/>
      <c r="K409" s="41"/>
      <c r="L409" s="40"/>
      <c r="M409" s="42"/>
      <c r="N409" s="41"/>
      <c r="O409" s="41"/>
      <c r="P409" s="41"/>
    </row>
    <row r="410" spans="1:16" ht="15.75" customHeight="1" x14ac:dyDescent="0.25">
      <c r="A410" s="37"/>
      <c r="B410" s="38"/>
      <c r="C410" s="39"/>
      <c r="D410" s="38"/>
      <c r="E410" s="39"/>
      <c r="F410" s="40"/>
      <c r="G410" s="38"/>
      <c r="H410" s="39"/>
      <c r="I410" s="41"/>
      <c r="J410" s="41"/>
      <c r="K410" s="41"/>
      <c r="L410" s="40"/>
      <c r="M410" s="42"/>
      <c r="N410" s="41"/>
      <c r="O410" s="41"/>
      <c r="P410" s="41"/>
    </row>
    <row r="411" spans="1:16" ht="15.75" customHeight="1" x14ac:dyDescent="0.25">
      <c r="A411" s="37"/>
      <c r="B411" s="38"/>
      <c r="C411" s="39"/>
      <c r="D411" s="38"/>
      <c r="E411" s="39"/>
      <c r="F411" s="40"/>
      <c r="G411" s="38"/>
      <c r="H411" s="39"/>
      <c r="I411" s="41"/>
      <c r="J411" s="41"/>
      <c r="K411" s="41"/>
      <c r="L411" s="40"/>
      <c r="M411" s="42"/>
      <c r="N411" s="41"/>
      <c r="O411" s="41"/>
      <c r="P411" s="41"/>
    </row>
    <row r="412" spans="1:16" ht="15.75" customHeight="1" x14ac:dyDescent="0.25">
      <c r="A412" s="37"/>
      <c r="B412" s="38"/>
      <c r="C412" s="39"/>
      <c r="D412" s="38"/>
      <c r="E412" s="39"/>
      <c r="F412" s="40"/>
      <c r="G412" s="38"/>
      <c r="H412" s="39"/>
      <c r="I412" s="41"/>
      <c r="J412" s="41"/>
      <c r="K412" s="41"/>
      <c r="L412" s="40"/>
      <c r="M412" s="42"/>
      <c r="N412" s="41"/>
      <c r="O412" s="41"/>
      <c r="P412" s="41"/>
    </row>
    <row r="413" spans="1:16" ht="15.75" customHeight="1" x14ac:dyDescent="0.25">
      <c r="A413" s="37"/>
      <c r="B413" s="38"/>
      <c r="C413" s="39"/>
      <c r="D413" s="38"/>
      <c r="E413" s="39"/>
      <c r="F413" s="40"/>
      <c r="G413" s="38"/>
      <c r="H413" s="39"/>
      <c r="I413" s="41"/>
      <c r="J413" s="41"/>
      <c r="K413" s="41"/>
      <c r="L413" s="40"/>
      <c r="M413" s="42"/>
      <c r="N413" s="41"/>
      <c r="O413" s="41"/>
      <c r="P413" s="41"/>
    </row>
    <row r="414" spans="1:16" ht="15.75" customHeight="1" x14ac:dyDescent="0.25">
      <c r="A414" s="37"/>
      <c r="B414" s="38"/>
      <c r="C414" s="39"/>
      <c r="D414" s="38"/>
      <c r="E414" s="39"/>
      <c r="F414" s="40"/>
      <c r="G414" s="38"/>
      <c r="H414" s="39"/>
      <c r="I414" s="41"/>
      <c r="J414" s="41"/>
      <c r="K414" s="41"/>
      <c r="L414" s="40"/>
      <c r="M414" s="42"/>
      <c r="N414" s="41"/>
      <c r="O414" s="41"/>
      <c r="P414" s="41"/>
    </row>
    <row r="415" spans="1:16" ht="15.75" customHeight="1" x14ac:dyDescent="0.25">
      <c r="A415" s="37"/>
      <c r="B415" s="38"/>
      <c r="C415" s="39"/>
      <c r="D415" s="38"/>
      <c r="E415" s="39"/>
      <c r="F415" s="40"/>
      <c r="G415" s="38"/>
      <c r="H415" s="39"/>
      <c r="I415" s="41"/>
      <c r="J415" s="41"/>
      <c r="K415" s="41"/>
      <c r="L415" s="40"/>
      <c r="M415" s="42"/>
      <c r="N415" s="41"/>
      <c r="O415" s="41"/>
      <c r="P415" s="41"/>
    </row>
    <row r="416" spans="1:16" ht="15.75" customHeight="1" x14ac:dyDescent="0.25">
      <c r="A416" s="37"/>
      <c r="B416" s="38"/>
      <c r="C416" s="39"/>
      <c r="D416" s="38"/>
      <c r="E416" s="39"/>
      <c r="F416" s="40"/>
      <c r="G416" s="38"/>
      <c r="H416" s="39"/>
      <c r="I416" s="41"/>
      <c r="J416" s="41"/>
      <c r="K416" s="41"/>
      <c r="L416" s="40"/>
      <c r="M416" s="42"/>
      <c r="N416" s="41"/>
      <c r="O416" s="41"/>
      <c r="P416" s="41"/>
    </row>
    <row r="417" spans="1:16" ht="15.75" customHeight="1" x14ac:dyDescent="0.25">
      <c r="A417" s="37"/>
      <c r="B417" s="38"/>
      <c r="C417" s="39"/>
      <c r="D417" s="38"/>
      <c r="E417" s="39"/>
      <c r="F417" s="40"/>
      <c r="G417" s="38"/>
      <c r="H417" s="39"/>
      <c r="I417" s="41"/>
      <c r="J417" s="41"/>
      <c r="K417" s="41"/>
      <c r="L417" s="40"/>
      <c r="M417" s="42"/>
      <c r="N417" s="41"/>
      <c r="O417" s="41"/>
      <c r="P417" s="41"/>
    </row>
    <row r="418" spans="1:16" ht="15.75" customHeight="1" x14ac:dyDescent="0.25">
      <c r="A418" s="37"/>
      <c r="B418" s="38"/>
      <c r="C418" s="39"/>
      <c r="D418" s="38"/>
      <c r="E418" s="39"/>
      <c r="F418" s="40"/>
      <c r="G418" s="38"/>
      <c r="H418" s="39"/>
      <c r="I418" s="41"/>
      <c r="J418" s="41"/>
      <c r="K418" s="41"/>
      <c r="L418" s="40"/>
      <c r="M418" s="42"/>
      <c r="N418" s="41"/>
      <c r="O418" s="41"/>
      <c r="P418" s="41"/>
    </row>
    <row r="419" spans="1:16" ht="15.75" customHeight="1" x14ac:dyDescent="0.25">
      <c r="A419" s="37"/>
      <c r="B419" s="38"/>
      <c r="C419" s="39"/>
      <c r="D419" s="38"/>
      <c r="E419" s="39"/>
      <c r="F419" s="40"/>
      <c r="G419" s="38"/>
      <c r="H419" s="39"/>
      <c r="I419" s="41"/>
      <c r="J419" s="41"/>
      <c r="K419" s="41"/>
      <c r="L419" s="40"/>
      <c r="M419" s="42"/>
      <c r="N419" s="41"/>
      <c r="O419" s="41"/>
      <c r="P419" s="41"/>
    </row>
    <row r="420" spans="1:16" ht="15.75" customHeight="1" x14ac:dyDescent="0.25">
      <c r="A420" s="37"/>
      <c r="B420" s="38"/>
      <c r="C420" s="39"/>
      <c r="D420" s="38"/>
      <c r="E420" s="39"/>
      <c r="F420" s="40"/>
      <c r="G420" s="38"/>
      <c r="H420" s="39"/>
      <c r="I420" s="41"/>
      <c r="J420" s="41"/>
      <c r="K420" s="41"/>
      <c r="L420" s="40"/>
      <c r="M420" s="42"/>
      <c r="N420" s="41"/>
      <c r="O420" s="41"/>
      <c r="P420" s="41"/>
    </row>
    <row r="421" spans="1:16" ht="15.75" customHeight="1" x14ac:dyDescent="0.25">
      <c r="A421" s="37"/>
      <c r="B421" s="38"/>
      <c r="C421" s="39"/>
      <c r="D421" s="38"/>
      <c r="E421" s="39"/>
      <c r="F421" s="40"/>
      <c r="G421" s="38"/>
      <c r="H421" s="39"/>
      <c r="I421" s="41"/>
      <c r="J421" s="41"/>
      <c r="K421" s="41"/>
      <c r="L421" s="40"/>
      <c r="M421" s="42"/>
      <c r="N421" s="41"/>
      <c r="O421" s="41"/>
      <c r="P421" s="41"/>
    </row>
    <row r="422" spans="1:16" ht="15.75" customHeight="1" x14ac:dyDescent="0.25">
      <c r="A422" s="37"/>
      <c r="B422" s="38"/>
      <c r="C422" s="39"/>
      <c r="D422" s="38"/>
      <c r="E422" s="39"/>
      <c r="F422" s="40"/>
      <c r="G422" s="38"/>
      <c r="H422" s="39"/>
      <c r="I422" s="41"/>
      <c r="J422" s="41"/>
      <c r="K422" s="41"/>
      <c r="L422" s="40"/>
      <c r="M422" s="42"/>
      <c r="N422" s="41"/>
      <c r="O422" s="41"/>
      <c r="P422" s="41"/>
    </row>
    <row r="423" spans="1:16" ht="15.75" customHeight="1" x14ac:dyDescent="0.25">
      <c r="A423" s="37"/>
      <c r="B423" s="38"/>
      <c r="C423" s="39"/>
      <c r="D423" s="38"/>
      <c r="E423" s="39"/>
      <c r="F423" s="40"/>
      <c r="G423" s="38"/>
      <c r="H423" s="39"/>
      <c r="I423" s="41"/>
      <c r="J423" s="41"/>
      <c r="K423" s="41"/>
      <c r="L423" s="40"/>
      <c r="M423" s="42"/>
      <c r="N423" s="41"/>
      <c r="O423" s="41"/>
      <c r="P423" s="41"/>
    </row>
    <row r="424" spans="1:16" ht="15.75" customHeight="1" x14ac:dyDescent="0.25">
      <c r="A424" s="37"/>
      <c r="B424" s="38"/>
      <c r="C424" s="39"/>
      <c r="D424" s="38"/>
      <c r="E424" s="39"/>
      <c r="F424" s="40"/>
      <c r="G424" s="38"/>
      <c r="H424" s="39"/>
      <c r="I424" s="41"/>
      <c r="J424" s="41"/>
      <c r="K424" s="41"/>
      <c r="L424" s="40"/>
      <c r="M424" s="42"/>
      <c r="N424" s="41"/>
      <c r="O424" s="41"/>
      <c r="P424" s="41"/>
    </row>
    <row r="425" spans="1:16" ht="15.75" customHeight="1" x14ac:dyDescent="0.25">
      <c r="A425" s="37"/>
      <c r="B425" s="38"/>
      <c r="C425" s="39"/>
      <c r="D425" s="38"/>
      <c r="E425" s="39"/>
      <c r="F425" s="40"/>
      <c r="G425" s="38"/>
      <c r="H425" s="39"/>
      <c r="I425" s="41"/>
      <c r="J425" s="41"/>
      <c r="K425" s="41"/>
      <c r="L425" s="40"/>
      <c r="M425" s="42"/>
      <c r="N425" s="41"/>
      <c r="O425" s="41"/>
      <c r="P425" s="41"/>
    </row>
    <row r="426" spans="1:16" ht="15.75" customHeight="1" x14ac:dyDescent="0.25">
      <c r="A426" s="37"/>
      <c r="B426" s="38"/>
      <c r="C426" s="39"/>
      <c r="D426" s="38"/>
      <c r="E426" s="39"/>
      <c r="F426" s="40"/>
      <c r="G426" s="38"/>
      <c r="H426" s="39"/>
      <c r="I426" s="41"/>
      <c r="J426" s="41"/>
      <c r="K426" s="41"/>
      <c r="L426" s="40"/>
      <c r="M426" s="42"/>
      <c r="N426" s="41"/>
      <c r="O426" s="41"/>
      <c r="P426" s="41"/>
    </row>
    <row r="427" spans="1:16" ht="15.75" customHeight="1" x14ac:dyDescent="0.25">
      <c r="A427" s="37"/>
      <c r="B427" s="38"/>
      <c r="C427" s="39"/>
      <c r="D427" s="38"/>
      <c r="E427" s="39"/>
      <c r="F427" s="40"/>
      <c r="G427" s="38"/>
      <c r="H427" s="39"/>
      <c r="I427" s="41"/>
      <c r="J427" s="41"/>
      <c r="K427" s="41"/>
      <c r="L427" s="40"/>
      <c r="M427" s="42"/>
      <c r="N427" s="41"/>
      <c r="O427" s="41"/>
      <c r="P427" s="41"/>
    </row>
    <row r="428" spans="1:16" ht="15.75" customHeight="1" x14ac:dyDescent="0.25">
      <c r="A428" s="37"/>
      <c r="B428" s="38"/>
      <c r="C428" s="39"/>
      <c r="D428" s="38"/>
      <c r="E428" s="39"/>
      <c r="F428" s="40"/>
      <c r="G428" s="38"/>
      <c r="H428" s="39"/>
      <c r="I428" s="41"/>
      <c r="J428" s="41"/>
      <c r="K428" s="41"/>
      <c r="L428" s="40"/>
      <c r="M428" s="42"/>
      <c r="N428" s="41"/>
      <c r="O428" s="41"/>
      <c r="P428" s="41"/>
    </row>
    <row r="429" spans="1:16" ht="15.75" customHeight="1" x14ac:dyDescent="0.25">
      <c r="A429" s="37"/>
      <c r="B429" s="38"/>
      <c r="C429" s="39"/>
      <c r="D429" s="38"/>
      <c r="E429" s="39"/>
      <c r="F429" s="40"/>
      <c r="G429" s="38"/>
      <c r="H429" s="39"/>
      <c r="I429" s="41"/>
      <c r="J429" s="41"/>
      <c r="K429" s="41"/>
      <c r="L429" s="40"/>
      <c r="M429" s="42"/>
      <c r="N429" s="41"/>
      <c r="O429" s="41"/>
      <c r="P429" s="41"/>
    </row>
    <row r="430" spans="1:16" ht="15.75" customHeight="1" x14ac:dyDescent="0.25">
      <c r="A430" s="37"/>
      <c r="B430" s="38"/>
      <c r="C430" s="39"/>
      <c r="D430" s="38"/>
      <c r="E430" s="39"/>
      <c r="F430" s="40"/>
      <c r="G430" s="38"/>
      <c r="H430" s="39"/>
      <c r="I430" s="41"/>
      <c r="J430" s="41"/>
      <c r="K430" s="41"/>
      <c r="L430" s="40"/>
      <c r="M430" s="42"/>
      <c r="N430" s="41"/>
      <c r="O430" s="41"/>
      <c r="P430" s="41"/>
    </row>
    <row r="431" spans="1:16" ht="15.75" customHeight="1" x14ac:dyDescent="0.25">
      <c r="A431" s="37"/>
      <c r="B431" s="38"/>
      <c r="C431" s="39"/>
      <c r="D431" s="38"/>
      <c r="E431" s="39"/>
      <c r="F431" s="40"/>
      <c r="G431" s="38"/>
      <c r="H431" s="39"/>
      <c r="I431" s="41"/>
      <c r="J431" s="41"/>
      <c r="K431" s="41"/>
      <c r="L431" s="40"/>
      <c r="M431" s="42"/>
      <c r="N431" s="41"/>
      <c r="O431" s="41"/>
      <c r="P431" s="41"/>
    </row>
    <row r="432" spans="1:16" ht="15.75" customHeight="1" x14ac:dyDescent="0.25">
      <c r="A432" s="37"/>
      <c r="B432" s="38"/>
      <c r="C432" s="39"/>
      <c r="D432" s="38"/>
      <c r="E432" s="39"/>
      <c r="F432" s="40"/>
      <c r="G432" s="38"/>
      <c r="H432" s="39"/>
      <c r="I432" s="41"/>
      <c r="J432" s="41"/>
      <c r="K432" s="41"/>
      <c r="L432" s="40"/>
      <c r="M432" s="42"/>
      <c r="N432" s="41"/>
      <c r="O432" s="41"/>
      <c r="P432" s="41"/>
    </row>
    <row r="433" spans="1:16" ht="15.75" customHeight="1" x14ac:dyDescent="0.25">
      <c r="A433" s="37"/>
      <c r="B433" s="38"/>
      <c r="C433" s="39"/>
      <c r="D433" s="38"/>
      <c r="E433" s="39"/>
      <c r="F433" s="40"/>
      <c r="G433" s="38"/>
      <c r="H433" s="39"/>
      <c r="I433" s="41"/>
      <c r="J433" s="41"/>
      <c r="K433" s="41"/>
      <c r="L433" s="40"/>
      <c r="M433" s="42"/>
      <c r="N433" s="41"/>
      <c r="O433" s="41"/>
      <c r="P433" s="41"/>
    </row>
    <row r="434" spans="1:16" ht="15.75" customHeight="1" x14ac:dyDescent="0.25">
      <c r="A434" s="37"/>
      <c r="B434" s="38"/>
      <c r="C434" s="39"/>
      <c r="D434" s="38"/>
      <c r="E434" s="39"/>
      <c r="F434" s="40"/>
      <c r="G434" s="38"/>
      <c r="H434" s="39"/>
      <c r="I434" s="41"/>
      <c r="J434" s="41"/>
      <c r="K434" s="41"/>
      <c r="L434" s="40"/>
      <c r="M434" s="42"/>
      <c r="N434" s="41"/>
      <c r="O434" s="41"/>
      <c r="P434" s="41"/>
    </row>
    <row r="435" spans="1:16" ht="15.75" customHeight="1" x14ac:dyDescent="0.25">
      <c r="A435" s="37"/>
      <c r="B435" s="38"/>
      <c r="C435" s="39"/>
      <c r="D435" s="38"/>
      <c r="E435" s="39"/>
      <c r="F435" s="40"/>
      <c r="G435" s="38"/>
      <c r="H435" s="39"/>
      <c r="I435" s="41"/>
      <c r="J435" s="41"/>
      <c r="K435" s="41"/>
      <c r="L435" s="40"/>
      <c r="M435" s="42"/>
      <c r="N435" s="41"/>
      <c r="O435" s="41"/>
      <c r="P435" s="41"/>
    </row>
    <row r="436" spans="1:16" ht="15.75" customHeight="1" x14ac:dyDescent="0.25">
      <c r="A436" s="37"/>
      <c r="B436" s="38"/>
      <c r="C436" s="39"/>
      <c r="D436" s="38"/>
      <c r="E436" s="39"/>
      <c r="F436" s="40"/>
      <c r="G436" s="38"/>
      <c r="H436" s="39"/>
      <c r="I436" s="41"/>
      <c r="J436" s="41"/>
      <c r="K436" s="41"/>
      <c r="L436" s="40"/>
      <c r="M436" s="42"/>
      <c r="N436" s="41"/>
      <c r="O436" s="41"/>
      <c r="P436" s="41"/>
    </row>
    <row r="437" spans="1:16" ht="15.75" customHeight="1" x14ac:dyDescent="0.25">
      <c r="A437" s="37"/>
      <c r="B437" s="38"/>
      <c r="C437" s="39"/>
      <c r="D437" s="38"/>
      <c r="E437" s="39"/>
      <c r="F437" s="40"/>
      <c r="G437" s="38"/>
      <c r="H437" s="39"/>
      <c r="I437" s="41"/>
      <c r="J437" s="41"/>
      <c r="K437" s="41"/>
      <c r="L437" s="40"/>
      <c r="M437" s="42"/>
      <c r="N437" s="41"/>
      <c r="O437" s="41"/>
      <c r="P437" s="41"/>
    </row>
    <row r="438" spans="1:16" ht="15.75" customHeight="1" x14ac:dyDescent="0.25">
      <c r="A438" s="37"/>
      <c r="B438" s="38"/>
      <c r="C438" s="39"/>
      <c r="D438" s="38"/>
      <c r="E438" s="39"/>
      <c r="F438" s="40"/>
      <c r="G438" s="38"/>
      <c r="H438" s="39"/>
      <c r="I438" s="41"/>
      <c r="J438" s="41"/>
      <c r="K438" s="41"/>
      <c r="L438" s="40"/>
      <c r="M438" s="42"/>
      <c r="N438" s="41"/>
      <c r="O438" s="41"/>
      <c r="P438" s="41"/>
    </row>
    <row r="439" spans="1:16" ht="15.75" customHeight="1" x14ac:dyDescent="0.25">
      <c r="A439" s="37"/>
      <c r="B439" s="38"/>
      <c r="C439" s="39"/>
      <c r="D439" s="38"/>
      <c r="E439" s="39"/>
      <c r="F439" s="40"/>
      <c r="G439" s="38"/>
      <c r="H439" s="39"/>
      <c r="I439" s="41"/>
      <c r="J439" s="41"/>
      <c r="K439" s="41"/>
      <c r="L439" s="40"/>
      <c r="M439" s="42"/>
      <c r="N439" s="41"/>
      <c r="O439" s="41"/>
      <c r="P439" s="41"/>
    </row>
    <row r="440" spans="1:16" ht="15.75" customHeight="1" x14ac:dyDescent="0.25">
      <c r="A440" s="37"/>
      <c r="B440" s="38"/>
      <c r="C440" s="39"/>
      <c r="D440" s="38"/>
      <c r="E440" s="39"/>
      <c r="F440" s="40"/>
      <c r="G440" s="38"/>
      <c r="H440" s="39"/>
      <c r="I440" s="41"/>
      <c r="J440" s="41"/>
      <c r="K440" s="41"/>
      <c r="L440" s="40"/>
      <c r="M440" s="42"/>
      <c r="N440" s="41"/>
      <c r="O440" s="41"/>
      <c r="P440" s="41"/>
    </row>
    <row r="441" spans="1:16" ht="15.75" customHeight="1" x14ac:dyDescent="0.25">
      <c r="A441" s="37"/>
      <c r="B441" s="38"/>
      <c r="C441" s="39"/>
      <c r="D441" s="38"/>
      <c r="E441" s="39"/>
      <c r="F441" s="40"/>
      <c r="G441" s="38"/>
      <c r="H441" s="39"/>
      <c r="I441" s="41"/>
      <c r="J441" s="41"/>
      <c r="K441" s="41"/>
      <c r="L441" s="40"/>
      <c r="M441" s="42"/>
      <c r="N441" s="41"/>
      <c r="O441" s="41"/>
      <c r="P441" s="41"/>
    </row>
    <row r="442" spans="1:16" ht="15.75" customHeight="1" x14ac:dyDescent="0.25">
      <c r="A442" s="37"/>
      <c r="B442" s="38"/>
      <c r="C442" s="39"/>
      <c r="D442" s="38"/>
      <c r="E442" s="39"/>
      <c r="F442" s="40"/>
      <c r="G442" s="38"/>
      <c r="H442" s="39"/>
      <c r="I442" s="41"/>
      <c r="J442" s="41"/>
      <c r="K442" s="41"/>
      <c r="L442" s="40"/>
      <c r="M442" s="42"/>
      <c r="N442" s="41"/>
      <c r="O442" s="41"/>
      <c r="P442" s="41"/>
    </row>
    <row r="443" spans="1:16" ht="15.75" customHeight="1" x14ac:dyDescent="0.25">
      <c r="A443" s="37"/>
      <c r="B443" s="38"/>
      <c r="C443" s="39"/>
      <c r="D443" s="38"/>
      <c r="E443" s="39"/>
      <c r="F443" s="40"/>
      <c r="G443" s="38"/>
      <c r="H443" s="39"/>
      <c r="I443" s="41"/>
      <c r="J443" s="41"/>
      <c r="K443" s="41"/>
      <c r="L443" s="40"/>
      <c r="M443" s="42"/>
      <c r="N443" s="41"/>
      <c r="O443" s="41"/>
      <c r="P443" s="41"/>
    </row>
    <row r="444" spans="1:16" ht="15.75" customHeight="1" x14ac:dyDescent="0.25">
      <c r="A444" s="37"/>
      <c r="B444" s="38"/>
      <c r="C444" s="39"/>
      <c r="D444" s="38"/>
      <c r="E444" s="39"/>
      <c r="F444" s="40"/>
      <c r="G444" s="38"/>
      <c r="H444" s="39"/>
      <c r="I444" s="41"/>
      <c r="J444" s="41"/>
      <c r="K444" s="41"/>
      <c r="L444" s="40"/>
      <c r="M444" s="42"/>
      <c r="N444" s="41"/>
      <c r="O444" s="41"/>
      <c r="P444" s="41"/>
    </row>
    <row r="445" spans="1:16" ht="15.75" customHeight="1" x14ac:dyDescent="0.25">
      <c r="A445" s="37"/>
      <c r="B445" s="38"/>
      <c r="C445" s="39"/>
      <c r="D445" s="38"/>
      <c r="E445" s="39"/>
      <c r="F445" s="40"/>
      <c r="G445" s="38"/>
      <c r="H445" s="39"/>
      <c r="I445" s="41"/>
      <c r="J445" s="41"/>
      <c r="K445" s="41"/>
      <c r="L445" s="40"/>
      <c r="M445" s="42"/>
      <c r="N445" s="41"/>
      <c r="O445" s="41"/>
      <c r="P445" s="41"/>
    </row>
    <row r="446" spans="1:16" ht="15.75" customHeight="1" x14ac:dyDescent="0.25">
      <c r="A446" s="37"/>
      <c r="B446" s="38"/>
      <c r="C446" s="39"/>
      <c r="D446" s="38"/>
      <c r="E446" s="39"/>
      <c r="F446" s="40"/>
      <c r="G446" s="38"/>
      <c r="H446" s="39"/>
      <c r="I446" s="41"/>
      <c r="J446" s="41"/>
      <c r="K446" s="41"/>
      <c r="L446" s="40"/>
      <c r="M446" s="42"/>
      <c r="N446" s="41"/>
      <c r="O446" s="41"/>
      <c r="P446" s="41"/>
    </row>
    <row r="447" spans="1:16" ht="15.75" customHeight="1" x14ac:dyDescent="0.25">
      <c r="A447" s="37"/>
      <c r="B447" s="38"/>
      <c r="C447" s="39"/>
      <c r="D447" s="38"/>
      <c r="E447" s="39"/>
      <c r="F447" s="40"/>
      <c r="G447" s="38"/>
      <c r="H447" s="39"/>
      <c r="I447" s="41"/>
      <c r="J447" s="41"/>
      <c r="K447" s="41"/>
      <c r="L447" s="40"/>
      <c r="M447" s="42"/>
      <c r="N447" s="41"/>
      <c r="O447" s="41"/>
      <c r="P447" s="41"/>
    </row>
    <row r="448" spans="1:16" ht="15.75" customHeight="1" x14ac:dyDescent="0.25">
      <c r="A448" s="37"/>
      <c r="B448" s="38"/>
      <c r="C448" s="39"/>
      <c r="D448" s="38"/>
      <c r="E448" s="39"/>
      <c r="F448" s="40"/>
      <c r="G448" s="38"/>
      <c r="H448" s="39"/>
      <c r="I448" s="41"/>
      <c r="J448" s="41"/>
      <c r="K448" s="41"/>
      <c r="L448" s="40"/>
      <c r="M448" s="42"/>
      <c r="N448" s="41"/>
      <c r="O448" s="41"/>
      <c r="P448" s="41"/>
    </row>
    <row r="449" spans="1:16" ht="15.75" customHeight="1" x14ac:dyDescent="0.25">
      <c r="A449" s="37"/>
      <c r="B449" s="38"/>
      <c r="C449" s="39"/>
      <c r="D449" s="38"/>
      <c r="E449" s="39"/>
      <c r="F449" s="40"/>
      <c r="G449" s="38"/>
      <c r="H449" s="39"/>
      <c r="I449" s="41"/>
      <c r="J449" s="41"/>
      <c r="K449" s="41"/>
      <c r="L449" s="40"/>
      <c r="M449" s="42"/>
      <c r="N449" s="41"/>
      <c r="O449" s="41"/>
      <c r="P449" s="41"/>
    </row>
    <row r="450" spans="1:16" ht="15.75" customHeight="1" x14ac:dyDescent="0.25">
      <c r="A450" s="37"/>
      <c r="B450" s="38"/>
      <c r="C450" s="39"/>
      <c r="D450" s="38"/>
      <c r="E450" s="39"/>
      <c r="F450" s="40"/>
      <c r="G450" s="38"/>
      <c r="H450" s="39"/>
      <c r="I450" s="41"/>
      <c r="J450" s="41"/>
      <c r="K450" s="41"/>
      <c r="L450" s="40"/>
      <c r="M450" s="42"/>
      <c r="N450" s="41"/>
      <c r="O450" s="41"/>
      <c r="P450" s="41"/>
    </row>
    <row r="451" spans="1:16" ht="15.75" customHeight="1" x14ac:dyDescent="0.25">
      <c r="A451" s="37"/>
      <c r="B451" s="38"/>
      <c r="C451" s="39"/>
      <c r="D451" s="38"/>
      <c r="E451" s="39"/>
      <c r="F451" s="40"/>
      <c r="G451" s="38"/>
      <c r="H451" s="39"/>
      <c r="I451" s="41"/>
      <c r="J451" s="41"/>
      <c r="K451" s="41"/>
      <c r="L451" s="40"/>
      <c r="M451" s="42"/>
      <c r="N451" s="41"/>
      <c r="O451" s="41"/>
      <c r="P451" s="41"/>
    </row>
    <row r="452" spans="1:16" ht="15.75" customHeight="1" x14ac:dyDescent="0.25">
      <c r="A452" s="37"/>
      <c r="B452" s="38"/>
      <c r="C452" s="39"/>
      <c r="D452" s="38"/>
      <c r="E452" s="39"/>
      <c r="F452" s="40"/>
      <c r="G452" s="38"/>
      <c r="H452" s="39"/>
      <c r="I452" s="41"/>
      <c r="J452" s="41"/>
      <c r="K452" s="41"/>
      <c r="L452" s="40"/>
      <c r="M452" s="42"/>
      <c r="N452" s="41"/>
      <c r="O452" s="41"/>
      <c r="P452" s="41"/>
    </row>
    <row r="453" spans="1:16" ht="15.75" customHeight="1" x14ac:dyDescent="0.25">
      <c r="A453" s="37"/>
      <c r="B453" s="38"/>
      <c r="C453" s="39"/>
      <c r="D453" s="38"/>
      <c r="E453" s="39"/>
      <c r="F453" s="40"/>
      <c r="G453" s="38"/>
      <c r="H453" s="39"/>
      <c r="I453" s="41"/>
      <c r="J453" s="41"/>
      <c r="K453" s="41"/>
      <c r="L453" s="40"/>
      <c r="M453" s="42"/>
      <c r="N453" s="41"/>
      <c r="O453" s="41"/>
      <c r="P453" s="41"/>
    </row>
    <row r="454" spans="1:16" ht="15.75" customHeight="1" x14ac:dyDescent="0.25">
      <c r="A454" s="37"/>
      <c r="B454" s="38"/>
      <c r="C454" s="39"/>
      <c r="D454" s="38"/>
      <c r="E454" s="39"/>
      <c r="F454" s="40"/>
      <c r="G454" s="38"/>
      <c r="H454" s="39"/>
      <c r="I454" s="41"/>
      <c r="J454" s="41"/>
      <c r="K454" s="41"/>
      <c r="L454" s="40"/>
      <c r="M454" s="42"/>
      <c r="N454" s="41"/>
      <c r="O454" s="41"/>
      <c r="P454" s="41"/>
    </row>
    <row r="455" spans="1:16" ht="15.75" customHeight="1" x14ac:dyDescent="0.25">
      <c r="A455" s="37"/>
      <c r="B455" s="38"/>
      <c r="C455" s="39"/>
      <c r="D455" s="38"/>
      <c r="E455" s="39"/>
      <c r="F455" s="40"/>
      <c r="G455" s="38"/>
      <c r="H455" s="39"/>
      <c r="I455" s="41"/>
      <c r="J455" s="41"/>
      <c r="K455" s="41"/>
      <c r="L455" s="40"/>
      <c r="M455" s="42"/>
      <c r="N455" s="41"/>
      <c r="O455" s="41"/>
      <c r="P455" s="41"/>
    </row>
    <row r="456" spans="1:16" ht="15.75" customHeight="1" x14ac:dyDescent="0.25">
      <c r="A456" s="37"/>
      <c r="B456" s="38"/>
      <c r="C456" s="39"/>
      <c r="D456" s="38"/>
      <c r="E456" s="39"/>
      <c r="F456" s="40"/>
      <c r="G456" s="38"/>
      <c r="H456" s="39"/>
      <c r="I456" s="41"/>
      <c r="J456" s="41"/>
      <c r="K456" s="41"/>
      <c r="L456" s="40"/>
      <c r="M456" s="42"/>
      <c r="N456" s="41"/>
      <c r="O456" s="41"/>
      <c r="P456" s="41"/>
    </row>
    <row r="457" spans="1:16" ht="15.75" customHeight="1" x14ac:dyDescent="0.25">
      <c r="A457" s="37"/>
      <c r="B457" s="38"/>
      <c r="C457" s="39"/>
      <c r="D457" s="38"/>
      <c r="E457" s="39"/>
      <c r="F457" s="40"/>
      <c r="G457" s="38"/>
      <c r="H457" s="39"/>
      <c r="I457" s="41"/>
      <c r="J457" s="41"/>
      <c r="K457" s="41"/>
      <c r="L457" s="40"/>
      <c r="M457" s="42"/>
      <c r="N457" s="41"/>
      <c r="O457" s="41"/>
      <c r="P457" s="41"/>
    </row>
    <row r="458" spans="1:16" ht="15.75" customHeight="1" x14ac:dyDescent="0.25">
      <c r="A458" s="37"/>
      <c r="B458" s="38"/>
      <c r="C458" s="39"/>
      <c r="D458" s="38"/>
      <c r="E458" s="39"/>
      <c r="F458" s="40"/>
      <c r="G458" s="38"/>
      <c r="H458" s="39"/>
      <c r="I458" s="41"/>
      <c r="J458" s="41"/>
      <c r="K458" s="41"/>
      <c r="L458" s="40"/>
      <c r="M458" s="42"/>
      <c r="N458" s="41"/>
      <c r="O458" s="41"/>
      <c r="P458" s="41"/>
    </row>
    <row r="459" spans="1:16" ht="15.75" customHeight="1" x14ac:dyDescent="0.25">
      <c r="A459" s="37"/>
      <c r="B459" s="38"/>
      <c r="C459" s="39"/>
      <c r="D459" s="38"/>
      <c r="E459" s="39"/>
      <c r="F459" s="40"/>
      <c r="G459" s="38"/>
      <c r="H459" s="39"/>
      <c r="I459" s="41"/>
      <c r="J459" s="41"/>
      <c r="K459" s="41"/>
      <c r="L459" s="40"/>
      <c r="M459" s="42"/>
      <c r="N459" s="41"/>
      <c r="O459" s="41"/>
      <c r="P459" s="41"/>
    </row>
    <row r="460" spans="1:16" ht="15.75" customHeight="1" x14ac:dyDescent="0.25">
      <c r="A460" s="37"/>
      <c r="B460" s="38"/>
      <c r="C460" s="39"/>
      <c r="D460" s="38"/>
      <c r="E460" s="39"/>
      <c r="F460" s="40"/>
      <c r="G460" s="38"/>
      <c r="H460" s="39"/>
      <c r="I460" s="41"/>
      <c r="J460" s="41"/>
      <c r="K460" s="41"/>
      <c r="L460" s="40"/>
      <c r="M460" s="42"/>
      <c r="N460" s="41"/>
      <c r="O460" s="41"/>
      <c r="P460" s="41"/>
    </row>
    <row r="461" spans="1:16" ht="15.75" customHeight="1" x14ac:dyDescent="0.25">
      <c r="A461" s="37"/>
      <c r="B461" s="38"/>
      <c r="C461" s="39"/>
      <c r="D461" s="38"/>
      <c r="E461" s="39"/>
      <c r="F461" s="40"/>
      <c r="G461" s="38"/>
      <c r="H461" s="39"/>
      <c r="I461" s="41"/>
      <c r="J461" s="41"/>
      <c r="K461" s="41"/>
      <c r="L461" s="40"/>
      <c r="M461" s="42"/>
      <c r="N461" s="41"/>
      <c r="O461" s="41"/>
      <c r="P461" s="41"/>
    </row>
    <row r="462" spans="1:16" ht="15.75" customHeight="1" x14ac:dyDescent="0.25">
      <c r="A462" s="37"/>
      <c r="B462" s="38"/>
      <c r="C462" s="39"/>
      <c r="D462" s="38"/>
      <c r="E462" s="39"/>
      <c r="F462" s="40"/>
      <c r="G462" s="38"/>
      <c r="H462" s="39"/>
      <c r="I462" s="41"/>
      <c r="J462" s="41"/>
      <c r="K462" s="41"/>
      <c r="L462" s="40"/>
      <c r="M462" s="42"/>
      <c r="N462" s="41"/>
      <c r="O462" s="41"/>
      <c r="P462" s="41"/>
    </row>
    <row r="463" spans="1:16" ht="15.75" customHeight="1" x14ac:dyDescent="0.25">
      <c r="A463" s="37"/>
      <c r="B463" s="38"/>
      <c r="C463" s="39"/>
      <c r="D463" s="38"/>
      <c r="E463" s="39"/>
      <c r="F463" s="40"/>
      <c r="G463" s="38"/>
      <c r="H463" s="39"/>
      <c r="I463" s="41"/>
      <c r="J463" s="41"/>
      <c r="K463" s="41"/>
      <c r="L463" s="40"/>
      <c r="M463" s="42"/>
      <c r="N463" s="41"/>
      <c r="O463" s="41"/>
      <c r="P463" s="41"/>
    </row>
    <row r="464" spans="1:16" ht="15.75" customHeight="1" x14ac:dyDescent="0.25">
      <c r="A464" s="37"/>
      <c r="B464" s="38"/>
      <c r="C464" s="39"/>
      <c r="D464" s="38"/>
      <c r="E464" s="39"/>
      <c r="F464" s="40"/>
      <c r="G464" s="38"/>
      <c r="H464" s="39"/>
      <c r="I464" s="41"/>
      <c r="J464" s="41"/>
      <c r="K464" s="41"/>
      <c r="L464" s="40"/>
      <c r="M464" s="42"/>
      <c r="N464" s="41"/>
      <c r="O464" s="41"/>
      <c r="P464" s="41"/>
    </row>
    <row r="465" spans="1:16" ht="15.75" customHeight="1" x14ac:dyDescent="0.25">
      <c r="A465" s="37"/>
      <c r="B465" s="38"/>
      <c r="C465" s="39"/>
      <c r="D465" s="38"/>
      <c r="E465" s="39"/>
      <c r="F465" s="40"/>
      <c r="G465" s="38"/>
      <c r="H465" s="39"/>
      <c r="I465" s="41"/>
      <c r="J465" s="41"/>
      <c r="K465" s="41"/>
      <c r="L465" s="40"/>
      <c r="M465" s="42"/>
      <c r="N465" s="41"/>
      <c r="O465" s="41"/>
      <c r="P465" s="41"/>
    </row>
    <row r="466" spans="1:16" ht="15.75" customHeight="1" x14ac:dyDescent="0.25">
      <c r="A466" s="37"/>
      <c r="B466" s="38"/>
      <c r="C466" s="39"/>
      <c r="D466" s="38"/>
      <c r="E466" s="39"/>
      <c r="F466" s="40"/>
      <c r="G466" s="38"/>
      <c r="H466" s="39"/>
      <c r="I466" s="41"/>
      <c r="J466" s="41"/>
      <c r="K466" s="41"/>
      <c r="L466" s="40"/>
      <c r="M466" s="42"/>
      <c r="N466" s="41"/>
      <c r="O466" s="41"/>
      <c r="P466" s="41"/>
    </row>
    <row r="467" spans="1:16" ht="15.75" customHeight="1" x14ac:dyDescent="0.25">
      <c r="A467" s="37"/>
      <c r="B467" s="38"/>
      <c r="C467" s="39"/>
      <c r="D467" s="38"/>
      <c r="E467" s="39"/>
      <c r="F467" s="40"/>
      <c r="G467" s="38"/>
      <c r="H467" s="39"/>
      <c r="I467" s="41"/>
      <c r="J467" s="41"/>
      <c r="K467" s="41"/>
      <c r="L467" s="40"/>
      <c r="M467" s="42"/>
      <c r="N467" s="41"/>
      <c r="O467" s="41"/>
      <c r="P467" s="41"/>
    </row>
    <row r="468" spans="1:16" ht="15.75" customHeight="1" x14ac:dyDescent="0.25">
      <c r="A468" s="37"/>
      <c r="B468" s="38"/>
      <c r="C468" s="39"/>
      <c r="D468" s="38"/>
      <c r="E468" s="39"/>
      <c r="F468" s="40"/>
      <c r="G468" s="38"/>
      <c r="H468" s="39"/>
      <c r="I468" s="41"/>
      <c r="J468" s="41"/>
      <c r="K468" s="41"/>
      <c r="L468" s="40"/>
      <c r="M468" s="42"/>
      <c r="N468" s="41"/>
      <c r="O468" s="41"/>
      <c r="P468" s="41"/>
    </row>
    <row r="469" spans="1:16" ht="15.75" customHeight="1" x14ac:dyDescent="0.25">
      <c r="A469" s="37"/>
      <c r="B469" s="38"/>
      <c r="C469" s="39"/>
      <c r="D469" s="38"/>
      <c r="E469" s="39"/>
      <c r="F469" s="40"/>
      <c r="G469" s="38"/>
      <c r="H469" s="39"/>
      <c r="I469" s="41"/>
      <c r="J469" s="41"/>
      <c r="K469" s="41"/>
      <c r="L469" s="40"/>
      <c r="M469" s="42"/>
      <c r="N469" s="41"/>
      <c r="O469" s="41"/>
      <c r="P469" s="41"/>
    </row>
    <row r="470" spans="1:16" ht="15.75" customHeight="1" x14ac:dyDescent="0.25">
      <c r="A470" s="37"/>
      <c r="B470" s="38"/>
      <c r="C470" s="39"/>
      <c r="D470" s="38"/>
      <c r="E470" s="39"/>
      <c r="F470" s="40"/>
      <c r="G470" s="38"/>
      <c r="H470" s="39"/>
      <c r="I470" s="41"/>
      <c r="J470" s="41"/>
      <c r="K470" s="41"/>
      <c r="L470" s="40"/>
      <c r="M470" s="42"/>
      <c r="N470" s="41"/>
      <c r="O470" s="41"/>
      <c r="P470" s="41"/>
    </row>
    <row r="471" spans="1:16" ht="15.75" customHeight="1" x14ac:dyDescent="0.25">
      <c r="A471" s="37"/>
      <c r="B471" s="38"/>
      <c r="C471" s="39"/>
      <c r="D471" s="38"/>
      <c r="E471" s="39"/>
      <c r="F471" s="40"/>
      <c r="G471" s="38"/>
      <c r="H471" s="39"/>
      <c r="I471" s="41"/>
      <c r="J471" s="41"/>
      <c r="K471" s="41"/>
      <c r="L471" s="40"/>
      <c r="M471" s="42"/>
      <c r="N471" s="41"/>
      <c r="O471" s="41"/>
      <c r="P471" s="41"/>
    </row>
    <row r="472" spans="1:16" ht="15.75" customHeight="1" x14ac:dyDescent="0.25">
      <c r="A472" s="37"/>
      <c r="B472" s="38"/>
      <c r="C472" s="39"/>
      <c r="D472" s="38"/>
      <c r="E472" s="39"/>
      <c r="F472" s="40"/>
      <c r="G472" s="38"/>
      <c r="H472" s="39"/>
      <c r="I472" s="41"/>
      <c r="J472" s="41"/>
      <c r="K472" s="41"/>
      <c r="L472" s="40"/>
      <c r="M472" s="42"/>
      <c r="N472" s="41"/>
      <c r="O472" s="41"/>
      <c r="P472" s="41"/>
    </row>
    <row r="473" spans="1:16" ht="15.75" customHeight="1" x14ac:dyDescent="0.25">
      <c r="A473" s="37"/>
      <c r="B473" s="38"/>
      <c r="C473" s="39"/>
      <c r="D473" s="38"/>
      <c r="E473" s="39"/>
      <c r="F473" s="40"/>
      <c r="G473" s="38"/>
      <c r="H473" s="39"/>
      <c r="I473" s="41"/>
      <c r="J473" s="41"/>
      <c r="K473" s="41"/>
      <c r="L473" s="40"/>
      <c r="M473" s="42"/>
      <c r="N473" s="41"/>
      <c r="O473" s="41"/>
      <c r="P473" s="41"/>
    </row>
    <row r="474" spans="1:16" ht="15.75" customHeight="1" x14ac:dyDescent="0.25">
      <c r="A474" s="37"/>
      <c r="B474" s="38"/>
      <c r="C474" s="39"/>
      <c r="D474" s="38"/>
      <c r="E474" s="39"/>
      <c r="F474" s="40"/>
      <c r="G474" s="38"/>
      <c r="H474" s="39"/>
      <c r="I474" s="41"/>
      <c r="J474" s="41"/>
      <c r="K474" s="41"/>
      <c r="L474" s="40"/>
      <c r="M474" s="42"/>
      <c r="N474" s="41"/>
      <c r="O474" s="41"/>
      <c r="P474" s="41"/>
    </row>
    <row r="475" spans="1:16" ht="15.75" customHeight="1" x14ac:dyDescent="0.25">
      <c r="A475" s="37"/>
      <c r="B475" s="38"/>
      <c r="C475" s="39"/>
      <c r="D475" s="38"/>
      <c r="E475" s="39"/>
      <c r="F475" s="40"/>
      <c r="G475" s="38"/>
      <c r="H475" s="39"/>
      <c r="I475" s="41"/>
      <c r="J475" s="41"/>
      <c r="K475" s="41"/>
      <c r="L475" s="40"/>
      <c r="M475" s="42"/>
      <c r="N475" s="41"/>
      <c r="O475" s="41"/>
      <c r="P475" s="41"/>
    </row>
    <row r="476" spans="1:16" ht="15.75" customHeight="1" x14ac:dyDescent="0.25">
      <c r="A476" s="37"/>
      <c r="B476" s="38"/>
      <c r="C476" s="39"/>
      <c r="D476" s="38"/>
      <c r="E476" s="39"/>
      <c r="F476" s="40"/>
      <c r="G476" s="38"/>
      <c r="H476" s="39"/>
      <c r="I476" s="41"/>
      <c r="J476" s="41"/>
      <c r="K476" s="41"/>
      <c r="L476" s="40"/>
      <c r="M476" s="42"/>
      <c r="N476" s="41"/>
      <c r="O476" s="41"/>
      <c r="P476" s="41"/>
    </row>
    <row r="477" spans="1:16" ht="15.75" customHeight="1" x14ac:dyDescent="0.25">
      <c r="A477" s="37"/>
      <c r="B477" s="38"/>
      <c r="C477" s="39"/>
      <c r="D477" s="38"/>
      <c r="E477" s="39"/>
      <c r="F477" s="40"/>
      <c r="G477" s="38"/>
      <c r="H477" s="39"/>
      <c r="I477" s="41"/>
      <c r="J477" s="41"/>
      <c r="K477" s="41"/>
      <c r="L477" s="40"/>
      <c r="M477" s="42"/>
      <c r="N477" s="41"/>
      <c r="O477" s="41"/>
      <c r="P477" s="41"/>
    </row>
    <row r="478" spans="1:16" ht="15.75" customHeight="1" x14ac:dyDescent="0.25">
      <c r="A478" s="37"/>
      <c r="B478" s="38"/>
      <c r="C478" s="39"/>
      <c r="D478" s="38"/>
      <c r="E478" s="39"/>
      <c r="F478" s="40"/>
      <c r="G478" s="38"/>
      <c r="H478" s="39"/>
      <c r="I478" s="41"/>
      <c r="J478" s="41"/>
      <c r="K478" s="41"/>
      <c r="L478" s="40"/>
      <c r="M478" s="42"/>
      <c r="N478" s="41"/>
      <c r="O478" s="41"/>
      <c r="P478" s="41"/>
    </row>
    <row r="479" spans="1:16" ht="15.75" customHeight="1" x14ac:dyDescent="0.25">
      <c r="A479" s="37"/>
      <c r="B479" s="38"/>
      <c r="C479" s="39"/>
      <c r="D479" s="38"/>
      <c r="E479" s="39"/>
      <c r="F479" s="40"/>
      <c r="G479" s="38"/>
      <c r="H479" s="39"/>
      <c r="I479" s="41"/>
      <c r="J479" s="41"/>
      <c r="K479" s="41"/>
      <c r="L479" s="40"/>
      <c r="M479" s="42"/>
      <c r="N479" s="41"/>
      <c r="O479" s="41"/>
      <c r="P479" s="41"/>
    </row>
    <row r="480" spans="1:16" ht="15.75" customHeight="1" x14ac:dyDescent="0.25">
      <c r="A480" s="37"/>
      <c r="B480" s="38"/>
      <c r="C480" s="39"/>
      <c r="D480" s="38"/>
      <c r="E480" s="39"/>
      <c r="F480" s="40"/>
      <c r="G480" s="38"/>
      <c r="H480" s="39"/>
      <c r="I480" s="41"/>
      <c r="J480" s="41"/>
      <c r="K480" s="41"/>
      <c r="L480" s="40"/>
      <c r="M480" s="42"/>
      <c r="N480" s="41"/>
      <c r="O480" s="41"/>
      <c r="P480" s="41"/>
    </row>
    <row r="481" spans="1:16" ht="15.75" customHeight="1" x14ac:dyDescent="0.25">
      <c r="A481" s="37"/>
      <c r="B481" s="38"/>
      <c r="C481" s="39"/>
      <c r="D481" s="38"/>
      <c r="E481" s="39"/>
      <c r="F481" s="40"/>
      <c r="G481" s="38"/>
      <c r="H481" s="39"/>
      <c r="I481" s="41"/>
      <c r="J481" s="41"/>
      <c r="K481" s="41"/>
      <c r="L481" s="40"/>
      <c r="M481" s="42"/>
      <c r="N481" s="41"/>
      <c r="O481" s="41"/>
      <c r="P481" s="41"/>
    </row>
    <row r="482" spans="1:16" ht="15.75" customHeight="1" x14ac:dyDescent="0.25">
      <c r="A482" s="37"/>
      <c r="B482" s="38"/>
      <c r="C482" s="39"/>
      <c r="D482" s="38"/>
      <c r="E482" s="39"/>
      <c r="F482" s="40"/>
      <c r="G482" s="38"/>
      <c r="H482" s="39"/>
      <c r="I482" s="41"/>
      <c r="J482" s="41"/>
      <c r="K482" s="41"/>
      <c r="L482" s="40"/>
      <c r="M482" s="42"/>
      <c r="N482" s="41"/>
      <c r="O482" s="41"/>
      <c r="P482" s="41"/>
    </row>
    <row r="483" spans="1:16" ht="15.75" customHeight="1" x14ac:dyDescent="0.25">
      <c r="A483" s="37"/>
      <c r="B483" s="38"/>
      <c r="C483" s="39"/>
      <c r="D483" s="38"/>
      <c r="E483" s="39"/>
      <c r="F483" s="40"/>
      <c r="G483" s="38"/>
      <c r="H483" s="39"/>
      <c r="I483" s="41"/>
      <c r="J483" s="41"/>
      <c r="K483" s="41"/>
      <c r="L483" s="40"/>
      <c r="M483" s="42"/>
      <c r="N483" s="41"/>
      <c r="O483" s="41"/>
      <c r="P483" s="41"/>
    </row>
    <row r="484" spans="1:16" ht="15.75" customHeight="1" x14ac:dyDescent="0.25">
      <c r="A484" s="37"/>
      <c r="B484" s="38"/>
      <c r="C484" s="39"/>
      <c r="D484" s="38"/>
      <c r="E484" s="39"/>
      <c r="F484" s="40"/>
      <c r="G484" s="38"/>
      <c r="H484" s="39"/>
      <c r="I484" s="41"/>
      <c r="J484" s="41"/>
      <c r="K484" s="41"/>
      <c r="L484" s="40"/>
      <c r="M484" s="42"/>
      <c r="N484" s="41"/>
      <c r="O484" s="41"/>
      <c r="P484" s="41"/>
    </row>
    <row r="485" spans="1:16" ht="15.75" customHeight="1" x14ac:dyDescent="0.25">
      <c r="A485" s="37"/>
      <c r="B485" s="38"/>
      <c r="C485" s="39"/>
      <c r="D485" s="38"/>
      <c r="E485" s="39"/>
      <c r="F485" s="40"/>
      <c r="G485" s="38"/>
      <c r="H485" s="39"/>
      <c r="I485" s="41"/>
      <c r="J485" s="41"/>
      <c r="K485" s="41"/>
      <c r="L485" s="40"/>
      <c r="M485" s="42"/>
      <c r="N485" s="41"/>
      <c r="O485" s="41"/>
      <c r="P485" s="41"/>
    </row>
    <row r="486" spans="1:16" ht="15.75" customHeight="1" x14ac:dyDescent="0.25">
      <c r="A486" s="37"/>
      <c r="B486" s="38"/>
      <c r="C486" s="39"/>
      <c r="D486" s="38"/>
      <c r="E486" s="39"/>
      <c r="F486" s="40"/>
      <c r="G486" s="38"/>
      <c r="H486" s="39"/>
      <c r="I486" s="41"/>
      <c r="J486" s="41"/>
      <c r="K486" s="41"/>
      <c r="L486" s="40"/>
      <c r="M486" s="42"/>
      <c r="N486" s="41"/>
      <c r="O486" s="41"/>
      <c r="P486" s="41"/>
    </row>
    <row r="487" spans="1:16" ht="15.75" customHeight="1" x14ac:dyDescent="0.25">
      <c r="A487" s="37"/>
      <c r="B487" s="38"/>
      <c r="C487" s="39"/>
      <c r="D487" s="38"/>
      <c r="E487" s="39"/>
      <c r="F487" s="40"/>
      <c r="G487" s="38"/>
      <c r="H487" s="39"/>
      <c r="I487" s="41"/>
      <c r="J487" s="41"/>
      <c r="K487" s="41"/>
      <c r="L487" s="40"/>
      <c r="M487" s="42"/>
      <c r="N487" s="41"/>
      <c r="O487" s="41"/>
      <c r="P487" s="41"/>
    </row>
    <row r="488" spans="1:16" ht="15.75" customHeight="1" x14ac:dyDescent="0.25">
      <c r="A488" s="37"/>
      <c r="B488" s="38"/>
      <c r="C488" s="39"/>
      <c r="D488" s="38"/>
      <c r="E488" s="39"/>
      <c r="F488" s="40"/>
      <c r="G488" s="38"/>
      <c r="H488" s="39"/>
      <c r="I488" s="41"/>
      <c r="J488" s="41"/>
      <c r="K488" s="41"/>
      <c r="L488" s="40"/>
      <c r="M488" s="42"/>
      <c r="N488" s="41"/>
      <c r="O488" s="41"/>
      <c r="P488" s="41"/>
    </row>
    <row r="489" spans="1:16" ht="15.75" customHeight="1" x14ac:dyDescent="0.25">
      <c r="A489" s="37"/>
      <c r="B489" s="38"/>
      <c r="C489" s="39"/>
      <c r="D489" s="38"/>
      <c r="E489" s="39"/>
      <c r="F489" s="40"/>
      <c r="G489" s="38"/>
      <c r="H489" s="39"/>
      <c r="I489" s="41"/>
      <c r="J489" s="41"/>
      <c r="K489" s="41"/>
      <c r="L489" s="40"/>
      <c r="M489" s="42"/>
      <c r="N489" s="41"/>
      <c r="O489" s="41"/>
      <c r="P489" s="41"/>
    </row>
    <row r="490" spans="1:16" ht="15.75" customHeight="1" x14ac:dyDescent="0.25">
      <c r="A490" s="37"/>
      <c r="B490" s="38"/>
      <c r="C490" s="39"/>
      <c r="D490" s="38"/>
      <c r="E490" s="39"/>
      <c r="F490" s="40"/>
      <c r="G490" s="38"/>
      <c r="H490" s="39"/>
      <c r="I490" s="41"/>
      <c r="J490" s="41"/>
      <c r="K490" s="41"/>
      <c r="L490" s="40"/>
      <c r="M490" s="42"/>
      <c r="N490" s="41"/>
      <c r="O490" s="41"/>
      <c r="P490" s="41"/>
    </row>
    <row r="491" spans="1:16" ht="15.75" customHeight="1" x14ac:dyDescent="0.25">
      <c r="A491" s="37"/>
      <c r="B491" s="38"/>
      <c r="C491" s="39"/>
      <c r="D491" s="38"/>
      <c r="E491" s="39"/>
      <c r="F491" s="40"/>
      <c r="G491" s="38"/>
      <c r="H491" s="39"/>
      <c r="I491" s="41"/>
      <c r="J491" s="41"/>
      <c r="K491" s="41"/>
      <c r="L491" s="40"/>
      <c r="M491" s="42"/>
      <c r="N491" s="41"/>
      <c r="O491" s="41"/>
      <c r="P491" s="41"/>
    </row>
    <row r="492" spans="1:16" ht="15.75" customHeight="1" x14ac:dyDescent="0.25">
      <c r="A492" s="37"/>
      <c r="B492" s="38"/>
      <c r="C492" s="39"/>
      <c r="D492" s="38"/>
      <c r="E492" s="39"/>
      <c r="F492" s="40"/>
      <c r="G492" s="38"/>
      <c r="H492" s="39"/>
      <c r="I492" s="41"/>
      <c r="J492" s="41"/>
      <c r="K492" s="41"/>
      <c r="L492" s="40"/>
      <c r="M492" s="42"/>
      <c r="N492" s="41"/>
      <c r="O492" s="41"/>
      <c r="P492" s="41"/>
    </row>
    <row r="493" spans="1:16" ht="15.75" customHeight="1" x14ac:dyDescent="0.25">
      <c r="A493" s="37"/>
      <c r="B493" s="38"/>
      <c r="C493" s="39"/>
      <c r="D493" s="38"/>
      <c r="E493" s="39"/>
      <c r="F493" s="40"/>
      <c r="G493" s="38"/>
      <c r="H493" s="39"/>
      <c r="I493" s="41"/>
      <c r="J493" s="41"/>
      <c r="K493" s="41"/>
      <c r="L493" s="40"/>
      <c r="M493" s="42"/>
      <c r="N493" s="41"/>
      <c r="O493" s="41"/>
      <c r="P493" s="41"/>
    </row>
    <row r="494" spans="1:16" ht="15.75" customHeight="1" x14ac:dyDescent="0.25">
      <c r="A494" s="37"/>
      <c r="B494" s="38"/>
      <c r="C494" s="39"/>
      <c r="D494" s="38"/>
      <c r="E494" s="39"/>
      <c r="F494" s="40"/>
      <c r="G494" s="38"/>
      <c r="H494" s="39"/>
      <c r="I494" s="41"/>
      <c r="J494" s="41"/>
      <c r="K494" s="41"/>
      <c r="L494" s="40"/>
      <c r="M494" s="42"/>
      <c r="N494" s="41"/>
      <c r="O494" s="41"/>
      <c r="P494" s="41"/>
    </row>
    <row r="495" spans="1:16" ht="15.75" customHeight="1" x14ac:dyDescent="0.25">
      <c r="A495" s="37"/>
      <c r="B495" s="38"/>
      <c r="C495" s="39"/>
      <c r="D495" s="38"/>
      <c r="E495" s="39"/>
      <c r="F495" s="40"/>
      <c r="G495" s="38"/>
      <c r="H495" s="39"/>
      <c r="I495" s="41"/>
      <c r="J495" s="41"/>
      <c r="K495" s="41"/>
      <c r="L495" s="40"/>
      <c r="M495" s="42"/>
      <c r="N495" s="41"/>
      <c r="O495" s="41"/>
      <c r="P495" s="41"/>
    </row>
    <row r="496" spans="1:16" ht="15.75" customHeight="1" x14ac:dyDescent="0.25">
      <c r="A496" s="37"/>
      <c r="B496" s="38"/>
      <c r="C496" s="39"/>
      <c r="D496" s="38"/>
      <c r="E496" s="39"/>
      <c r="F496" s="40"/>
      <c r="G496" s="38"/>
      <c r="H496" s="39"/>
      <c r="I496" s="41"/>
      <c r="J496" s="41"/>
      <c r="K496" s="41"/>
      <c r="L496" s="40"/>
      <c r="M496" s="42"/>
      <c r="N496" s="41"/>
      <c r="O496" s="41"/>
      <c r="P496" s="41"/>
    </row>
    <row r="497" spans="1:16" ht="15.75" customHeight="1" x14ac:dyDescent="0.25">
      <c r="A497" s="37"/>
      <c r="B497" s="38"/>
      <c r="C497" s="39"/>
      <c r="D497" s="38"/>
      <c r="E497" s="39"/>
      <c r="F497" s="40"/>
      <c r="G497" s="38"/>
      <c r="H497" s="39"/>
      <c r="I497" s="41"/>
      <c r="J497" s="41"/>
      <c r="K497" s="41"/>
      <c r="L497" s="40"/>
      <c r="M497" s="42"/>
      <c r="N497" s="41"/>
      <c r="O497" s="41"/>
      <c r="P497" s="41"/>
    </row>
    <row r="498" spans="1:16" ht="15.75" customHeight="1" x14ac:dyDescent="0.25">
      <c r="A498" s="37"/>
      <c r="B498" s="38"/>
      <c r="C498" s="39"/>
      <c r="D498" s="38"/>
      <c r="E498" s="39"/>
      <c r="F498" s="40"/>
      <c r="G498" s="38"/>
      <c r="H498" s="39"/>
      <c r="I498" s="41"/>
      <c r="J498" s="41"/>
      <c r="K498" s="41"/>
      <c r="L498" s="40"/>
      <c r="M498" s="42"/>
      <c r="N498" s="41"/>
      <c r="O498" s="41"/>
      <c r="P498" s="41"/>
    </row>
    <row r="499" spans="1:16" ht="15.75" customHeight="1" x14ac:dyDescent="0.25">
      <c r="A499" s="37"/>
      <c r="B499" s="38"/>
      <c r="C499" s="39"/>
      <c r="D499" s="38"/>
      <c r="E499" s="39"/>
      <c r="F499" s="40"/>
      <c r="G499" s="38"/>
      <c r="H499" s="39"/>
      <c r="I499" s="41"/>
      <c r="J499" s="41"/>
      <c r="K499" s="41"/>
      <c r="L499" s="40"/>
      <c r="M499" s="42"/>
      <c r="N499" s="41"/>
      <c r="O499" s="41"/>
      <c r="P499" s="41"/>
    </row>
    <row r="500" spans="1:16" ht="15.75" customHeight="1" x14ac:dyDescent="0.25">
      <c r="A500" s="37"/>
      <c r="B500" s="38"/>
      <c r="C500" s="39"/>
      <c r="D500" s="38"/>
      <c r="E500" s="39"/>
      <c r="F500" s="40"/>
      <c r="G500" s="38"/>
      <c r="H500" s="39"/>
      <c r="I500" s="41"/>
      <c r="J500" s="41"/>
      <c r="K500" s="41"/>
      <c r="L500" s="40"/>
      <c r="M500" s="42"/>
      <c r="N500" s="41"/>
      <c r="O500" s="41"/>
      <c r="P500" s="41"/>
    </row>
    <row r="501" spans="1:16" ht="15.75" customHeight="1" x14ac:dyDescent="0.25">
      <c r="A501" s="37"/>
      <c r="B501" s="38"/>
      <c r="C501" s="39"/>
      <c r="D501" s="38"/>
      <c r="E501" s="39"/>
      <c r="F501" s="40"/>
      <c r="G501" s="38"/>
      <c r="H501" s="39"/>
      <c r="I501" s="41"/>
      <c r="J501" s="41"/>
      <c r="K501" s="41"/>
      <c r="L501" s="40"/>
      <c r="M501" s="42"/>
      <c r="N501" s="41"/>
      <c r="O501" s="41"/>
      <c r="P501" s="41"/>
    </row>
    <row r="502" spans="1:16" ht="15.75" customHeight="1" x14ac:dyDescent="0.25">
      <c r="A502" s="37"/>
      <c r="B502" s="38"/>
      <c r="C502" s="39"/>
      <c r="D502" s="38"/>
      <c r="E502" s="39"/>
      <c r="F502" s="40"/>
      <c r="G502" s="38"/>
      <c r="H502" s="39"/>
      <c r="I502" s="41"/>
      <c r="J502" s="41"/>
      <c r="K502" s="41"/>
      <c r="L502" s="40"/>
      <c r="M502" s="42"/>
      <c r="N502" s="41"/>
      <c r="O502" s="41"/>
      <c r="P502" s="41"/>
    </row>
    <row r="503" spans="1:16" ht="15.75" customHeight="1" x14ac:dyDescent="0.25">
      <c r="A503" s="37"/>
      <c r="B503" s="38"/>
      <c r="C503" s="39"/>
      <c r="D503" s="38"/>
      <c r="E503" s="39"/>
      <c r="F503" s="40"/>
      <c r="G503" s="38"/>
      <c r="H503" s="39"/>
      <c r="I503" s="41"/>
      <c r="J503" s="41"/>
      <c r="K503" s="41"/>
      <c r="L503" s="40"/>
      <c r="M503" s="42"/>
      <c r="N503" s="41"/>
      <c r="O503" s="41"/>
      <c r="P503" s="41"/>
    </row>
    <row r="504" spans="1:16" ht="15.75" customHeight="1" x14ac:dyDescent="0.25">
      <c r="A504" s="37"/>
      <c r="B504" s="38"/>
      <c r="C504" s="39"/>
      <c r="D504" s="38"/>
      <c r="E504" s="39"/>
      <c r="F504" s="40"/>
      <c r="G504" s="38"/>
      <c r="H504" s="39"/>
      <c r="I504" s="41"/>
      <c r="J504" s="41"/>
      <c r="K504" s="41"/>
      <c r="L504" s="40"/>
      <c r="M504" s="42"/>
      <c r="N504" s="41"/>
      <c r="O504" s="41"/>
      <c r="P504" s="41"/>
    </row>
    <row r="505" spans="1:16" ht="15.75" customHeight="1" x14ac:dyDescent="0.25">
      <c r="A505" s="37"/>
      <c r="B505" s="38"/>
      <c r="C505" s="39"/>
      <c r="D505" s="38"/>
      <c r="E505" s="39"/>
      <c r="F505" s="40"/>
      <c r="G505" s="38"/>
      <c r="H505" s="39"/>
      <c r="I505" s="41"/>
      <c r="J505" s="41"/>
      <c r="K505" s="41"/>
      <c r="L505" s="40"/>
      <c r="M505" s="42"/>
      <c r="N505" s="41"/>
      <c r="O505" s="41"/>
      <c r="P505" s="41"/>
    </row>
    <row r="506" spans="1:16" ht="15.75" customHeight="1" x14ac:dyDescent="0.25">
      <c r="A506" s="37"/>
      <c r="B506" s="38"/>
      <c r="C506" s="39"/>
      <c r="D506" s="38"/>
      <c r="E506" s="39"/>
      <c r="F506" s="40"/>
      <c r="G506" s="38"/>
      <c r="H506" s="39"/>
      <c r="I506" s="41"/>
      <c r="J506" s="41"/>
      <c r="K506" s="41"/>
      <c r="L506" s="40"/>
      <c r="M506" s="42"/>
      <c r="N506" s="41"/>
      <c r="O506" s="41"/>
      <c r="P506" s="41"/>
    </row>
    <row r="507" spans="1:16" ht="15.75" customHeight="1" x14ac:dyDescent="0.25">
      <c r="A507" s="37"/>
      <c r="B507" s="38"/>
      <c r="C507" s="39"/>
      <c r="D507" s="38"/>
      <c r="E507" s="39"/>
      <c r="F507" s="40"/>
      <c r="G507" s="38"/>
      <c r="H507" s="39"/>
      <c r="I507" s="41"/>
      <c r="J507" s="41"/>
      <c r="K507" s="41"/>
      <c r="L507" s="40"/>
      <c r="M507" s="42"/>
      <c r="N507" s="41"/>
      <c r="O507" s="41"/>
      <c r="P507" s="41"/>
    </row>
    <row r="508" spans="1:16" ht="15.75" customHeight="1" x14ac:dyDescent="0.25">
      <c r="A508" s="37"/>
      <c r="B508" s="38"/>
      <c r="C508" s="39"/>
      <c r="D508" s="38"/>
      <c r="E508" s="39"/>
      <c r="F508" s="40"/>
      <c r="G508" s="38"/>
      <c r="H508" s="39"/>
      <c r="I508" s="41"/>
      <c r="J508" s="41"/>
      <c r="K508" s="41"/>
      <c r="L508" s="40"/>
      <c r="M508" s="42"/>
      <c r="N508" s="41"/>
      <c r="O508" s="41"/>
      <c r="P508" s="41"/>
    </row>
    <row r="509" spans="1:16" ht="15.75" customHeight="1" x14ac:dyDescent="0.25">
      <c r="A509" s="37"/>
      <c r="B509" s="38"/>
      <c r="C509" s="39"/>
      <c r="D509" s="38"/>
      <c r="E509" s="39"/>
      <c r="F509" s="40"/>
      <c r="G509" s="38"/>
      <c r="H509" s="39"/>
      <c r="I509" s="41"/>
      <c r="J509" s="41"/>
      <c r="K509" s="41"/>
      <c r="L509" s="40"/>
      <c r="M509" s="42"/>
      <c r="N509" s="41"/>
      <c r="O509" s="41"/>
      <c r="P509" s="41"/>
    </row>
    <row r="510" spans="1:16" ht="15.75" customHeight="1" x14ac:dyDescent="0.25">
      <c r="A510" s="37"/>
      <c r="B510" s="38"/>
      <c r="C510" s="39"/>
      <c r="D510" s="38"/>
      <c r="E510" s="39"/>
      <c r="F510" s="40"/>
      <c r="G510" s="38"/>
      <c r="H510" s="39"/>
      <c r="I510" s="41"/>
      <c r="J510" s="41"/>
      <c r="K510" s="41"/>
      <c r="L510" s="40"/>
      <c r="M510" s="42"/>
      <c r="N510" s="41"/>
      <c r="O510" s="41"/>
      <c r="P510" s="41"/>
    </row>
    <row r="511" spans="1:16" ht="15.75" customHeight="1" x14ac:dyDescent="0.25">
      <c r="A511" s="37"/>
      <c r="B511" s="38"/>
      <c r="C511" s="39"/>
      <c r="D511" s="38"/>
      <c r="E511" s="39"/>
      <c r="F511" s="40"/>
      <c r="G511" s="38"/>
      <c r="H511" s="39"/>
      <c r="I511" s="41"/>
      <c r="J511" s="41"/>
      <c r="K511" s="41"/>
      <c r="L511" s="40"/>
      <c r="M511" s="42"/>
      <c r="N511" s="41"/>
      <c r="O511" s="41"/>
      <c r="P511" s="41"/>
    </row>
    <row r="512" spans="1:16" ht="15.75" customHeight="1" x14ac:dyDescent="0.25">
      <c r="A512" s="37"/>
      <c r="B512" s="38"/>
      <c r="C512" s="39"/>
      <c r="D512" s="38"/>
      <c r="E512" s="39"/>
      <c r="F512" s="40"/>
      <c r="G512" s="38"/>
      <c r="H512" s="39"/>
      <c r="I512" s="41"/>
      <c r="J512" s="41"/>
      <c r="K512" s="41"/>
      <c r="L512" s="40"/>
      <c r="M512" s="42"/>
      <c r="N512" s="41"/>
      <c r="O512" s="41"/>
      <c r="P512" s="41"/>
    </row>
    <row r="513" spans="1:16" ht="15.75" customHeight="1" x14ac:dyDescent="0.25">
      <c r="A513" s="37"/>
      <c r="B513" s="38"/>
      <c r="C513" s="39"/>
      <c r="D513" s="38"/>
      <c r="E513" s="39"/>
      <c r="F513" s="40"/>
      <c r="G513" s="38"/>
      <c r="H513" s="39"/>
      <c r="I513" s="41"/>
      <c r="J513" s="41"/>
      <c r="K513" s="41"/>
      <c r="L513" s="40"/>
      <c r="M513" s="42"/>
      <c r="N513" s="41"/>
      <c r="O513" s="41"/>
      <c r="P513" s="41"/>
    </row>
    <row r="514" spans="1:16" ht="15.75" customHeight="1" x14ac:dyDescent="0.25">
      <c r="A514" s="37"/>
      <c r="B514" s="38"/>
      <c r="C514" s="39"/>
      <c r="D514" s="38"/>
      <c r="E514" s="39"/>
      <c r="F514" s="40"/>
      <c r="G514" s="38"/>
      <c r="H514" s="39"/>
      <c r="I514" s="41"/>
      <c r="J514" s="41"/>
      <c r="K514" s="41"/>
      <c r="L514" s="40"/>
      <c r="M514" s="42"/>
      <c r="N514" s="41"/>
      <c r="O514" s="41"/>
      <c r="P514" s="41"/>
    </row>
    <row r="515" spans="1:16" ht="15.75" customHeight="1" x14ac:dyDescent="0.25">
      <c r="A515" s="37"/>
      <c r="B515" s="38"/>
      <c r="C515" s="39"/>
      <c r="D515" s="38"/>
      <c r="E515" s="39"/>
      <c r="F515" s="40"/>
      <c r="G515" s="38"/>
      <c r="H515" s="39"/>
      <c r="I515" s="41"/>
      <c r="J515" s="41"/>
      <c r="K515" s="41"/>
      <c r="L515" s="40"/>
      <c r="M515" s="42"/>
      <c r="N515" s="41"/>
      <c r="O515" s="41"/>
      <c r="P515" s="41"/>
    </row>
    <row r="516" spans="1:16" ht="15.75" customHeight="1" x14ac:dyDescent="0.25">
      <c r="A516" s="37"/>
      <c r="B516" s="38"/>
      <c r="C516" s="39"/>
      <c r="D516" s="38"/>
      <c r="E516" s="39"/>
      <c r="F516" s="40"/>
      <c r="G516" s="38"/>
      <c r="H516" s="39"/>
      <c r="I516" s="41"/>
      <c r="J516" s="41"/>
      <c r="K516" s="41"/>
      <c r="L516" s="40"/>
      <c r="M516" s="42"/>
      <c r="N516" s="41"/>
      <c r="O516" s="41"/>
      <c r="P516" s="41"/>
    </row>
    <row r="517" spans="1:16" ht="15.75" customHeight="1" x14ac:dyDescent="0.25">
      <c r="A517" s="37"/>
      <c r="B517" s="38"/>
      <c r="C517" s="39"/>
      <c r="D517" s="38"/>
      <c r="E517" s="39"/>
      <c r="F517" s="40"/>
      <c r="G517" s="38"/>
      <c r="H517" s="39"/>
      <c r="I517" s="41"/>
      <c r="J517" s="41"/>
      <c r="K517" s="41"/>
      <c r="L517" s="40"/>
      <c r="M517" s="42"/>
      <c r="N517" s="41"/>
      <c r="O517" s="41"/>
      <c r="P517" s="41"/>
    </row>
    <row r="518" spans="1:16" ht="15.75" customHeight="1" x14ac:dyDescent="0.25">
      <c r="A518" s="37"/>
      <c r="B518" s="38"/>
      <c r="C518" s="39"/>
      <c r="D518" s="38"/>
      <c r="E518" s="39"/>
      <c r="F518" s="40"/>
      <c r="G518" s="38"/>
      <c r="H518" s="39"/>
      <c r="I518" s="41"/>
      <c r="J518" s="41"/>
      <c r="K518" s="41"/>
      <c r="L518" s="40"/>
      <c r="M518" s="42"/>
      <c r="N518" s="41"/>
      <c r="O518" s="41"/>
      <c r="P518" s="41"/>
    </row>
    <row r="519" spans="1:16" ht="15.75" customHeight="1" x14ac:dyDescent="0.25">
      <c r="A519" s="37"/>
      <c r="B519" s="38"/>
      <c r="C519" s="39"/>
      <c r="D519" s="38"/>
      <c r="E519" s="39"/>
      <c r="F519" s="40"/>
      <c r="G519" s="38"/>
      <c r="H519" s="39"/>
      <c r="I519" s="41"/>
      <c r="J519" s="41"/>
      <c r="K519" s="41"/>
      <c r="L519" s="40"/>
      <c r="M519" s="42"/>
      <c r="N519" s="41"/>
      <c r="O519" s="41"/>
      <c r="P519" s="41"/>
    </row>
    <row r="520" spans="1:16" ht="15.75" customHeight="1" x14ac:dyDescent="0.25">
      <c r="A520" s="37"/>
      <c r="B520" s="38"/>
      <c r="C520" s="39"/>
      <c r="D520" s="38"/>
      <c r="E520" s="39"/>
      <c r="F520" s="40"/>
      <c r="G520" s="38"/>
      <c r="H520" s="39"/>
      <c r="I520" s="41"/>
      <c r="J520" s="41"/>
      <c r="K520" s="41"/>
      <c r="L520" s="40"/>
      <c r="M520" s="42"/>
      <c r="N520" s="41"/>
      <c r="O520" s="41"/>
      <c r="P520" s="41"/>
    </row>
    <row r="521" spans="1:16" ht="15.75" customHeight="1" x14ac:dyDescent="0.25">
      <c r="A521" s="37"/>
      <c r="B521" s="38"/>
      <c r="C521" s="39"/>
      <c r="D521" s="38"/>
      <c r="E521" s="39"/>
      <c r="F521" s="40"/>
      <c r="G521" s="38"/>
      <c r="H521" s="39"/>
      <c r="I521" s="41"/>
      <c r="J521" s="41"/>
      <c r="K521" s="41"/>
      <c r="L521" s="40"/>
      <c r="M521" s="42"/>
      <c r="N521" s="41"/>
      <c r="O521" s="41"/>
      <c r="P521" s="41"/>
    </row>
    <row r="522" spans="1:16" ht="15.75" customHeight="1" x14ac:dyDescent="0.25">
      <c r="A522" s="37"/>
      <c r="B522" s="38"/>
      <c r="C522" s="39"/>
      <c r="D522" s="38"/>
      <c r="E522" s="39"/>
      <c r="F522" s="40"/>
      <c r="G522" s="38"/>
      <c r="H522" s="39"/>
      <c r="I522" s="41"/>
      <c r="J522" s="41"/>
      <c r="K522" s="41"/>
      <c r="L522" s="40"/>
      <c r="M522" s="42"/>
      <c r="N522" s="41"/>
      <c r="O522" s="41"/>
      <c r="P522" s="41"/>
    </row>
    <row r="523" spans="1:16" ht="15.75" customHeight="1" x14ac:dyDescent="0.25">
      <c r="A523" s="37"/>
      <c r="B523" s="38"/>
      <c r="C523" s="39"/>
      <c r="D523" s="38"/>
      <c r="E523" s="39"/>
      <c r="F523" s="40"/>
      <c r="G523" s="38"/>
      <c r="H523" s="39"/>
      <c r="I523" s="41"/>
      <c r="J523" s="41"/>
      <c r="K523" s="41"/>
      <c r="L523" s="40"/>
      <c r="M523" s="42"/>
      <c r="N523" s="41"/>
      <c r="O523" s="41"/>
      <c r="P523" s="41"/>
    </row>
    <row r="524" spans="1:16" ht="15.75" customHeight="1" x14ac:dyDescent="0.25">
      <c r="A524" s="37"/>
      <c r="B524" s="38"/>
      <c r="C524" s="39"/>
      <c r="D524" s="38"/>
      <c r="E524" s="39"/>
      <c r="F524" s="40"/>
      <c r="G524" s="38"/>
      <c r="H524" s="39"/>
      <c r="I524" s="41"/>
      <c r="J524" s="41"/>
      <c r="K524" s="41"/>
      <c r="L524" s="40"/>
      <c r="M524" s="42"/>
      <c r="N524" s="41"/>
      <c r="O524" s="41"/>
      <c r="P524" s="41"/>
    </row>
    <row r="525" spans="1:16" ht="15.75" customHeight="1" x14ac:dyDescent="0.25">
      <c r="A525" s="37"/>
      <c r="B525" s="38"/>
      <c r="C525" s="39"/>
      <c r="D525" s="38"/>
      <c r="E525" s="39"/>
      <c r="F525" s="40"/>
      <c r="G525" s="38"/>
      <c r="H525" s="39"/>
      <c r="I525" s="41"/>
      <c r="J525" s="41"/>
      <c r="K525" s="41"/>
      <c r="L525" s="40"/>
      <c r="M525" s="42"/>
      <c r="N525" s="41"/>
      <c r="O525" s="41"/>
      <c r="P525" s="41"/>
    </row>
    <row r="526" spans="1:16" ht="15.75" customHeight="1" x14ac:dyDescent="0.25">
      <c r="A526" s="37"/>
      <c r="B526" s="38"/>
      <c r="C526" s="39"/>
      <c r="D526" s="38"/>
      <c r="E526" s="39"/>
      <c r="F526" s="40"/>
      <c r="G526" s="38"/>
      <c r="H526" s="39"/>
      <c r="I526" s="41"/>
      <c r="J526" s="41"/>
      <c r="K526" s="41"/>
      <c r="L526" s="40"/>
      <c r="M526" s="42"/>
      <c r="N526" s="41"/>
      <c r="O526" s="41"/>
      <c r="P526" s="41"/>
    </row>
    <row r="527" spans="1:16" ht="15.75" customHeight="1" x14ac:dyDescent="0.25">
      <c r="A527" s="37"/>
      <c r="B527" s="38"/>
      <c r="C527" s="39"/>
      <c r="D527" s="38"/>
      <c r="E527" s="39"/>
      <c r="F527" s="40"/>
      <c r="G527" s="38"/>
      <c r="H527" s="39"/>
      <c r="I527" s="41"/>
      <c r="J527" s="41"/>
      <c r="K527" s="41"/>
      <c r="L527" s="40"/>
      <c r="M527" s="42"/>
      <c r="N527" s="41"/>
      <c r="O527" s="41"/>
      <c r="P527" s="41"/>
    </row>
    <row r="528" spans="1:16" ht="15.75" customHeight="1" x14ac:dyDescent="0.25">
      <c r="A528" s="37"/>
      <c r="B528" s="38"/>
      <c r="C528" s="39"/>
      <c r="D528" s="38"/>
      <c r="E528" s="39"/>
      <c r="F528" s="40"/>
      <c r="G528" s="38"/>
      <c r="H528" s="39"/>
      <c r="I528" s="41"/>
      <c r="J528" s="41"/>
      <c r="K528" s="41"/>
      <c r="L528" s="40"/>
      <c r="M528" s="42"/>
      <c r="N528" s="41"/>
      <c r="O528" s="41"/>
      <c r="P528" s="41"/>
    </row>
    <row r="529" spans="1:16" ht="15.75" customHeight="1" x14ac:dyDescent="0.25">
      <c r="A529" s="37"/>
      <c r="B529" s="38"/>
      <c r="C529" s="39"/>
      <c r="D529" s="38"/>
      <c r="E529" s="39"/>
      <c r="F529" s="40"/>
      <c r="G529" s="38"/>
      <c r="H529" s="39"/>
      <c r="I529" s="41"/>
      <c r="J529" s="41"/>
      <c r="K529" s="41"/>
      <c r="L529" s="40"/>
      <c r="M529" s="42"/>
      <c r="N529" s="41"/>
      <c r="O529" s="41"/>
      <c r="P529" s="41"/>
    </row>
    <row r="530" spans="1:16" ht="15.75" customHeight="1" x14ac:dyDescent="0.25">
      <c r="A530" s="37"/>
      <c r="B530" s="38"/>
      <c r="C530" s="39"/>
      <c r="D530" s="38"/>
      <c r="E530" s="39"/>
      <c r="F530" s="40"/>
      <c r="G530" s="38"/>
      <c r="H530" s="39"/>
      <c r="I530" s="41"/>
      <c r="J530" s="41"/>
      <c r="K530" s="41"/>
      <c r="L530" s="40"/>
      <c r="M530" s="42"/>
      <c r="N530" s="41"/>
      <c r="O530" s="41"/>
      <c r="P530" s="41"/>
    </row>
    <row r="531" spans="1:16" ht="15.75" customHeight="1" x14ac:dyDescent="0.25">
      <c r="A531" s="37"/>
      <c r="B531" s="38"/>
      <c r="C531" s="39"/>
      <c r="D531" s="38"/>
      <c r="E531" s="39"/>
      <c r="F531" s="40"/>
      <c r="G531" s="38"/>
      <c r="H531" s="39"/>
      <c r="I531" s="41"/>
      <c r="J531" s="41"/>
      <c r="K531" s="41"/>
      <c r="L531" s="40"/>
      <c r="M531" s="42"/>
      <c r="N531" s="41"/>
      <c r="O531" s="41"/>
      <c r="P531" s="41"/>
    </row>
    <row r="532" spans="1:16" ht="15.75" customHeight="1" x14ac:dyDescent="0.25">
      <c r="A532" s="37"/>
      <c r="B532" s="38"/>
      <c r="C532" s="39"/>
      <c r="D532" s="38"/>
      <c r="E532" s="39"/>
      <c r="F532" s="40"/>
      <c r="G532" s="38"/>
      <c r="H532" s="39"/>
      <c r="I532" s="41"/>
      <c r="J532" s="41"/>
      <c r="K532" s="41"/>
      <c r="L532" s="40"/>
      <c r="M532" s="42"/>
      <c r="N532" s="41"/>
      <c r="O532" s="41"/>
      <c r="P532" s="41"/>
    </row>
    <row r="533" spans="1:16" ht="15.75" customHeight="1" x14ac:dyDescent="0.25">
      <c r="A533" s="37"/>
      <c r="B533" s="38"/>
      <c r="C533" s="39"/>
      <c r="D533" s="38"/>
      <c r="E533" s="39"/>
      <c r="F533" s="40"/>
      <c r="G533" s="38"/>
      <c r="H533" s="39"/>
      <c r="I533" s="41"/>
      <c r="J533" s="41"/>
      <c r="K533" s="41"/>
      <c r="L533" s="40"/>
      <c r="M533" s="42"/>
      <c r="N533" s="41"/>
      <c r="O533" s="41"/>
      <c r="P533" s="41"/>
    </row>
    <row r="534" spans="1:16" ht="15.75" customHeight="1" x14ac:dyDescent="0.25">
      <c r="A534" s="37"/>
      <c r="B534" s="38"/>
      <c r="C534" s="39"/>
      <c r="D534" s="38"/>
      <c r="E534" s="39"/>
      <c r="F534" s="40"/>
      <c r="G534" s="38"/>
      <c r="H534" s="39"/>
      <c r="I534" s="41"/>
      <c r="J534" s="41"/>
      <c r="K534" s="41"/>
      <c r="L534" s="40"/>
      <c r="M534" s="42"/>
      <c r="N534" s="41"/>
      <c r="O534" s="41"/>
      <c r="P534" s="41"/>
    </row>
    <row r="535" spans="1:16" ht="15.75" customHeight="1" x14ac:dyDescent="0.25">
      <c r="A535" s="37"/>
      <c r="B535" s="38"/>
      <c r="C535" s="39"/>
      <c r="D535" s="38"/>
      <c r="E535" s="39"/>
      <c r="F535" s="40"/>
      <c r="G535" s="38"/>
      <c r="H535" s="39"/>
      <c r="I535" s="41"/>
      <c r="J535" s="41"/>
      <c r="K535" s="41"/>
      <c r="L535" s="40"/>
      <c r="M535" s="42"/>
      <c r="N535" s="41"/>
      <c r="O535" s="41"/>
      <c r="P535" s="41"/>
    </row>
    <row r="536" spans="1:16" ht="15.75" customHeight="1" x14ac:dyDescent="0.25">
      <c r="A536" s="37"/>
      <c r="B536" s="38"/>
      <c r="C536" s="39"/>
      <c r="D536" s="38"/>
      <c r="E536" s="39"/>
      <c r="F536" s="40"/>
      <c r="G536" s="38"/>
      <c r="H536" s="39"/>
      <c r="I536" s="41"/>
      <c r="J536" s="41"/>
      <c r="K536" s="41"/>
      <c r="L536" s="40"/>
      <c r="M536" s="42"/>
      <c r="N536" s="41"/>
      <c r="O536" s="41"/>
      <c r="P536" s="41"/>
    </row>
    <row r="537" spans="1:16" ht="15.75" customHeight="1" x14ac:dyDescent="0.25">
      <c r="A537" s="37"/>
      <c r="B537" s="38"/>
      <c r="C537" s="39"/>
      <c r="D537" s="38"/>
      <c r="E537" s="39"/>
      <c r="F537" s="40"/>
      <c r="G537" s="38"/>
      <c r="H537" s="39"/>
      <c r="I537" s="41"/>
      <c r="J537" s="41"/>
      <c r="K537" s="41"/>
      <c r="L537" s="40"/>
      <c r="M537" s="42"/>
      <c r="N537" s="41"/>
      <c r="O537" s="41"/>
      <c r="P537" s="41"/>
    </row>
    <row r="538" spans="1:16" ht="15.75" customHeight="1" x14ac:dyDescent="0.25">
      <c r="A538" s="37"/>
      <c r="B538" s="38"/>
      <c r="C538" s="39"/>
      <c r="D538" s="38"/>
      <c r="E538" s="39"/>
      <c r="F538" s="40"/>
      <c r="G538" s="38"/>
      <c r="H538" s="39"/>
      <c r="I538" s="41"/>
      <c r="J538" s="41"/>
      <c r="K538" s="41"/>
      <c r="L538" s="40"/>
      <c r="M538" s="42"/>
      <c r="N538" s="41"/>
      <c r="O538" s="41"/>
      <c r="P538" s="41"/>
    </row>
    <row r="539" spans="1:16" ht="15.75" customHeight="1" x14ac:dyDescent="0.25">
      <c r="A539" s="37"/>
      <c r="B539" s="38"/>
      <c r="C539" s="39"/>
      <c r="D539" s="38"/>
      <c r="E539" s="39"/>
      <c r="F539" s="40"/>
      <c r="G539" s="38"/>
      <c r="H539" s="39"/>
      <c r="I539" s="41"/>
      <c r="J539" s="41"/>
      <c r="K539" s="41"/>
      <c r="L539" s="40"/>
      <c r="M539" s="42"/>
      <c r="N539" s="41"/>
      <c r="O539" s="41"/>
      <c r="P539" s="41"/>
    </row>
    <row r="540" spans="1:16" ht="15.75" customHeight="1" x14ac:dyDescent="0.25">
      <c r="A540" s="37"/>
      <c r="B540" s="38"/>
      <c r="C540" s="39"/>
      <c r="D540" s="38"/>
      <c r="E540" s="39"/>
      <c r="F540" s="40"/>
      <c r="G540" s="38"/>
      <c r="H540" s="39"/>
      <c r="I540" s="41"/>
      <c r="J540" s="41"/>
      <c r="K540" s="41"/>
      <c r="L540" s="40"/>
      <c r="M540" s="42"/>
      <c r="N540" s="41"/>
      <c r="O540" s="41"/>
      <c r="P540" s="41"/>
    </row>
    <row r="541" spans="1:16" ht="15.75" customHeight="1" x14ac:dyDescent="0.25">
      <c r="A541" s="37"/>
      <c r="B541" s="38"/>
      <c r="C541" s="39"/>
      <c r="D541" s="38"/>
      <c r="E541" s="39"/>
      <c r="F541" s="40"/>
      <c r="G541" s="38"/>
      <c r="H541" s="39"/>
      <c r="I541" s="41"/>
      <c r="J541" s="41"/>
      <c r="K541" s="41"/>
      <c r="L541" s="40"/>
      <c r="M541" s="42"/>
      <c r="N541" s="41"/>
      <c r="O541" s="41"/>
      <c r="P541" s="41"/>
    </row>
    <row r="542" spans="1:16" ht="15.75" customHeight="1" x14ac:dyDescent="0.25">
      <c r="A542" s="37"/>
      <c r="B542" s="38"/>
      <c r="C542" s="39"/>
      <c r="D542" s="38"/>
      <c r="E542" s="39"/>
      <c r="F542" s="40"/>
      <c r="G542" s="38"/>
      <c r="H542" s="39"/>
      <c r="I542" s="41"/>
      <c r="J542" s="41"/>
      <c r="K542" s="41"/>
      <c r="L542" s="40"/>
      <c r="M542" s="42"/>
      <c r="N542" s="41"/>
      <c r="O542" s="41"/>
      <c r="P542" s="41"/>
    </row>
    <row r="543" spans="1:16" ht="15.75" customHeight="1" x14ac:dyDescent="0.25">
      <c r="A543" s="37"/>
      <c r="B543" s="38"/>
      <c r="C543" s="39"/>
      <c r="D543" s="38"/>
      <c r="E543" s="39"/>
      <c r="F543" s="40"/>
      <c r="G543" s="38"/>
      <c r="H543" s="39"/>
      <c r="I543" s="41"/>
      <c r="J543" s="41"/>
      <c r="K543" s="41"/>
      <c r="L543" s="40"/>
      <c r="M543" s="42"/>
      <c r="N543" s="41"/>
      <c r="O543" s="41"/>
      <c r="P543" s="41"/>
    </row>
    <row r="544" spans="1:16" ht="15.75" customHeight="1" x14ac:dyDescent="0.25">
      <c r="A544" s="37"/>
      <c r="B544" s="38"/>
      <c r="C544" s="39"/>
      <c r="D544" s="38"/>
      <c r="E544" s="39"/>
      <c r="F544" s="40"/>
      <c r="G544" s="38"/>
      <c r="H544" s="39"/>
      <c r="I544" s="41"/>
      <c r="J544" s="41"/>
      <c r="K544" s="41"/>
      <c r="L544" s="40"/>
      <c r="M544" s="42"/>
      <c r="N544" s="41"/>
      <c r="O544" s="41"/>
      <c r="P544" s="41"/>
    </row>
    <row r="545" spans="1:16" ht="15.75" customHeight="1" x14ac:dyDescent="0.25">
      <c r="A545" s="37"/>
      <c r="B545" s="38"/>
      <c r="C545" s="39"/>
      <c r="D545" s="38"/>
      <c r="E545" s="39"/>
      <c r="F545" s="40"/>
      <c r="G545" s="38"/>
      <c r="H545" s="39"/>
      <c r="I545" s="41"/>
      <c r="J545" s="41"/>
      <c r="K545" s="41"/>
      <c r="L545" s="40"/>
      <c r="M545" s="42"/>
      <c r="N545" s="41"/>
      <c r="O545" s="41"/>
      <c r="P545" s="41"/>
    </row>
    <row r="546" spans="1:16" ht="15.75" customHeight="1" x14ac:dyDescent="0.25">
      <c r="A546" s="37"/>
      <c r="B546" s="38"/>
      <c r="C546" s="39"/>
      <c r="D546" s="38"/>
      <c r="E546" s="39"/>
      <c r="F546" s="40"/>
      <c r="G546" s="38"/>
      <c r="H546" s="39"/>
      <c r="I546" s="41"/>
      <c r="J546" s="41"/>
      <c r="K546" s="41"/>
      <c r="L546" s="40"/>
      <c r="M546" s="42"/>
      <c r="N546" s="41"/>
      <c r="O546" s="41"/>
      <c r="P546" s="41"/>
    </row>
    <row r="547" spans="1:16" ht="15.75" customHeight="1" x14ac:dyDescent="0.25">
      <c r="A547" s="37"/>
      <c r="B547" s="38"/>
      <c r="C547" s="39"/>
      <c r="D547" s="38"/>
      <c r="E547" s="39"/>
      <c r="F547" s="40"/>
      <c r="G547" s="38"/>
      <c r="H547" s="39"/>
      <c r="I547" s="41"/>
      <c r="J547" s="41"/>
      <c r="K547" s="41"/>
      <c r="L547" s="40"/>
      <c r="M547" s="42"/>
      <c r="N547" s="41"/>
      <c r="O547" s="41"/>
      <c r="P547" s="41"/>
    </row>
    <row r="548" spans="1:16" ht="15.75" customHeight="1" x14ac:dyDescent="0.25">
      <c r="A548" s="37"/>
      <c r="B548" s="38"/>
      <c r="C548" s="39"/>
      <c r="D548" s="38"/>
      <c r="E548" s="39"/>
      <c r="F548" s="40"/>
      <c r="G548" s="38"/>
      <c r="H548" s="39"/>
      <c r="I548" s="41"/>
      <c r="J548" s="41"/>
      <c r="K548" s="41"/>
      <c r="L548" s="40"/>
      <c r="M548" s="42"/>
      <c r="N548" s="41"/>
      <c r="O548" s="41"/>
      <c r="P548" s="41"/>
    </row>
    <row r="549" spans="1:16" ht="15.75" customHeight="1" x14ac:dyDescent="0.25">
      <c r="A549" s="37"/>
      <c r="B549" s="38"/>
      <c r="C549" s="39"/>
      <c r="D549" s="38"/>
      <c r="E549" s="39"/>
      <c r="F549" s="40"/>
      <c r="G549" s="38"/>
      <c r="H549" s="39"/>
      <c r="I549" s="41"/>
      <c r="J549" s="41"/>
      <c r="K549" s="41"/>
      <c r="L549" s="40"/>
      <c r="M549" s="42"/>
      <c r="N549" s="41"/>
      <c r="O549" s="41"/>
      <c r="P549" s="41"/>
    </row>
    <row r="550" spans="1:16" ht="15.75" customHeight="1" x14ac:dyDescent="0.25">
      <c r="A550" s="37"/>
      <c r="B550" s="38"/>
      <c r="C550" s="39"/>
      <c r="D550" s="38"/>
      <c r="E550" s="39"/>
      <c r="F550" s="40"/>
      <c r="G550" s="38"/>
      <c r="H550" s="39"/>
      <c r="I550" s="41"/>
      <c r="J550" s="41"/>
      <c r="K550" s="41"/>
      <c r="L550" s="40"/>
      <c r="M550" s="42"/>
      <c r="N550" s="41"/>
      <c r="O550" s="41"/>
      <c r="P550" s="41"/>
    </row>
    <row r="551" spans="1:16" ht="15.75" customHeight="1" x14ac:dyDescent="0.25">
      <c r="A551" s="37"/>
      <c r="B551" s="38"/>
      <c r="C551" s="39"/>
      <c r="D551" s="38"/>
      <c r="E551" s="39"/>
      <c r="F551" s="40"/>
      <c r="G551" s="38"/>
      <c r="H551" s="39"/>
      <c r="I551" s="41"/>
      <c r="J551" s="41"/>
      <c r="K551" s="41"/>
      <c r="L551" s="40"/>
      <c r="M551" s="42"/>
      <c r="N551" s="41"/>
      <c r="O551" s="41"/>
      <c r="P551" s="41"/>
    </row>
    <row r="552" spans="1:16" ht="15.75" customHeight="1" x14ac:dyDescent="0.25">
      <c r="A552" s="37"/>
      <c r="B552" s="38"/>
      <c r="C552" s="39"/>
      <c r="D552" s="38"/>
      <c r="E552" s="39"/>
      <c r="F552" s="40"/>
      <c r="G552" s="38"/>
      <c r="H552" s="39"/>
      <c r="I552" s="41"/>
      <c r="J552" s="41"/>
      <c r="K552" s="41"/>
      <c r="L552" s="40"/>
      <c r="M552" s="42"/>
      <c r="N552" s="41"/>
      <c r="O552" s="41"/>
      <c r="P552" s="41"/>
    </row>
    <row r="553" spans="1:16" ht="15.75" customHeight="1" x14ac:dyDescent="0.25">
      <c r="A553" s="37"/>
      <c r="B553" s="38"/>
      <c r="C553" s="39"/>
      <c r="D553" s="38"/>
      <c r="E553" s="39"/>
      <c r="F553" s="40"/>
      <c r="G553" s="38"/>
      <c r="H553" s="39"/>
      <c r="I553" s="41"/>
      <c r="J553" s="41"/>
      <c r="K553" s="41"/>
      <c r="L553" s="40"/>
      <c r="M553" s="42"/>
      <c r="N553" s="41"/>
      <c r="O553" s="41"/>
      <c r="P553" s="41"/>
    </row>
    <row r="554" spans="1:16" ht="15.75" customHeight="1" x14ac:dyDescent="0.25">
      <c r="A554" s="37"/>
      <c r="B554" s="38"/>
      <c r="C554" s="39"/>
      <c r="D554" s="38"/>
      <c r="E554" s="39"/>
      <c r="F554" s="40"/>
      <c r="G554" s="38"/>
      <c r="H554" s="39"/>
      <c r="I554" s="41"/>
      <c r="J554" s="41"/>
      <c r="K554" s="41"/>
      <c r="L554" s="40"/>
      <c r="M554" s="42"/>
      <c r="N554" s="41"/>
      <c r="O554" s="41"/>
      <c r="P554" s="41"/>
    </row>
    <row r="555" spans="1:16" ht="15.75" customHeight="1" x14ac:dyDescent="0.25">
      <c r="A555" s="37"/>
      <c r="B555" s="38"/>
      <c r="C555" s="39"/>
      <c r="D555" s="38"/>
      <c r="E555" s="39"/>
      <c r="F555" s="40"/>
      <c r="G555" s="38"/>
      <c r="H555" s="39"/>
      <c r="I555" s="41"/>
      <c r="J555" s="41"/>
      <c r="K555" s="41"/>
      <c r="L555" s="40"/>
      <c r="M555" s="42"/>
      <c r="N555" s="41"/>
      <c r="O555" s="41"/>
      <c r="P555" s="41"/>
    </row>
    <row r="556" spans="1:16" ht="15.75" customHeight="1" x14ac:dyDescent="0.25">
      <c r="A556" s="37"/>
      <c r="B556" s="38"/>
      <c r="C556" s="39"/>
      <c r="D556" s="38"/>
      <c r="E556" s="39"/>
      <c r="F556" s="40"/>
      <c r="G556" s="38"/>
      <c r="H556" s="39"/>
      <c r="I556" s="41"/>
      <c r="J556" s="41"/>
      <c r="K556" s="41"/>
      <c r="L556" s="40"/>
      <c r="M556" s="42"/>
      <c r="N556" s="41"/>
      <c r="O556" s="41"/>
      <c r="P556" s="41"/>
    </row>
    <row r="557" spans="1:16" ht="15.75" customHeight="1" x14ac:dyDescent="0.25">
      <c r="A557" s="37"/>
      <c r="B557" s="38"/>
      <c r="C557" s="39"/>
      <c r="D557" s="38"/>
      <c r="E557" s="39"/>
      <c r="F557" s="40"/>
      <c r="G557" s="38"/>
      <c r="H557" s="39"/>
      <c r="I557" s="41"/>
      <c r="J557" s="41"/>
      <c r="K557" s="41"/>
      <c r="L557" s="40"/>
      <c r="M557" s="42"/>
      <c r="N557" s="41"/>
      <c r="O557" s="41"/>
      <c r="P557" s="41"/>
    </row>
    <row r="558" spans="1:16" ht="15.75" customHeight="1" x14ac:dyDescent="0.25">
      <c r="A558" s="37"/>
      <c r="B558" s="38"/>
      <c r="C558" s="39"/>
      <c r="D558" s="38"/>
      <c r="E558" s="39"/>
      <c r="F558" s="40"/>
      <c r="G558" s="38"/>
      <c r="H558" s="39"/>
      <c r="I558" s="41"/>
      <c r="J558" s="41"/>
      <c r="K558" s="41"/>
      <c r="L558" s="40"/>
      <c r="M558" s="42"/>
      <c r="N558" s="41"/>
      <c r="O558" s="41"/>
      <c r="P558" s="41"/>
    </row>
    <row r="559" spans="1:16" ht="15.75" customHeight="1" x14ac:dyDescent="0.25">
      <c r="A559" s="37"/>
      <c r="B559" s="38"/>
      <c r="C559" s="39"/>
      <c r="D559" s="38"/>
      <c r="E559" s="39"/>
      <c r="F559" s="40"/>
      <c r="G559" s="38"/>
      <c r="H559" s="39"/>
      <c r="I559" s="41"/>
      <c r="J559" s="41"/>
      <c r="K559" s="41"/>
      <c r="L559" s="40"/>
      <c r="M559" s="42"/>
      <c r="N559" s="41"/>
      <c r="O559" s="41"/>
      <c r="P559" s="41"/>
    </row>
    <row r="560" spans="1:16" ht="15.75" customHeight="1" x14ac:dyDescent="0.25">
      <c r="A560" s="37"/>
      <c r="B560" s="38"/>
      <c r="C560" s="39"/>
      <c r="D560" s="38"/>
      <c r="E560" s="39"/>
      <c r="F560" s="40"/>
      <c r="G560" s="38"/>
      <c r="H560" s="39"/>
      <c r="I560" s="41"/>
      <c r="J560" s="41"/>
      <c r="K560" s="41"/>
      <c r="L560" s="40"/>
      <c r="M560" s="42"/>
      <c r="N560" s="41"/>
      <c r="O560" s="41"/>
      <c r="P560" s="41"/>
    </row>
    <row r="561" spans="1:16" ht="15.75" customHeight="1" x14ac:dyDescent="0.25">
      <c r="A561" s="37"/>
      <c r="B561" s="38"/>
      <c r="C561" s="39"/>
      <c r="D561" s="38"/>
      <c r="E561" s="39"/>
      <c r="F561" s="40"/>
      <c r="G561" s="38"/>
      <c r="H561" s="39"/>
      <c r="I561" s="41"/>
      <c r="J561" s="41"/>
      <c r="K561" s="41"/>
      <c r="L561" s="40"/>
      <c r="M561" s="42"/>
      <c r="N561" s="41"/>
      <c r="O561" s="41"/>
      <c r="P561" s="41"/>
    </row>
    <row r="562" spans="1:16" ht="15.75" customHeight="1" x14ac:dyDescent="0.25">
      <c r="A562" s="37"/>
      <c r="B562" s="38"/>
      <c r="C562" s="39"/>
      <c r="D562" s="38"/>
      <c r="E562" s="39"/>
      <c r="F562" s="40"/>
      <c r="G562" s="38"/>
      <c r="H562" s="39"/>
      <c r="I562" s="41"/>
      <c r="J562" s="41"/>
      <c r="K562" s="41"/>
      <c r="L562" s="40"/>
      <c r="M562" s="42"/>
      <c r="N562" s="41"/>
      <c r="O562" s="41"/>
      <c r="P562" s="41"/>
    </row>
    <row r="563" spans="1:16" ht="15.75" customHeight="1" x14ac:dyDescent="0.25">
      <c r="A563" s="37"/>
      <c r="B563" s="38"/>
      <c r="C563" s="39"/>
      <c r="D563" s="38"/>
      <c r="E563" s="39"/>
      <c r="F563" s="40"/>
      <c r="G563" s="38"/>
      <c r="H563" s="39"/>
      <c r="I563" s="41"/>
      <c r="J563" s="41"/>
      <c r="K563" s="41"/>
      <c r="L563" s="40"/>
      <c r="M563" s="42"/>
      <c r="N563" s="41"/>
      <c r="O563" s="41"/>
      <c r="P563" s="41"/>
    </row>
    <row r="564" spans="1:16" ht="15.75" customHeight="1" x14ac:dyDescent="0.25">
      <c r="A564" s="37"/>
      <c r="B564" s="38"/>
      <c r="C564" s="39"/>
      <c r="D564" s="38"/>
      <c r="E564" s="39"/>
      <c r="F564" s="40"/>
      <c r="G564" s="38"/>
      <c r="H564" s="39"/>
      <c r="I564" s="41"/>
      <c r="J564" s="41"/>
      <c r="K564" s="41"/>
      <c r="L564" s="40"/>
      <c r="M564" s="42"/>
      <c r="N564" s="41"/>
      <c r="O564" s="41"/>
      <c r="P564" s="41"/>
    </row>
    <row r="565" spans="1:16" ht="15.75" customHeight="1" x14ac:dyDescent="0.25">
      <c r="A565" s="37"/>
      <c r="B565" s="38"/>
      <c r="C565" s="39"/>
      <c r="D565" s="38"/>
      <c r="E565" s="39"/>
      <c r="F565" s="40"/>
      <c r="G565" s="38"/>
      <c r="H565" s="39"/>
      <c r="I565" s="41"/>
      <c r="J565" s="41"/>
      <c r="K565" s="41"/>
      <c r="L565" s="40"/>
      <c r="M565" s="42"/>
      <c r="N565" s="41"/>
      <c r="O565" s="41"/>
      <c r="P565" s="41"/>
    </row>
    <row r="566" spans="1:16" ht="15.75" customHeight="1" x14ac:dyDescent="0.25">
      <c r="A566" s="37"/>
      <c r="B566" s="38"/>
      <c r="C566" s="39"/>
      <c r="D566" s="38"/>
      <c r="E566" s="39"/>
      <c r="F566" s="40"/>
      <c r="G566" s="38"/>
      <c r="H566" s="39"/>
      <c r="I566" s="41"/>
      <c r="J566" s="41"/>
      <c r="K566" s="41"/>
      <c r="L566" s="40"/>
      <c r="M566" s="42"/>
      <c r="N566" s="41"/>
      <c r="O566" s="41"/>
      <c r="P566" s="41"/>
    </row>
    <row r="567" spans="1:16" ht="15.75" customHeight="1" x14ac:dyDescent="0.25">
      <c r="A567" s="37"/>
      <c r="B567" s="38"/>
      <c r="C567" s="39"/>
      <c r="D567" s="38"/>
      <c r="E567" s="39"/>
      <c r="F567" s="40"/>
      <c r="G567" s="38"/>
      <c r="H567" s="39"/>
      <c r="I567" s="41"/>
      <c r="J567" s="41"/>
      <c r="K567" s="41"/>
      <c r="L567" s="40"/>
      <c r="M567" s="42"/>
      <c r="N567" s="41"/>
      <c r="O567" s="41"/>
      <c r="P567" s="41"/>
    </row>
    <row r="568" spans="1:16" ht="15.75" customHeight="1" x14ac:dyDescent="0.25">
      <c r="A568" s="37"/>
      <c r="B568" s="38"/>
      <c r="C568" s="39"/>
      <c r="D568" s="38"/>
      <c r="E568" s="39"/>
      <c r="F568" s="40"/>
      <c r="G568" s="38"/>
      <c r="H568" s="39"/>
      <c r="I568" s="41"/>
      <c r="J568" s="41"/>
      <c r="K568" s="41"/>
      <c r="L568" s="40"/>
      <c r="M568" s="42"/>
      <c r="N568" s="41"/>
      <c r="O568" s="41"/>
      <c r="P568" s="41"/>
    </row>
    <row r="569" spans="1:16" ht="15.75" customHeight="1" x14ac:dyDescent="0.25">
      <c r="A569" s="37"/>
      <c r="B569" s="38"/>
      <c r="C569" s="39"/>
      <c r="D569" s="38"/>
      <c r="E569" s="39"/>
      <c r="F569" s="40"/>
      <c r="G569" s="38"/>
      <c r="H569" s="39"/>
      <c r="I569" s="41"/>
      <c r="J569" s="41"/>
      <c r="K569" s="41"/>
      <c r="L569" s="40"/>
      <c r="M569" s="42"/>
      <c r="N569" s="41"/>
      <c r="O569" s="41"/>
      <c r="P569" s="41"/>
    </row>
    <row r="570" spans="1:16" ht="15.75" customHeight="1" x14ac:dyDescent="0.25">
      <c r="A570" s="37"/>
      <c r="B570" s="38"/>
      <c r="C570" s="39"/>
      <c r="D570" s="38"/>
      <c r="E570" s="39"/>
      <c r="F570" s="40"/>
      <c r="G570" s="38"/>
      <c r="H570" s="39"/>
      <c r="I570" s="41"/>
      <c r="J570" s="41"/>
      <c r="K570" s="41"/>
      <c r="L570" s="40"/>
      <c r="M570" s="42"/>
      <c r="N570" s="41"/>
      <c r="O570" s="41"/>
      <c r="P570" s="41"/>
    </row>
    <row r="571" spans="1:16" ht="15.75" customHeight="1" x14ac:dyDescent="0.25">
      <c r="A571" s="37"/>
      <c r="B571" s="38"/>
      <c r="C571" s="39"/>
      <c r="D571" s="38"/>
      <c r="E571" s="39"/>
      <c r="F571" s="40"/>
      <c r="G571" s="38"/>
      <c r="H571" s="39"/>
      <c r="I571" s="41"/>
      <c r="J571" s="41"/>
      <c r="K571" s="41"/>
      <c r="L571" s="40"/>
      <c r="M571" s="42"/>
      <c r="N571" s="41"/>
      <c r="O571" s="41"/>
      <c r="P571" s="41"/>
    </row>
    <row r="572" spans="1:16" ht="15.75" customHeight="1" x14ac:dyDescent="0.25">
      <c r="A572" s="37"/>
      <c r="B572" s="38"/>
      <c r="C572" s="39"/>
      <c r="D572" s="38"/>
      <c r="E572" s="39"/>
      <c r="F572" s="40"/>
      <c r="G572" s="38"/>
      <c r="H572" s="39"/>
      <c r="I572" s="41"/>
      <c r="J572" s="41"/>
      <c r="K572" s="41"/>
      <c r="L572" s="40"/>
      <c r="M572" s="42"/>
      <c r="N572" s="41"/>
      <c r="O572" s="41"/>
      <c r="P572" s="41"/>
    </row>
    <row r="573" spans="1:16" ht="15.75" customHeight="1" x14ac:dyDescent="0.25">
      <c r="A573" s="37"/>
      <c r="B573" s="38"/>
      <c r="C573" s="39"/>
      <c r="D573" s="38"/>
      <c r="E573" s="39"/>
      <c r="F573" s="40"/>
      <c r="G573" s="38"/>
      <c r="H573" s="39"/>
      <c r="I573" s="41"/>
      <c r="J573" s="41"/>
      <c r="K573" s="41"/>
      <c r="L573" s="40"/>
      <c r="M573" s="42"/>
      <c r="N573" s="41"/>
      <c r="O573" s="41"/>
      <c r="P573" s="41"/>
    </row>
    <row r="574" spans="1:16" ht="15.75" customHeight="1" x14ac:dyDescent="0.25">
      <c r="A574" s="37"/>
      <c r="B574" s="38"/>
      <c r="C574" s="39"/>
      <c r="D574" s="38"/>
      <c r="E574" s="39"/>
      <c r="F574" s="40"/>
      <c r="G574" s="38"/>
      <c r="H574" s="39"/>
      <c r="I574" s="41"/>
      <c r="J574" s="41"/>
      <c r="K574" s="41"/>
      <c r="L574" s="40"/>
      <c r="M574" s="42"/>
      <c r="N574" s="41"/>
      <c r="O574" s="41"/>
      <c r="P574" s="41"/>
    </row>
    <row r="575" spans="1:16" ht="15.75" customHeight="1" x14ac:dyDescent="0.25">
      <c r="A575" s="37"/>
      <c r="B575" s="38"/>
      <c r="C575" s="39"/>
      <c r="D575" s="38"/>
      <c r="E575" s="39"/>
      <c r="F575" s="40"/>
      <c r="G575" s="38"/>
      <c r="H575" s="39"/>
      <c r="I575" s="41"/>
      <c r="J575" s="41"/>
      <c r="K575" s="41"/>
      <c r="L575" s="40"/>
      <c r="M575" s="42"/>
      <c r="N575" s="41"/>
      <c r="O575" s="41"/>
      <c r="P575" s="41"/>
    </row>
    <row r="576" spans="1:16" ht="15.75" customHeight="1" x14ac:dyDescent="0.25">
      <c r="A576" s="37"/>
      <c r="B576" s="38"/>
      <c r="C576" s="39"/>
      <c r="D576" s="38"/>
      <c r="E576" s="39"/>
      <c r="F576" s="40"/>
      <c r="G576" s="38"/>
      <c r="H576" s="39"/>
      <c r="I576" s="41"/>
      <c r="J576" s="41"/>
      <c r="K576" s="41"/>
      <c r="L576" s="40"/>
      <c r="M576" s="42"/>
      <c r="N576" s="41"/>
      <c r="O576" s="41"/>
      <c r="P576" s="41"/>
    </row>
    <row r="577" spans="1:16" ht="15.75" customHeight="1" x14ac:dyDescent="0.25">
      <c r="A577" s="37"/>
      <c r="B577" s="38"/>
      <c r="C577" s="39"/>
      <c r="D577" s="38"/>
      <c r="E577" s="39"/>
      <c r="F577" s="40"/>
      <c r="G577" s="38"/>
      <c r="H577" s="39"/>
      <c r="I577" s="41"/>
      <c r="J577" s="41"/>
      <c r="K577" s="41"/>
      <c r="L577" s="40"/>
      <c r="M577" s="42"/>
      <c r="N577" s="41"/>
      <c r="O577" s="41"/>
      <c r="P577" s="41"/>
    </row>
    <row r="578" spans="1:16" ht="15.75" customHeight="1" x14ac:dyDescent="0.25">
      <c r="A578" s="37"/>
      <c r="B578" s="38"/>
      <c r="C578" s="39"/>
      <c r="D578" s="38"/>
      <c r="E578" s="39"/>
      <c r="F578" s="40"/>
      <c r="G578" s="38"/>
      <c r="H578" s="39"/>
      <c r="I578" s="41"/>
      <c r="J578" s="41"/>
      <c r="K578" s="41"/>
      <c r="L578" s="40"/>
      <c r="M578" s="42"/>
      <c r="N578" s="41"/>
      <c r="O578" s="41"/>
      <c r="P578" s="41"/>
    </row>
    <row r="579" spans="1:16" ht="15.75" customHeight="1" x14ac:dyDescent="0.25">
      <c r="A579" s="37"/>
      <c r="B579" s="38"/>
      <c r="C579" s="39"/>
      <c r="D579" s="38"/>
      <c r="E579" s="39"/>
      <c r="F579" s="40"/>
      <c r="G579" s="38"/>
      <c r="H579" s="39"/>
      <c r="I579" s="41"/>
      <c r="J579" s="41"/>
      <c r="K579" s="41"/>
      <c r="L579" s="40"/>
      <c r="M579" s="42"/>
      <c r="N579" s="41"/>
      <c r="O579" s="41"/>
      <c r="P579" s="41"/>
    </row>
    <row r="580" spans="1:16" ht="15.75" customHeight="1" x14ac:dyDescent="0.25">
      <c r="A580" s="37"/>
      <c r="B580" s="38"/>
      <c r="C580" s="39"/>
      <c r="D580" s="38"/>
      <c r="E580" s="39"/>
      <c r="F580" s="40"/>
      <c r="G580" s="38"/>
      <c r="H580" s="39"/>
      <c r="I580" s="41"/>
      <c r="J580" s="41"/>
      <c r="K580" s="41"/>
      <c r="L580" s="40"/>
      <c r="M580" s="42"/>
      <c r="N580" s="41"/>
      <c r="O580" s="41"/>
      <c r="P580" s="41"/>
    </row>
    <row r="581" spans="1:16" ht="15.75" customHeight="1" x14ac:dyDescent="0.25">
      <c r="A581" s="37"/>
      <c r="B581" s="38"/>
      <c r="C581" s="39"/>
      <c r="D581" s="38"/>
      <c r="E581" s="39"/>
      <c r="F581" s="40"/>
      <c r="G581" s="38"/>
      <c r="H581" s="39"/>
      <c r="I581" s="41"/>
      <c r="J581" s="41"/>
      <c r="K581" s="41"/>
      <c r="L581" s="40"/>
      <c r="M581" s="42"/>
      <c r="N581" s="41"/>
      <c r="O581" s="41"/>
      <c r="P581" s="41"/>
    </row>
    <row r="582" spans="1:16" ht="15.75" customHeight="1" x14ac:dyDescent="0.25">
      <c r="A582" s="37"/>
      <c r="B582" s="38"/>
      <c r="C582" s="39"/>
      <c r="D582" s="38"/>
      <c r="E582" s="39"/>
      <c r="F582" s="40"/>
      <c r="G582" s="38"/>
      <c r="H582" s="39"/>
      <c r="I582" s="41"/>
      <c r="J582" s="41"/>
      <c r="K582" s="41"/>
      <c r="L582" s="40"/>
      <c r="M582" s="42"/>
      <c r="N582" s="41"/>
      <c r="O582" s="41"/>
      <c r="P582" s="41"/>
    </row>
    <row r="583" spans="1:16" ht="15.75" customHeight="1" x14ac:dyDescent="0.25">
      <c r="A583" s="37"/>
      <c r="B583" s="38"/>
      <c r="C583" s="39"/>
      <c r="D583" s="38"/>
      <c r="E583" s="39"/>
      <c r="F583" s="40"/>
      <c r="G583" s="38"/>
      <c r="H583" s="39"/>
      <c r="I583" s="41"/>
      <c r="J583" s="41"/>
      <c r="K583" s="41"/>
      <c r="L583" s="40"/>
      <c r="M583" s="42"/>
      <c r="N583" s="41"/>
      <c r="O583" s="41"/>
      <c r="P583" s="41"/>
    </row>
    <row r="584" spans="1:16" ht="15.75" customHeight="1" x14ac:dyDescent="0.25">
      <c r="A584" s="37"/>
      <c r="B584" s="38"/>
      <c r="C584" s="39"/>
      <c r="D584" s="38"/>
      <c r="E584" s="39"/>
      <c r="F584" s="40"/>
      <c r="G584" s="38"/>
      <c r="H584" s="39"/>
      <c r="I584" s="41"/>
      <c r="J584" s="41"/>
      <c r="K584" s="41"/>
      <c r="L584" s="40"/>
      <c r="M584" s="42"/>
      <c r="N584" s="41"/>
      <c r="O584" s="41"/>
      <c r="P584" s="41"/>
    </row>
    <row r="585" spans="1:16" ht="15.75" customHeight="1" x14ac:dyDescent="0.25">
      <c r="A585" s="37"/>
      <c r="B585" s="38"/>
      <c r="C585" s="39"/>
      <c r="D585" s="38"/>
      <c r="E585" s="39"/>
      <c r="F585" s="40"/>
      <c r="G585" s="38"/>
      <c r="H585" s="39"/>
      <c r="I585" s="41"/>
      <c r="J585" s="41"/>
      <c r="K585" s="41"/>
      <c r="L585" s="40"/>
      <c r="M585" s="42"/>
      <c r="N585" s="41"/>
      <c r="O585" s="41"/>
      <c r="P585" s="41"/>
    </row>
    <row r="586" spans="1:16" ht="15.75" customHeight="1" x14ac:dyDescent="0.25">
      <c r="A586" s="37"/>
      <c r="B586" s="38"/>
      <c r="C586" s="39"/>
      <c r="D586" s="38"/>
      <c r="E586" s="39"/>
      <c r="F586" s="40"/>
      <c r="G586" s="38"/>
      <c r="H586" s="39"/>
      <c r="I586" s="41"/>
      <c r="J586" s="41"/>
      <c r="K586" s="41"/>
      <c r="L586" s="40"/>
      <c r="M586" s="42"/>
      <c r="N586" s="41"/>
      <c r="O586" s="41"/>
      <c r="P586" s="41"/>
    </row>
    <row r="587" spans="1:16" ht="15.75" customHeight="1" x14ac:dyDescent="0.25">
      <c r="A587" s="37"/>
      <c r="B587" s="38"/>
      <c r="C587" s="39"/>
      <c r="D587" s="38"/>
      <c r="E587" s="39"/>
      <c r="F587" s="40"/>
      <c r="G587" s="38"/>
      <c r="H587" s="39"/>
      <c r="I587" s="41"/>
      <c r="J587" s="41"/>
      <c r="K587" s="41"/>
      <c r="L587" s="40"/>
      <c r="M587" s="42"/>
      <c r="N587" s="41"/>
      <c r="O587" s="41"/>
      <c r="P587" s="41"/>
    </row>
    <row r="588" spans="1:16" ht="15.75" customHeight="1" x14ac:dyDescent="0.25">
      <c r="A588" s="37"/>
      <c r="B588" s="38"/>
      <c r="C588" s="39"/>
      <c r="D588" s="38"/>
      <c r="E588" s="39"/>
      <c r="F588" s="40"/>
      <c r="G588" s="38"/>
      <c r="H588" s="39"/>
      <c r="I588" s="41"/>
      <c r="J588" s="41"/>
      <c r="K588" s="41"/>
      <c r="L588" s="40"/>
      <c r="M588" s="42"/>
      <c r="N588" s="41"/>
      <c r="O588" s="41"/>
      <c r="P588" s="41"/>
    </row>
    <row r="589" spans="1:16" ht="15.75" customHeight="1" x14ac:dyDescent="0.25">
      <c r="A589" s="37"/>
      <c r="B589" s="38"/>
      <c r="C589" s="39"/>
      <c r="D589" s="38"/>
      <c r="E589" s="39"/>
      <c r="F589" s="40"/>
      <c r="G589" s="38"/>
      <c r="H589" s="39"/>
      <c r="I589" s="41"/>
      <c r="J589" s="41"/>
      <c r="K589" s="41"/>
      <c r="L589" s="40"/>
      <c r="M589" s="42"/>
      <c r="N589" s="41"/>
      <c r="O589" s="41"/>
      <c r="P589" s="41"/>
    </row>
    <row r="590" spans="1:16" ht="15.75" customHeight="1" x14ac:dyDescent="0.25">
      <c r="A590" s="37"/>
      <c r="B590" s="38"/>
      <c r="C590" s="39"/>
      <c r="D590" s="38"/>
      <c r="E590" s="39"/>
      <c r="F590" s="40"/>
      <c r="G590" s="38"/>
      <c r="H590" s="39"/>
      <c r="I590" s="41"/>
      <c r="J590" s="41"/>
      <c r="K590" s="41"/>
      <c r="L590" s="40"/>
      <c r="M590" s="42"/>
      <c r="N590" s="41"/>
      <c r="O590" s="41"/>
      <c r="P590" s="41"/>
    </row>
    <row r="591" spans="1:16" ht="15.75" customHeight="1" x14ac:dyDescent="0.25">
      <c r="A591" s="37"/>
      <c r="B591" s="38"/>
      <c r="C591" s="39"/>
      <c r="D591" s="38"/>
      <c r="E591" s="39"/>
      <c r="F591" s="40"/>
      <c r="G591" s="38"/>
      <c r="H591" s="39"/>
      <c r="I591" s="41"/>
      <c r="J591" s="41"/>
      <c r="K591" s="41"/>
      <c r="L591" s="40"/>
      <c r="M591" s="42"/>
      <c r="N591" s="41"/>
      <c r="O591" s="41"/>
      <c r="P591" s="41"/>
    </row>
    <row r="592" spans="1:16" ht="15.75" customHeight="1" x14ac:dyDescent="0.25">
      <c r="A592" s="37"/>
      <c r="B592" s="38"/>
      <c r="C592" s="39"/>
      <c r="D592" s="38"/>
      <c r="E592" s="39"/>
      <c r="F592" s="40"/>
      <c r="G592" s="38"/>
      <c r="H592" s="39"/>
      <c r="I592" s="41"/>
      <c r="J592" s="41"/>
      <c r="K592" s="41"/>
      <c r="L592" s="40"/>
      <c r="M592" s="42"/>
      <c r="N592" s="41"/>
      <c r="O592" s="41"/>
      <c r="P592" s="41"/>
    </row>
    <row r="593" spans="1:16" ht="15.75" customHeight="1" x14ac:dyDescent="0.25">
      <c r="A593" s="37"/>
      <c r="B593" s="38"/>
      <c r="C593" s="39"/>
      <c r="D593" s="38"/>
      <c r="E593" s="39"/>
      <c r="F593" s="40"/>
      <c r="G593" s="38"/>
      <c r="H593" s="39"/>
      <c r="I593" s="41"/>
      <c r="J593" s="41"/>
      <c r="K593" s="41"/>
      <c r="L593" s="40"/>
      <c r="M593" s="42"/>
      <c r="N593" s="41"/>
      <c r="O593" s="41"/>
      <c r="P593" s="41"/>
    </row>
    <row r="594" spans="1:16" ht="15.75" customHeight="1" x14ac:dyDescent="0.25">
      <c r="A594" s="37"/>
      <c r="B594" s="38"/>
      <c r="C594" s="39"/>
      <c r="D594" s="38"/>
      <c r="E594" s="39"/>
      <c r="F594" s="40"/>
      <c r="G594" s="38"/>
      <c r="H594" s="39"/>
      <c r="I594" s="41"/>
      <c r="J594" s="41"/>
      <c r="K594" s="41"/>
      <c r="L594" s="40"/>
      <c r="M594" s="42"/>
      <c r="N594" s="41"/>
      <c r="O594" s="41"/>
      <c r="P594" s="41"/>
    </row>
    <row r="595" spans="1:16" ht="15.75" customHeight="1" x14ac:dyDescent="0.25">
      <c r="A595" s="37"/>
      <c r="B595" s="38"/>
      <c r="C595" s="39"/>
      <c r="D595" s="38"/>
      <c r="E595" s="39"/>
      <c r="F595" s="40"/>
      <c r="G595" s="38"/>
      <c r="H595" s="39"/>
      <c r="I595" s="41"/>
      <c r="J595" s="41"/>
      <c r="K595" s="41"/>
      <c r="L595" s="40"/>
      <c r="M595" s="42"/>
      <c r="N595" s="41"/>
      <c r="O595" s="41"/>
      <c r="P595" s="41"/>
    </row>
    <row r="596" spans="1:16" ht="15.75" customHeight="1" x14ac:dyDescent="0.25">
      <c r="A596" s="37"/>
      <c r="B596" s="38"/>
      <c r="C596" s="39"/>
      <c r="D596" s="38"/>
      <c r="E596" s="39"/>
      <c r="F596" s="40"/>
      <c r="G596" s="38"/>
      <c r="H596" s="39"/>
      <c r="I596" s="41"/>
      <c r="J596" s="41"/>
      <c r="K596" s="41"/>
      <c r="L596" s="40"/>
      <c r="M596" s="42"/>
      <c r="N596" s="41"/>
      <c r="O596" s="41"/>
      <c r="P596" s="41"/>
    </row>
    <row r="597" spans="1:16" ht="15.75" customHeight="1" x14ac:dyDescent="0.25">
      <c r="A597" s="37"/>
      <c r="B597" s="38"/>
      <c r="C597" s="39"/>
      <c r="D597" s="38"/>
      <c r="E597" s="39"/>
      <c r="F597" s="40"/>
      <c r="G597" s="38"/>
      <c r="H597" s="39"/>
      <c r="I597" s="41"/>
      <c r="J597" s="41"/>
      <c r="K597" s="41"/>
      <c r="L597" s="40"/>
      <c r="M597" s="42"/>
      <c r="N597" s="41"/>
      <c r="O597" s="41"/>
      <c r="P597" s="41"/>
    </row>
    <row r="598" spans="1:16" ht="15.75" customHeight="1" x14ac:dyDescent="0.25">
      <c r="A598" s="37"/>
      <c r="B598" s="38"/>
      <c r="C598" s="39"/>
      <c r="D598" s="38"/>
      <c r="E598" s="39"/>
      <c r="F598" s="40"/>
      <c r="G598" s="38"/>
      <c r="H598" s="39"/>
      <c r="I598" s="41"/>
      <c r="J598" s="41"/>
      <c r="K598" s="41"/>
      <c r="L598" s="40"/>
      <c r="M598" s="42"/>
      <c r="N598" s="41"/>
      <c r="O598" s="41"/>
      <c r="P598" s="41"/>
    </row>
    <row r="599" spans="1:16" ht="15.75" customHeight="1" x14ac:dyDescent="0.25">
      <c r="A599" s="37"/>
      <c r="B599" s="38"/>
      <c r="C599" s="39"/>
      <c r="D599" s="38"/>
      <c r="E599" s="39"/>
      <c r="F599" s="40"/>
      <c r="G599" s="38"/>
      <c r="H599" s="39"/>
      <c r="I599" s="41"/>
      <c r="J599" s="41"/>
      <c r="K599" s="41"/>
      <c r="L599" s="40"/>
      <c r="M599" s="42"/>
      <c r="N599" s="41"/>
      <c r="O599" s="41"/>
      <c r="P599" s="41"/>
    </row>
    <row r="600" spans="1:16" ht="15.75" customHeight="1" x14ac:dyDescent="0.25">
      <c r="A600" s="37"/>
      <c r="B600" s="38"/>
      <c r="C600" s="39"/>
      <c r="D600" s="38"/>
      <c r="E600" s="39"/>
      <c r="F600" s="40"/>
      <c r="G600" s="38"/>
      <c r="H600" s="39"/>
      <c r="I600" s="41"/>
      <c r="J600" s="41"/>
      <c r="K600" s="41"/>
      <c r="L600" s="40"/>
      <c r="M600" s="42"/>
      <c r="N600" s="41"/>
      <c r="O600" s="41"/>
      <c r="P600" s="41"/>
    </row>
    <row r="601" spans="1:16" ht="15.75" customHeight="1" x14ac:dyDescent="0.25">
      <c r="A601" s="37"/>
      <c r="B601" s="38"/>
      <c r="C601" s="39"/>
      <c r="D601" s="38"/>
      <c r="E601" s="39"/>
      <c r="F601" s="40"/>
      <c r="G601" s="38"/>
      <c r="H601" s="39"/>
      <c r="I601" s="41"/>
      <c r="J601" s="41"/>
      <c r="K601" s="41"/>
      <c r="L601" s="40"/>
      <c r="M601" s="42"/>
      <c r="N601" s="41"/>
      <c r="O601" s="41"/>
      <c r="P601" s="41"/>
    </row>
    <row r="602" spans="1:16" ht="15.75" customHeight="1" x14ac:dyDescent="0.25">
      <c r="A602" s="37"/>
      <c r="B602" s="38"/>
      <c r="C602" s="39"/>
      <c r="D602" s="38"/>
      <c r="E602" s="39"/>
      <c r="F602" s="40"/>
      <c r="G602" s="38"/>
      <c r="H602" s="39"/>
      <c r="I602" s="41"/>
      <c r="J602" s="41"/>
      <c r="K602" s="41"/>
      <c r="L602" s="40"/>
      <c r="M602" s="42"/>
      <c r="N602" s="41"/>
      <c r="O602" s="41"/>
      <c r="P602" s="41"/>
    </row>
    <row r="603" spans="1:16" ht="15.75" customHeight="1" x14ac:dyDescent="0.25">
      <c r="A603" s="37"/>
      <c r="B603" s="38"/>
      <c r="C603" s="39"/>
      <c r="D603" s="38"/>
      <c r="E603" s="39"/>
      <c r="F603" s="40"/>
      <c r="G603" s="38"/>
      <c r="H603" s="39"/>
      <c r="I603" s="41"/>
      <c r="J603" s="41"/>
      <c r="K603" s="41"/>
      <c r="L603" s="40"/>
      <c r="M603" s="42"/>
      <c r="N603" s="41"/>
      <c r="O603" s="41"/>
      <c r="P603" s="41"/>
    </row>
    <row r="604" spans="1:16" ht="15.75" customHeight="1" x14ac:dyDescent="0.25">
      <c r="A604" s="37"/>
      <c r="B604" s="38"/>
      <c r="C604" s="39"/>
      <c r="D604" s="38"/>
      <c r="E604" s="39"/>
      <c r="F604" s="40"/>
      <c r="G604" s="38"/>
      <c r="H604" s="39"/>
      <c r="I604" s="41"/>
      <c r="J604" s="41"/>
      <c r="K604" s="41"/>
      <c r="L604" s="40"/>
      <c r="M604" s="42"/>
      <c r="N604" s="41"/>
      <c r="O604" s="41"/>
      <c r="P604" s="41"/>
    </row>
    <row r="605" spans="1:16" ht="15.75" customHeight="1" x14ac:dyDescent="0.25">
      <c r="A605" s="37"/>
      <c r="B605" s="38"/>
      <c r="C605" s="39"/>
      <c r="D605" s="38"/>
      <c r="E605" s="39"/>
      <c r="F605" s="40"/>
      <c r="G605" s="38"/>
      <c r="H605" s="39"/>
      <c r="I605" s="41"/>
      <c r="J605" s="41"/>
      <c r="K605" s="41"/>
      <c r="L605" s="40"/>
      <c r="M605" s="42"/>
      <c r="N605" s="41"/>
      <c r="O605" s="41"/>
      <c r="P605" s="41"/>
    </row>
    <row r="606" spans="1:16" ht="15.75" customHeight="1" x14ac:dyDescent="0.25">
      <c r="A606" s="37"/>
      <c r="B606" s="38"/>
      <c r="C606" s="39"/>
      <c r="D606" s="38"/>
      <c r="E606" s="39"/>
      <c r="F606" s="40"/>
      <c r="G606" s="38"/>
      <c r="H606" s="39"/>
      <c r="I606" s="41"/>
      <c r="J606" s="41"/>
      <c r="K606" s="41"/>
      <c r="L606" s="40"/>
      <c r="M606" s="42"/>
      <c r="N606" s="41"/>
      <c r="O606" s="41"/>
      <c r="P606" s="41"/>
    </row>
    <row r="607" spans="1:16" ht="15.75" customHeight="1" x14ac:dyDescent="0.25">
      <c r="A607" s="37"/>
      <c r="B607" s="38"/>
      <c r="C607" s="39"/>
      <c r="D607" s="38"/>
      <c r="E607" s="39"/>
      <c r="F607" s="40"/>
      <c r="G607" s="38"/>
      <c r="H607" s="39"/>
      <c r="I607" s="41"/>
      <c r="J607" s="41"/>
      <c r="K607" s="41"/>
      <c r="L607" s="40"/>
      <c r="M607" s="42"/>
      <c r="N607" s="41"/>
      <c r="O607" s="41"/>
      <c r="P607" s="41"/>
    </row>
    <row r="608" spans="1:16" ht="15.75" customHeight="1" x14ac:dyDescent="0.25">
      <c r="A608" s="37"/>
      <c r="B608" s="38"/>
      <c r="C608" s="39"/>
      <c r="D608" s="38"/>
      <c r="E608" s="39"/>
      <c r="F608" s="40"/>
      <c r="G608" s="38"/>
      <c r="H608" s="39"/>
      <c r="I608" s="41"/>
      <c r="J608" s="41"/>
      <c r="K608" s="41"/>
      <c r="L608" s="40"/>
      <c r="M608" s="42"/>
      <c r="N608" s="41"/>
      <c r="O608" s="41"/>
      <c r="P608" s="41"/>
    </row>
    <row r="609" spans="1:16" ht="15.75" customHeight="1" x14ac:dyDescent="0.25">
      <c r="A609" s="37"/>
      <c r="B609" s="38"/>
      <c r="C609" s="39"/>
      <c r="D609" s="38"/>
      <c r="E609" s="39"/>
      <c r="F609" s="40"/>
      <c r="G609" s="38"/>
      <c r="H609" s="39"/>
      <c r="I609" s="41"/>
      <c r="J609" s="41"/>
      <c r="K609" s="41"/>
      <c r="L609" s="40"/>
      <c r="M609" s="42"/>
      <c r="N609" s="41"/>
      <c r="O609" s="41"/>
      <c r="P609" s="41"/>
    </row>
    <row r="610" spans="1:16" ht="15.75" customHeight="1" x14ac:dyDescent="0.25">
      <c r="A610" s="37"/>
      <c r="B610" s="38"/>
      <c r="C610" s="39"/>
      <c r="D610" s="38"/>
      <c r="E610" s="39"/>
      <c r="F610" s="40"/>
      <c r="G610" s="38"/>
      <c r="H610" s="39"/>
      <c r="I610" s="41"/>
      <c r="J610" s="41"/>
      <c r="K610" s="41"/>
      <c r="L610" s="40"/>
      <c r="M610" s="42"/>
      <c r="N610" s="41"/>
      <c r="O610" s="41"/>
      <c r="P610" s="41"/>
    </row>
    <row r="611" spans="1:16" ht="15.75" customHeight="1" x14ac:dyDescent="0.25">
      <c r="A611" s="37"/>
      <c r="B611" s="38"/>
      <c r="C611" s="39"/>
      <c r="D611" s="38"/>
      <c r="E611" s="39"/>
      <c r="F611" s="40"/>
      <c r="G611" s="38"/>
      <c r="H611" s="39"/>
      <c r="I611" s="41"/>
      <c r="J611" s="41"/>
      <c r="K611" s="41"/>
      <c r="L611" s="40"/>
      <c r="M611" s="42"/>
      <c r="N611" s="41"/>
      <c r="O611" s="41"/>
      <c r="P611" s="41"/>
    </row>
    <row r="612" spans="1:16" ht="15.75" customHeight="1" x14ac:dyDescent="0.25">
      <c r="A612" s="37"/>
      <c r="B612" s="38"/>
      <c r="C612" s="39"/>
      <c r="D612" s="38"/>
      <c r="E612" s="39"/>
      <c r="F612" s="40"/>
      <c r="G612" s="38"/>
      <c r="H612" s="39"/>
      <c r="I612" s="41"/>
      <c r="J612" s="41"/>
      <c r="K612" s="41"/>
      <c r="L612" s="40"/>
      <c r="M612" s="42"/>
      <c r="N612" s="41"/>
      <c r="O612" s="41"/>
      <c r="P612" s="41"/>
    </row>
    <row r="613" spans="1:16" ht="15.75" customHeight="1" x14ac:dyDescent="0.25">
      <c r="A613" s="37"/>
      <c r="B613" s="38"/>
      <c r="C613" s="39"/>
      <c r="D613" s="38"/>
      <c r="E613" s="39"/>
      <c r="F613" s="40"/>
      <c r="G613" s="38"/>
      <c r="H613" s="39"/>
      <c r="I613" s="41"/>
      <c r="J613" s="41"/>
      <c r="K613" s="41"/>
      <c r="L613" s="40"/>
      <c r="M613" s="42"/>
      <c r="N613" s="41"/>
      <c r="O613" s="41"/>
      <c r="P613" s="41"/>
    </row>
    <row r="614" spans="1:16" ht="15.75" customHeight="1" x14ac:dyDescent="0.25">
      <c r="A614" s="37"/>
      <c r="B614" s="38"/>
      <c r="C614" s="39"/>
      <c r="D614" s="38"/>
      <c r="E614" s="39"/>
      <c r="F614" s="40"/>
      <c r="G614" s="38"/>
      <c r="H614" s="39"/>
      <c r="I614" s="41"/>
      <c r="J614" s="41"/>
      <c r="K614" s="41"/>
      <c r="L614" s="40"/>
      <c r="M614" s="42"/>
      <c r="N614" s="41"/>
      <c r="O614" s="41"/>
      <c r="P614" s="41"/>
    </row>
    <row r="615" spans="1:16" ht="15.75" customHeight="1" x14ac:dyDescent="0.25">
      <c r="A615" s="37"/>
      <c r="B615" s="38"/>
      <c r="C615" s="39"/>
      <c r="D615" s="38"/>
      <c r="E615" s="39"/>
      <c r="F615" s="40"/>
      <c r="G615" s="38"/>
      <c r="H615" s="39"/>
      <c r="I615" s="41"/>
      <c r="J615" s="41"/>
      <c r="K615" s="41"/>
      <c r="L615" s="40"/>
      <c r="M615" s="42"/>
      <c r="N615" s="41"/>
      <c r="O615" s="41"/>
      <c r="P615" s="41"/>
    </row>
    <row r="616" spans="1:16" ht="15.75" customHeight="1" x14ac:dyDescent="0.25">
      <c r="A616" s="37"/>
      <c r="B616" s="38"/>
      <c r="C616" s="39"/>
      <c r="D616" s="38"/>
      <c r="E616" s="39"/>
      <c r="F616" s="40"/>
      <c r="G616" s="38"/>
      <c r="H616" s="39"/>
      <c r="I616" s="41"/>
      <c r="J616" s="41"/>
      <c r="K616" s="41"/>
      <c r="L616" s="40"/>
      <c r="M616" s="42"/>
      <c r="N616" s="41"/>
      <c r="O616" s="41"/>
      <c r="P616" s="41"/>
    </row>
    <row r="617" spans="1:16" ht="15.75" customHeight="1" x14ac:dyDescent="0.25">
      <c r="A617" s="37"/>
      <c r="B617" s="38"/>
      <c r="C617" s="39"/>
      <c r="D617" s="38"/>
      <c r="E617" s="39"/>
      <c r="F617" s="40"/>
      <c r="G617" s="38"/>
      <c r="H617" s="39"/>
      <c r="I617" s="41"/>
      <c r="J617" s="41"/>
      <c r="K617" s="41"/>
      <c r="L617" s="40"/>
      <c r="M617" s="42"/>
      <c r="N617" s="41"/>
      <c r="O617" s="41"/>
      <c r="P617" s="41"/>
    </row>
    <row r="618" spans="1:16" ht="15.75" customHeight="1" x14ac:dyDescent="0.25">
      <c r="A618" s="37"/>
      <c r="B618" s="38"/>
      <c r="C618" s="39"/>
      <c r="D618" s="38"/>
      <c r="E618" s="39"/>
      <c r="F618" s="40"/>
      <c r="G618" s="38"/>
      <c r="H618" s="39"/>
      <c r="I618" s="41"/>
      <c r="J618" s="41"/>
      <c r="K618" s="41"/>
      <c r="L618" s="40"/>
      <c r="M618" s="42"/>
      <c r="N618" s="41"/>
      <c r="O618" s="41"/>
      <c r="P618" s="41"/>
    </row>
    <row r="619" spans="1:16" ht="15.75" customHeight="1" x14ac:dyDescent="0.25">
      <c r="A619" s="37"/>
      <c r="B619" s="38"/>
      <c r="C619" s="39"/>
      <c r="D619" s="38"/>
      <c r="E619" s="39"/>
      <c r="F619" s="40"/>
      <c r="G619" s="38"/>
      <c r="H619" s="39"/>
      <c r="I619" s="41"/>
      <c r="J619" s="41"/>
      <c r="K619" s="41"/>
      <c r="L619" s="40"/>
      <c r="M619" s="42"/>
      <c r="N619" s="41"/>
      <c r="O619" s="41"/>
      <c r="P619" s="41"/>
    </row>
    <row r="620" spans="1:16" ht="15.75" customHeight="1" x14ac:dyDescent="0.25">
      <c r="A620" s="37"/>
      <c r="B620" s="38"/>
      <c r="C620" s="39"/>
      <c r="D620" s="38"/>
      <c r="E620" s="39"/>
      <c r="F620" s="40"/>
      <c r="G620" s="38"/>
      <c r="H620" s="39"/>
      <c r="I620" s="41"/>
      <c r="J620" s="41"/>
      <c r="K620" s="41"/>
      <c r="L620" s="40"/>
      <c r="M620" s="42"/>
      <c r="N620" s="41"/>
      <c r="O620" s="41"/>
      <c r="P620" s="41"/>
    </row>
    <row r="621" spans="1:16" ht="15.75" customHeight="1" x14ac:dyDescent="0.25">
      <c r="A621" s="37"/>
      <c r="B621" s="38"/>
      <c r="C621" s="39"/>
      <c r="D621" s="38"/>
      <c r="E621" s="39"/>
      <c r="F621" s="40"/>
      <c r="G621" s="38"/>
      <c r="H621" s="39"/>
      <c r="I621" s="41"/>
      <c r="J621" s="41"/>
      <c r="K621" s="41"/>
      <c r="L621" s="40"/>
      <c r="M621" s="42"/>
      <c r="N621" s="41"/>
      <c r="O621" s="41"/>
      <c r="P621" s="41"/>
    </row>
    <row r="622" spans="1:16" ht="15.75" customHeight="1" x14ac:dyDescent="0.25">
      <c r="A622" s="37"/>
      <c r="B622" s="38"/>
      <c r="C622" s="39"/>
      <c r="D622" s="38"/>
      <c r="E622" s="39"/>
      <c r="F622" s="40"/>
      <c r="G622" s="38"/>
      <c r="H622" s="39"/>
      <c r="I622" s="41"/>
      <c r="J622" s="41"/>
      <c r="K622" s="41"/>
      <c r="L622" s="40"/>
      <c r="M622" s="42"/>
      <c r="N622" s="41"/>
      <c r="O622" s="41"/>
      <c r="P622" s="41"/>
    </row>
    <row r="623" spans="1:16" ht="15.75" customHeight="1" x14ac:dyDescent="0.25">
      <c r="A623" s="37"/>
      <c r="B623" s="38"/>
      <c r="C623" s="39"/>
      <c r="D623" s="38"/>
      <c r="E623" s="39"/>
      <c r="F623" s="40"/>
      <c r="G623" s="38"/>
      <c r="H623" s="39"/>
      <c r="I623" s="41"/>
      <c r="J623" s="41"/>
      <c r="K623" s="41"/>
      <c r="L623" s="40"/>
      <c r="M623" s="42"/>
      <c r="N623" s="41"/>
      <c r="O623" s="41"/>
      <c r="P623" s="41"/>
    </row>
    <row r="624" spans="1:16" ht="15.75" customHeight="1" x14ac:dyDescent="0.25">
      <c r="A624" s="37"/>
      <c r="B624" s="38"/>
      <c r="C624" s="39"/>
      <c r="D624" s="38"/>
      <c r="E624" s="39"/>
      <c r="F624" s="40"/>
      <c r="G624" s="38"/>
      <c r="H624" s="39"/>
      <c r="I624" s="41"/>
      <c r="J624" s="41"/>
      <c r="K624" s="41"/>
      <c r="L624" s="40"/>
      <c r="M624" s="42"/>
      <c r="N624" s="41"/>
      <c r="O624" s="41"/>
      <c r="P624" s="41"/>
    </row>
    <row r="625" spans="1:16" ht="15.75" customHeight="1" x14ac:dyDescent="0.25">
      <c r="A625" s="37"/>
      <c r="B625" s="38"/>
      <c r="C625" s="39"/>
      <c r="D625" s="38"/>
      <c r="E625" s="39"/>
      <c r="F625" s="40"/>
      <c r="G625" s="38"/>
      <c r="H625" s="39"/>
      <c r="I625" s="41"/>
      <c r="J625" s="41"/>
      <c r="K625" s="41"/>
      <c r="L625" s="40"/>
      <c r="M625" s="42"/>
      <c r="N625" s="41"/>
      <c r="O625" s="41"/>
      <c r="P625" s="41"/>
    </row>
    <row r="626" spans="1:16" ht="15.75" customHeight="1" x14ac:dyDescent="0.25">
      <c r="A626" s="37"/>
      <c r="B626" s="38"/>
      <c r="C626" s="39"/>
      <c r="D626" s="38"/>
      <c r="E626" s="39"/>
      <c r="F626" s="40"/>
      <c r="G626" s="38"/>
      <c r="H626" s="39"/>
      <c r="I626" s="41"/>
      <c r="J626" s="41"/>
      <c r="K626" s="41"/>
      <c r="L626" s="40"/>
      <c r="M626" s="42"/>
      <c r="N626" s="41"/>
      <c r="O626" s="41"/>
      <c r="P626" s="41"/>
    </row>
    <row r="627" spans="1:16" ht="15.75" customHeight="1" x14ac:dyDescent="0.25">
      <c r="A627" s="37"/>
      <c r="B627" s="38"/>
      <c r="C627" s="39"/>
      <c r="D627" s="38"/>
      <c r="E627" s="39"/>
      <c r="F627" s="40"/>
      <c r="G627" s="38"/>
      <c r="H627" s="39"/>
      <c r="I627" s="41"/>
      <c r="J627" s="41"/>
      <c r="K627" s="41"/>
      <c r="L627" s="40"/>
      <c r="M627" s="42"/>
      <c r="N627" s="41"/>
      <c r="O627" s="41"/>
      <c r="P627" s="41"/>
    </row>
    <row r="628" spans="1:16" ht="15.75" customHeight="1" x14ac:dyDescent="0.25">
      <c r="A628" s="37"/>
      <c r="B628" s="38"/>
      <c r="C628" s="39"/>
      <c r="D628" s="38"/>
      <c r="E628" s="39"/>
      <c r="F628" s="40"/>
      <c r="G628" s="38"/>
      <c r="H628" s="39"/>
      <c r="I628" s="41"/>
      <c r="J628" s="41"/>
      <c r="K628" s="41"/>
      <c r="L628" s="40"/>
      <c r="M628" s="42"/>
      <c r="N628" s="41"/>
      <c r="O628" s="41"/>
      <c r="P628" s="41"/>
    </row>
    <row r="629" spans="1:16" ht="15.75" customHeight="1" x14ac:dyDescent="0.25">
      <c r="A629" s="37"/>
      <c r="B629" s="38"/>
      <c r="C629" s="39"/>
      <c r="D629" s="38"/>
      <c r="E629" s="39"/>
      <c r="F629" s="40"/>
      <c r="G629" s="38"/>
      <c r="H629" s="39"/>
      <c r="I629" s="41"/>
      <c r="J629" s="41"/>
      <c r="K629" s="41"/>
      <c r="L629" s="40"/>
      <c r="M629" s="42"/>
      <c r="N629" s="41"/>
      <c r="O629" s="41"/>
      <c r="P629" s="41"/>
    </row>
    <row r="630" spans="1:16" ht="15.75" customHeight="1" x14ac:dyDescent="0.25">
      <c r="A630" s="37"/>
      <c r="B630" s="38"/>
      <c r="C630" s="39"/>
      <c r="D630" s="38"/>
      <c r="E630" s="39"/>
      <c r="F630" s="40"/>
      <c r="G630" s="38"/>
      <c r="H630" s="39"/>
      <c r="I630" s="41"/>
      <c r="J630" s="41"/>
      <c r="K630" s="41"/>
      <c r="L630" s="40"/>
      <c r="M630" s="42"/>
      <c r="N630" s="41"/>
      <c r="O630" s="41"/>
      <c r="P630" s="41"/>
    </row>
    <row r="631" spans="1:16" ht="15.75" customHeight="1" x14ac:dyDescent="0.25">
      <c r="A631" s="37"/>
      <c r="B631" s="38"/>
      <c r="C631" s="39"/>
      <c r="D631" s="38"/>
      <c r="E631" s="39"/>
      <c r="F631" s="40"/>
      <c r="G631" s="38"/>
      <c r="H631" s="39"/>
      <c r="I631" s="41"/>
      <c r="J631" s="41"/>
      <c r="K631" s="41"/>
      <c r="L631" s="40"/>
      <c r="M631" s="42"/>
      <c r="N631" s="41"/>
      <c r="O631" s="41"/>
      <c r="P631" s="41"/>
    </row>
    <row r="632" spans="1:16" ht="15.75" customHeight="1" x14ac:dyDescent="0.25">
      <c r="A632" s="37"/>
      <c r="B632" s="38"/>
      <c r="C632" s="39"/>
      <c r="D632" s="38"/>
      <c r="E632" s="39"/>
      <c r="F632" s="40"/>
      <c r="G632" s="38"/>
      <c r="H632" s="39"/>
      <c r="I632" s="41"/>
      <c r="J632" s="41"/>
      <c r="K632" s="41"/>
      <c r="L632" s="40"/>
      <c r="M632" s="42"/>
      <c r="N632" s="41"/>
      <c r="O632" s="41"/>
      <c r="P632" s="41"/>
    </row>
    <row r="633" spans="1:16" ht="15.75" customHeight="1" x14ac:dyDescent="0.25">
      <c r="A633" s="37"/>
      <c r="B633" s="38"/>
      <c r="C633" s="39"/>
      <c r="D633" s="38"/>
      <c r="E633" s="39"/>
      <c r="F633" s="40"/>
      <c r="G633" s="38"/>
      <c r="H633" s="39"/>
      <c r="I633" s="41"/>
      <c r="J633" s="41"/>
      <c r="K633" s="41"/>
      <c r="L633" s="40"/>
      <c r="M633" s="42"/>
      <c r="N633" s="41"/>
      <c r="O633" s="41"/>
      <c r="P633" s="41"/>
    </row>
    <row r="634" spans="1:16" ht="15.75" customHeight="1" x14ac:dyDescent="0.25">
      <c r="A634" s="37"/>
      <c r="B634" s="38"/>
      <c r="C634" s="39"/>
      <c r="D634" s="38"/>
      <c r="E634" s="39"/>
      <c r="F634" s="40"/>
      <c r="G634" s="38"/>
      <c r="H634" s="39"/>
      <c r="I634" s="41"/>
      <c r="J634" s="41"/>
      <c r="K634" s="41"/>
      <c r="L634" s="40"/>
      <c r="M634" s="42"/>
      <c r="N634" s="41"/>
      <c r="O634" s="41"/>
      <c r="P634" s="41"/>
    </row>
    <row r="635" spans="1:16" ht="15.75" customHeight="1" x14ac:dyDescent="0.25">
      <c r="A635" s="37"/>
      <c r="B635" s="38"/>
      <c r="C635" s="39"/>
      <c r="D635" s="38"/>
      <c r="E635" s="39"/>
      <c r="F635" s="40"/>
      <c r="G635" s="38"/>
      <c r="H635" s="39"/>
      <c r="I635" s="41"/>
      <c r="J635" s="41"/>
      <c r="K635" s="41"/>
      <c r="L635" s="40"/>
      <c r="M635" s="42"/>
      <c r="N635" s="41"/>
      <c r="O635" s="41"/>
      <c r="P635" s="41"/>
    </row>
    <row r="636" spans="1:16" ht="15.75" customHeight="1" x14ac:dyDescent="0.25">
      <c r="A636" s="37"/>
      <c r="B636" s="38"/>
      <c r="C636" s="39"/>
      <c r="D636" s="38"/>
      <c r="E636" s="39"/>
      <c r="F636" s="40"/>
      <c r="G636" s="38"/>
      <c r="H636" s="39"/>
      <c r="I636" s="41"/>
      <c r="J636" s="41"/>
      <c r="K636" s="41"/>
      <c r="L636" s="40"/>
      <c r="M636" s="42"/>
      <c r="N636" s="41"/>
      <c r="O636" s="41"/>
      <c r="P636" s="41"/>
    </row>
    <row r="637" spans="1:16" ht="15.75" customHeight="1" x14ac:dyDescent="0.25">
      <c r="A637" s="37"/>
      <c r="B637" s="38"/>
      <c r="C637" s="39"/>
      <c r="D637" s="38"/>
      <c r="E637" s="39"/>
      <c r="F637" s="40"/>
      <c r="G637" s="38"/>
      <c r="H637" s="39"/>
      <c r="I637" s="41"/>
      <c r="J637" s="41"/>
      <c r="K637" s="41"/>
      <c r="L637" s="40"/>
      <c r="M637" s="42"/>
      <c r="N637" s="41"/>
      <c r="O637" s="41"/>
      <c r="P637" s="41"/>
    </row>
    <row r="638" spans="1:16" ht="15.75" customHeight="1" x14ac:dyDescent="0.25">
      <c r="A638" s="37"/>
      <c r="B638" s="38"/>
      <c r="C638" s="39"/>
      <c r="D638" s="38"/>
      <c r="E638" s="39"/>
      <c r="F638" s="40"/>
      <c r="G638" s="38"/>
      <c r="H638" s="39"/>
      <c r="I638" s="41"/>
      <c r="J638" s="41"/>
      <c r="K638" s="41"/>
      <c r="L638" s="40"/>
      <c r="M638" s="42"/>
      <c r="N638" s="41"/>
      <c r="O638" s="41"/>
      <c r="P638" s="41"/>
    </row>
    <row r="639" spans="1:16" ht="15.75" customHeight="1" x14ac:dyDescent="0.25">
      <c r="A639" s="37"/>
      <c r="B639" s="38"/>
      <c r="C639" s="39"/>
      <c r="D639" s="38"/>
      <c r="E639" s="39"/>
      <c r="F639" s="40"/>
      <c r="G639" s="38"/>
      <c r="H639" s="39"/>
      <c r="I639" s="41"/>
      <c r="J639" s="41"/>
      <c r="K639" s="41"/>
      <c r="L639" s="40"/>
      <c r="M639" s="42"/>
      <c r="N639" s="41"/>
      <c r="O639" s="41"/>
      <c r="P639" s="41"/>
    </row>
    <row r="640" spans="1:16" ht="15.75" customHeight="1" x14ac:dyDescent="0.25">
      <c r="A640" s="37"/>
      <c r="B640" s="38"/>
      <c r="C640" s="39"/>
      <c r="D640" s="38"/>
      <c r="E640" s="39"/>
      <c r="F640" s="40"/>
      <c r="G640" s="38"/>
      <c r="H640" s="39"/>
      <c r="I640" s="41"/>
      <c r="J640" s="41"/>
      <c r="K640" s="41"/>
      <c r="L640" s="40"/>
      <c r="M640" s="42"/>
      <c r="N640" s="41"/>
      <c r="O640" s="41"/>
      <c r="P640" s="41"/>
    </row>
    <row r="641" spans="1:16" ht="15.75" customHeight="1" x14ac:dyDescent="0.25">
      <c r="A641" s="37"/>
      <c r="B641" s="38"/>
      <c r="C641" s="39"/>
      <c r="D641" s="38"/>
      <c r="E641" s="39"/>
      <c r="F641" s="40"/>
      <c r="G641" s="38"/>
      <c r="H641" s="39"/>
      <c r="I641" s="41"/>
      <c r="J641" s="41"/>
      <c r="K641" s="41"/>
      <c r="L641" s="40"/>
      <c r="M641" s="42"/>
      <c r="N641" s="41"/>
      <c r="O641" s="41"/>
      <c r="P641" s="41"/>
    </row>
    <row r="642" spans="1:16" ht="15.75" customHeight="1" x14ac:dyDescent="0.25">
      <c r="A642" s="37"/>
      <c r="B642" s="38"/>
      <c r="C642" s="39"/>
      <c r="D642" s="38"/>
      <c r="E642" s="39"/>
      <c r="F642" s="40"/>
      <c r="G642" s="38"/>
      <c r="H642" s="39"/>
      <c r="I642" s="41"/>
      <c r="J642" s="41"/>
      <c r="K642" s="41"/>
      <c r="L642" s="40"/>
      <c r="M642" s="42"/>
      <c r="N642" s="41"/>
      <c r="O642" s="41"/>
      <c r="P642" s="41"/>
    </row>
    <row r="643" spans="1:16" ht="15.75" customHeight="1" x14ac:dyDescent="0.25">
      <c r="A643" s="37"/>
      <c r="B643" s="38"/>
      <c r="C643" s="39"/>
      <c r="D643" s="38"/>
      <c r="E643" s="39"/>
      <c r="F643" s="40"/>
      <c r="G643" s="38"/>
      <c r="H643" s="39"/>
      <c r="I643" s="41"/>
      <c r="J643" s="41"/>
      <c r="K643" s="41"/>
      <c r="L643" s="40"/>
      <c r="M643" s="42"/>
      <c r="N643" s="41"/>
      <c r="O643" s="41"/>
      <c r="P643" s="41"/>
    </row>
    <row r="644" spans="1:16" ht="15.75" customHeight="1" x14ac:dyDescent="0.25">
      <c r="A644" s="37"/>
      <c r="B644" s="38"/>
      <c r="C644" s="39"/>
      <c r="D644" s="38"/>
      <c r="E644" s="39"/>
      <c r="F644" s="40"/>
      <c r="G644" s="38"/>
      <c r="H644" s="39"/>
      <c r="I644" s="41"/>
      <c r="J644" s="41"/>
      <c r="K644" s="41"/>
      <c r="L644" s="40"/>
      <c r="M644" s="42"/>
      <c r="N644" s="41"/>
      <c r="O644" s="41"/>
      <c r="P644" s="41"/>
    </row>
    <row r="645" spans="1:16" ht="15.75" customHeight="1" x14ac:dyDescent="0.25">
      <c r="A645" s="37"/>
      <c r="B645" s="38"/>
      <c r="C645" s="39"/>
      <c r="D645" s="38"/>
      <c r="E645" s="39"/>
      <c r="F645" s="40"/>
      <c r="G645" s="38"/>
      <c r="H645" s="39"/>
      <c r="I645" s="41"/>
      <c r="J645" s="41"/>
      <c r="K645" s="41"/>
      <c r="L645" s="40"/>
      <c r="M645" s="42"/>
      <c r="N645" s="41"/>
      <c r="O645" s="41"/>
      <c r="P645" s="41"/>
    </row>
    <row r="646" spans="1:16" ht="15.75" customHeight="1" x14ac:dyDescent="0.25">
      <c r="A646" s="37"/>
      <c r="B646" s="38"/>
      <c r="C646" s="39"/>
      <c r="D646" s="38"/>
      <c r="E646" s="39"/>
      <c r="F646" s="40"/>
      <c r="G646" s="38"/>
      <c r="H646" s="39"/>
      <c r="I646" s="41"/>
      <c r="J646" s="41"/>
      <c r="K646" s="41"/>
      <c r="L646" s="40"/>
      <c r="M646" s="42"/>
      <c r="N646" s="41"/>
      <c r="O646" s="41"/>
      <c r="P646" s="41"/>
    </row>
    <row r="647" spans="1:16" ht="15.75" customHeight="1" x14ac:dyDescent="0.25">
      <c r="A647" s="37"/>
      <c r="B647" s="38"/>
      <c r="C647" s="39"/>
      <c r="D647" s="38"/>
      <c r="E647" s="39"/>
      <c r="F647" s="40"/>
      <c r="G647" s="38"/>
      <c r="H647" s="39"/>
      <c r="I647" s="41"/>
      <c r="J647" s="41"/>
      <c r="K647" s="41"/>
      <c r="L647" s="40"/>
      <c r="M647" s="42"/>
      <c r="N647" s="41"/>
      <c r="O647" s="41"/>
      <c r="P647" s="41"/>
    </row>
    <row r="648" spans="1:16" ht="15.75" customHeight="1" x14ac:dyDescent="0.25">
      <c r="A648" s="37"/>
      <c r="B648" s="38"/>
      <c r="C648" s="39"/>
      <c r="D648" s="38"/>
      <c r="E648" s="39"/>
      <c r="F648" s="40"/>
      <c r="G648" s="38"/>
      <c r="H648" s="39"/>
      <c r="I648" s="41"/>
      <c r="J648" s="41"/>
      <c r="K648" s="41"/>
      <c r="L648" s="40"/>
      <c r="M648" s="42"/>
      <c r="N648" s="41"/>
      <c r="O648" s="41"/>
      <c r="P648" s="41"/>
    </row>
    <row r="649" spans="1:16" ht="15.75" customHeight="1" x14ac:dyDescent="0.25">
      <c r="A649" s="37"/>
      <c r="B649" s="38"/>
      <c r="C649" s="39"/>
      <c r="D649" s="38"/>
      <c r="E649" s="39"/>
      <c r="F649" s="40"/>
      <c r="G649" s="38"/>
      <c r="H649" s="39"/>
      <c r="I649" s="41"/>
      <c r="J649" s="41"/>
      <c r="K649" s="41"/>
      <c r="L649" s="40"/>
      <c r="M649" s="42"/>
      <c r="N649" s="41"/>
      <c r="O649" s="41"/>
      <c r="P649" s="41"/>
    </row>
    <row r="650" spans="1:16" ht="15.75" customHeight="1" x14ac:dyDescent="0.25">
      <c r="A650" s="37"/>
      <c r="B650" s="38"/>
      <c r="C650" s="39"/>
      <c r="D650" s="38"/>
      <c r="E650" s="39"/>
      <c r="F650" s="40"/>
      <c r="G650" s="38"/>
      <c r="H650" s="39"/>
      <c r="I650" s="41"/>
      <c r="J650" s="41"/>
      <c r="K650" s="41"/>
      <c r="L650" s="40"/>
      <c r="M650" s="42"/>
      <c r="N650" s="41"/>
      <c r="O650" s="41"/>
      <c r="P650" s="41"/>
    </row>
    <row r="651" spans="1:16" ht="15.75" customHeight="1" x14ac:dyDescent="0.25">
      <c r="A651" s="37"/>
      <c r="B651" s="38"/>
      <c r="C651" s="39"/>
      <c r="D651" s="38"/>
      <c r="E651" s="39"/>
      <c r="F651" s="40"/>
      <c r="G651" s="38"/>
      <c r="H651" s="39"/>
      <c r="I651" s="41"/>
      <c r="J651" s="41"/>
      <c r="K651" s="41"/>
      <c r="L651" s="40"/>
      <c r="M651" s="42"/>
      <c r="N651" s="41"/>
      <c r="O651" s="41"/>
      <c r="P651" s="41"/>
    </row>
    <row r="652" spans="1:16" ht="15.75" customHeight="1" x14ac:dyDescent="0.25">
      <c r="A652" s="37"/>
      <c r="B652" s="38"/>
      <c r="C652" s="39"/>
      <c r="D652" s="38"/>
      <c r="E652" s="39"/>
      <c r="F652" s="40"/>
      <c r="G652" s="38"/>
      <c r="H652" s="39"/>
      <c r="I652" s="41"/>
      <c r="J652" s="41"/>
      <c r="K652" s="41"/>
      <c r="L652" s="40"/>
      <c r="M652" s="42"/>
      <c r="N652" s="41"/>
      <c r="O652" s="41"/>
      <c r="P652" s="41"/>
    </row>
    <row r="653" spans="1:16" ht="15.75" customHeight="1" x14ac:dyDescent="0.25">
      <c r="A653" s="37"/>
      <c r="B653" s="38"/>
      <c r="C653" s="39"/>
      <c r="D653" s="38"/>
      <c r="E653" s="39"/>
      <c r="F653" s="40"/>
      <c r="G653" s="38"/>
      <c r="H653" s="39"/>
      <c r="I653" s="41"/>
      <c r="J653" s="41"/>
      <c r="K653" s="41"/>
      <c r="L653" s="40"/>
      <c r="M653" s="42"/>
      <c r="N653" s="41"/>
      <c r="O653" s="41"/>
      <c r="P653" s="41"/>
    </row>
    <row r="654" spans="1:16" ht="15.75" customHeight="1" x14ac:dyDescent="0.25">
      <c r="A654" s="37"/>
      <c r="B654" s="38"/>
      <c r="C654" s="39"/>
      <c r="D654" s="38"/>
      <c r="E654" s="39"/>
      <c r="F654" s="40"/>
      <c r="G654" s="38"/>
      <c r="H654" s="39"/>
      <c r="I654" s="41"/>
      <c r="J654" s="41"/>
      <c r="K654" s="41"/>
      <c r="L654" s="40"/>
      <c r="M654" s="42"/>
      <c r="N654" s="41"/>
      <c r="O654" s="41"/>
      <c r="P654" s="41"/>
    </row>
    <row r="655" spans="1:16" ht="15.75" customHeight="1" x14ac:dyDescent="0.25">
      <c r="A655" s="37"/>
      <c r="B655" s="38"/>
      <c r="C655" s="39"/>
      <c r="D655" s="38"/>
      <c r="E655" s="39"/>
      <c r="F655" s="40"/>
      <c r="G655" s="38"/>
      <c r="H655" s="39"/>
      <c r="I655" s="41"/>
      <c r="J655" s="41"/>
      <c r="K655" s="41"/>
      <c r="L655" s="40"/>
      <c r="M655" s="42"/>
      <c r="N655" s="41"/>
      <c r="O655" s="41"/>
      <c r="P655" s="41"/>
    </row>
    <row r="656" spans="1:16" ht="15.75" customHeight="1" x14ac:dyDescent="0.25">
      <c r="A656" s="37"/>
      <c r="B656" s="38"/>
      <c r="C656" s="39"/>
      <c r="D656" s="38"/>
      <c r="E656" s="39"/>
      <c r="F656" s="40"/>
      <c r="G656" s="38"/>
      <c r="H656" s="39"/>
      <c r="I656" s="41"/>
      <c r="J656" s="41"/>
      <c r="K656" s="41"/>
      <c r="L656" s="40"/>
      <c r="M656" s="42"/>
      <c r="N656" s="41"/>
      <c r="O656" s="41"/>
      <c r="P656" s="41"/>
    </row>
    <row r="657" spans="1:16" ht="15.75" customHeight="1" x14ac:dyDescent="0.25">
      <c r="A657" s="37"/>
      <c r="B657" s="38"/>
      <c r="C657" s="39"/>
      <c r="D657" s="38"/>
      <c r="E657" s="39"/>
      <c r="F657" s="40"/>
      <c r="G657" s="38"/>
      <c r="H657" s="39"/>
      <c r="I657" s="41"/>
      <c r="J657" s="41"/>
      <c r="K657" s="41"/>
      <c r="L657" s="40"/>
      <c r="M657" s="42"/>
      <c r="N657" s="41"/>
      <c r="O657" s="41"/>
      <c r="P657" s="41"/>
    </row>
    <row r="658" spans="1:16" ht="15.75" customHeight="1" x14ac:dyDescent="0.25">
      <c r="A658" s="37"/>
      <c r="B658" s="38"/>
      <c r="C658" s="39"/>
      <c r="D658" s="38"/>
      <c r="E658" s="39"/>
      <c r="F658" s="40"/>
      <c r="G658" s="38"/>
      <c r="H658" s="39"/>
      <c r="I658" s="41"/>
      <c r="J658" s="41"/>
      <c r="K658" s="41"/>
      <c r="L658" s="40"/>
      <c r="M658" s="42"/>
      <c r="N658" s="41"/>
      <c r="O658" s="41"/>
      <c r="P658" s="41"/>
    </row>
    <row r="659" spans="1:16" ht="15.75" customHeight="1" x14ac:dyDescent="0.25">
      <c r="A659" s="37"/>
      <c r="B659" s="38"/>
      <c r="C659" s="39"/>
      <c r="D659" s="38"/>
      <c r="E659" s="39"/>
      <c r="F659" s="40"/>
      <c r="G659" s="38"/>
      <c r="H659" s="39"/>
      <c r="I659" s="41"/>
      <c r="J659" s="41"/>
      <c r="K659" s="41"/>
      <c r="L659" s="40"/>
      <c r="M659" s="42"/>
      <c r="N659" s="41"/>
      <c r="O659" s="41"/>
      <c r="P659" s="41"/>
    </row>
    <row r="660" spans="1:16" ht="15.75" customHeight="1" x14ac:dyDescent="0.25">
      <c r="A660" s="37"/>
      <c r="B660" s="38"/>
      <c r="C660" s="39"/>
      <c r="D660" s="38"/>
      <c r="E660" s="39"/>
      <c r="F660" s="40"/>
      <c r="G660" s="38"/>
      <c r="H660" s="39"/>
      <c r="I660" s="41"/>
      <c r="J660" s="41"/>
      <c r="K660" s="41"/>
      <c r="L660" s="40"/>
      <c r="M660" s="42"/>
      <c r="N660" s="41"/>
      <c r="O660" s="41"/>
      <c r="P660" s="41"/>
    </row>
    <row r="661" spans="1:16" ht="15.75" customHeight="1" x14ac:dyDescent="0.25">
      <c r="A661" s="37"/>
      <c r="B661" s="38"/>
      <c r="C661" s="39"/>
      <c r="D661" s="38"/>
      <c r="E661" s="39"/>
      <c r="F661" s="40"/>
      <c r="G661" s="38"/>
      <c r="H661" s="39"/>
      <c r="I661" s="41"/>
      <c r="J661" s="41"/>
      <c r="K661" s="41"/>
      <c r="L661" s="40"/>
      <c r="M661" s="42"/>
      <c r="N661" s="41"/>
      <c r="O661" s="41"/>
      <c r="P661" s="41"/>
    </row>
    <row r="662" spans="1:16" ht="15.75" customHeight="1" x14ac:dyDescent="0.25">
      <c r="A662" s="37"/>
      <c r="B662" s="38"/>
      <c r="C662" s="39"/>
      <c r="D662" s="38"/>
      <c r="E662" s="39"/>
      <c r="F662" s="40"/>
      <c r="G662" s="38"/>
      <c r="H662" s="39"/>
      <c r="I662" s="41"/>
      <c r="J662" s="41"/>
      <c r="K662" s="41"/>
      <c r="L662" s="40"/>
      <c r="M662" s="42"/>
      <c r="N662" s="41"/>
      <c r="O662" s="41"/>
      <c r="P662" s="41"/>
    </row>
    <row r="663" spans="1:16" ht="15.75" customHeight="1" x14ac:dyDescent="0.25">
      <c r="A663" s="37"/>
      <c r="B663" s="38"/>
      <c r="C663" s="39"/>
      <c r="D663" s="38"/>
      <c r="E663" s="39"/>
      <c r="F663" s="40"/>
      <c r="G663" s="38"/>
      <c r="H663" s="39"/>
      <c r="I663" s="41"/>
      <c r="J663" s="41"/>
      <c r="K663" s="41"/>
      <c r="L663" s="40"/>
      <c r="M663" s="42"/>
      <c r="N663" s="41"/>
      <c r="O663" s="41"/>
      <c r="P663" s="41"/>
    </row>
    <row r="664" spans="1:16" ht="15.75" customHeight="1" x14ac:dyDescent="0.25">
      <c r="A664" s="37"/>
      <c r="B664" s="38"/>
      <c r="C664" s="39"/>
      <c r="D664" s="38"/>
      <c r="E664" s="39"/>
      <c r="F664" s="40"/>
      <c r="G664" s="38"/>
      <c r="H664" s="39"/>
      <c r="I664" s="41"/>
      <c r="J664" s="41"/>
      <c r="K664" s="41"/>
      <c r="L664" s="40"/>
      <c r="M664" s="42"/>
      <c r="N664" s="41"/>
      <c r="O664" s="41"/>
      <c r="P664" s="41"/>
    </row>
    <row r="665" spans="1:16" ht="15.75" customHeight="1" x14ac:dyDescent="0.25">
      <c r="A665" s="37"/>
      <c r="B665" s="38"/>
      <c r="C665" s="39"/>
      <c r="D665" s="38"/>
      <c r="E665" s="39"/>
      <c r="F665" s="40"/>
      <c r="G665" s="38"/>
      <c r="H665" s="39"/>
      <c r="I665" s="41"/>
      <c r="J665" s="41"/>
      <c r="K665" s="41"/>
      <c r="L665" s="40"/>
      <c r="M665" s="42"/>
      <c r="N665" s="41"/>
      <c r="O665" s="41"/>
      <c r="P665" s="41"/>
    </row>
    <row r="666" spans="1:16" ht="15.75" customHeight="1" x14ac:dyDescent="0.25">
      <c r="A666" s="37"/>
      <c r="B666" s="38"/>
      <c r="C666" s="39"/>
      <c r="D666" s="38"/>
      <c r="E666" s="39"/>
      <c r="F666" s="40"/>
      <c r="G666" s="38"/>
      <c r="H666" s="39"/>
      <c r="I666" s="41"/>
      <c r="J666" s="41"/>
      <c r="K666" s="41"/>
      <c r="L666" s="40"/>
      <c r="M666" s="42"/>
      <c r="N666" s="41"/>
      <c r="O666" s="41"/>
      <c r="P666" s="41"/>
    </row>
    <row r="667" spans="1:16" ht="15.75" customHeight="1" x14ac:dyDescent="0.25">
      <c r="A667" s="37"/>
      <c r="B667" s="38"/>
      <c r="C667" s="39"/>
      <c r="D667" s="38"/>
      <c r="E667" s="39"/>
      <c r="F667" s="40"/>
      <c r="G667" s="38"/>
      <c r="H667" s="39"/>
      <c r="I667" s="41"/>
      <c r="J667" s="41"/>
      <c r="K667" s="41"/>
      <c r="L667" s="40"/>
      <c r="M667" s="42"/>
      <c r="N667" s="41"/>
      <c r="O667" s="41"/>
      <c r="P667" s="41"/>
    </row>
    <row r="668" spans="1:16" ht="15.75" customHeight="1" x14ac:dyDescent="0.25">
      <c r="A668" s="37"/>
      <c r="B668" s="38"/>
      <c r="C668" s="39"/>
      <c r="D668" s="38"/>
      <c r="E668" s="39"/>
      <c r="F668" s="40"/>
      <c r="G668" s="38"/>
      <c r="H668" s="39"/>
      <c r="I668" s="41"/>
      <c r="J668" s="41"/>
      <c r="K668" s="41"/>
      <c r="L668" s="40"/>
      <c r="M668" s="42"/>
      <c r="N668" s="41"/>
      <c r="O668" s="41"/>
      <c r="P668" s="41"/>
    </row>
    <row r="669" spans="1:16" ht="15.75" customHeight="1" x14ac:dyDescent="0.25">
      <c r="A669" s="37"/>
      <c r="B669" s="38"/>
      <c r="C669" s="39"/>
      <c r="D669" s="38"/>
      <c r="E669" s="39"/>
      <c r="F669" s="40"/>
      <c r="G669" s="38"/>
      <c r="H669" s="39"/>
      <c r="I669" s="41"/>
      <c r="J669" s="41"/>
      <c r="K669" s="41"/>
      <c r="L669" s="40"/>
      <c r="M669" s="42"/>
      <c r="N669" s="41"/>
      <c r="O669" s="41"/>
      <c r="P669" s="41"/>
    </row>
    <row r="670" spans="1:16" ht="15.75" customHeight="1" x14ac:dyDescent="0.25">
      <c r="A670" s="37"/>
      <c r="B670" s="38"/>
      <c r="C670" s="39"/>
      <c r="D670" s="38"/>
      <c r="E670" s="39"/>
      <c r="F670" s="40"/>
      <c r="G670" s="38"/>
      <c r="H670" s="39"/>
      <c r="I670" s="41"/>
      <c r="J670" s="41"/>
      <c r="K670" s="41"/>
      <c r="L670" s="40"/>
      <c r="M670" s="42"/>
      <c r="N670" s="41"/>
      <c r="O670" s="41"/>
      <c r="P670" s="41"/>
    </row>
    <row r="671" spans="1:16" ht="15.75" customHeight="1" x14ac:dyDescent="0.25">
      <c r="A671" s="37"/>
      <c r="B671" s="38"/>
      <c r="C671" s="39"/>
      <c r="D671" s="38"/>
      <c r="E671" s="39"/>
      <c r="F671" s="40"/>
      <c r="G671" s="38"/>
      <c r="H671" s="39"/>
      <c r="I671" s="41"/>
      <c r="J671" s="41"/>
      <c r="K671" s="41"/>
      <c r="L671" s="40"/>
      <c r="M671" s="42"/>
      <c r="N671" s="41"/>
      <c r="O671" s="41"/>
      <c r="P671" s="41"/>
    </row>
    <row r="672" spans="1:16" ht="15.75" customHeight="1" x14ac:dyDescent="0.25">
      <c r="A672" s="37"/>
      <c r="B672" s="38"/>
      <c r="C672" s="39"/>
      <c r="D672" s="38"/>
      <c r="E672" s="39"/>
      <c r="F672" s="40"/>
      <c r="G672" s="38"/>
      <c r="H672" s="39"/>
      <c r="I672" s="41"/>
      <c r="J672" s="41"/>
      <c r="K672" s="41"/>
      <c r="L672" s="40"/>
      <c r="M672" s="42"/>
      <c r="N672" s="41"/>
      <c r="O672" s="41"/>
      <c r="P672" s="41"/>
    </row>
    <row r="673" spans="1:16" ht="15.75" customHeight="1" x14ac:dyDescent="0.25">
      <c r="A673" s="37"/>
      <c r="B673" s="38"/>
      <c r="C673" s="39"/>
      <c r="D673" s="38"/>
      <c r="E673" s="39"/>
      <c r="F673" s="40"/>
      <c r="G673" s="38"/>
      <c r="H673" s="39"/>
      <c r="I673" s="41"/>
      <c r="J673" s="41"/>
      <c r="K673" s="41"/>
      <c r="L673" s="40"/>
      <c r="M673" s="42"/>
      <c r="N673" s="41"/>
      <c r="O673" s="41"/>
      <c r="P673" s="41"/>
    </row>
    <row r="674" spans="1:16" ht="15.75" customHeight="1" x14ac:dyDescent="0.25">
      <c r="A674" s="37"/>
      <c r="B674" s="38"/>
      <c r="C674" s="39"/>
      <c r="D674" s="38"/>
      <c r="E674" s="39"/>
      <c r="F674" s="40"/>
      <c r="G674" s="38"/>
      <c r="H674" s="39"/>
      <c r="I674" s="41"/>
      <c r="J674" s="41"/>
      <c r="K674" s="41"/>
      <c r="L674" s="40"/>
      <c r="M674" s="42"/>
      <c r="N674" s="41"/>
      <c r="O674" s="41"/>
      <c r="P674" s="41"/>
    </row>
    <row r="675" spans="1:16" ht="15.75" customHeight="1" x14ac:dyDescent="0.25">
      <c r="A675" s="37"/>
      <c r="B675" s="38"/>
      <c r="C675" s="39"/>
      <c r="D675" s="38"/>
      <c r="E675" s="39"/>
      <c r="F675" s="40"/>
      <c r="G675" s="38"/>
      <c r="H675" s="39"/>
      <c r="I675" s="41"/>
      <c r="J675" s="41"/>
      <c r="K675" s="41"/>
      <c r="L675" s="40"/>
      <c r="M675" s="42"/>
      <c r="N675" s="41"/>
      <c r="O675" s="41"/>
      <c r="P675" s="41"/>
    </row>
    <row r="676" spans="1:16" ht="15.75" customHeight="1" x14ac:dyDescent="0.25">
      <c r="A676" s="37"/>
      <c r="B676" s="38"/>
      <c r="C676" s="39"/>
      <c r="D676" s="38"/>
      <c r="E676" s="39"/>
      <c r="F676" s="40"/>
      <c r="G676" s="38"/>
      <c r="H676" s="39"/>
      <c r="I676" s="41"/>
      <c r="J676" s="41"/>
      <c r="K676" s="41"/>
      <c r="L676" s="40"/>
      <c r="M676" s="42"/>
      <c r="N676" s="41"/>
      <c r="O676" s="41"/>
      <c r="P676" s="41"/>
    </row>
    <row r="677" spans="1:16" ht="15.75" customHeight="1" x14ac:dyDescent="0.25">
      <c r="A677" s="37"/>
      <c r="B677" s="38"/>
      <c r="C677" s="39"/>
      <c r="D677" s="38"/>
      <c r="E677" s="39"/>
      <c r="F677" s="40"/>
      <c r="G677" s="38"/>
      <c r="H677" s="39"/>
      <c r="I677" s="41"/>
      <c r="J677" s="41"/>
      <c r="K677" s="41"/>
      <c r="L677" s="40"/>
      <c r="M677" s="42"/>
      <c r="N677" s="41"/>
      <c r="O677" s="41"/>
      <c r="P677" s="41"/>
    </row>
    <row r="678" spans="1:16" ht="15.75" customHeight="1" x14ac:dyDescent="0.25">
      <c r="A678" s="37"/>
      <c r="B678" s="38"/>
      <c r="C678" s="39"/>
      <c r="D678" s="38"/>
      <c r="E678" s="39"/>
      <c r="F678" s="40"/>
      <c r="G678" s="38"/>
      <c r="H678" s="39"/>
      <c r="I678" s="41"/>
      <c r="J678" s="41"/>
      <c r="K678" s="41"/>
      <c r="L678" s="40"/>
      <c r="M678" s="42"/>
      <c r="N678" s="41"/>
      <c r="O678" s="41"/>
      <c r="P678" s="41"/>
    </row>
    <row r="679" spans="1:16" ht="15.75" customHeight="1" x14ac:dyDescent="0.25">
      <c r="A679" s="37"/>
      <c r="B679" s="38"/>
      <c r="C679" s="39"/>
      <c r="D679" s="38"/>
      <c r="E679" s="39"/>
      <c r="F679" s="40"/>
      <c r="G679" s="38"/>
      <c r="H679" s="39"/>
      <c r="I679" s="41"/>
      <c r="J679" s="41"/>
      <c r="K679" s="41"/>
      <c r="L679" s="40"/>
      <c r="M679" s="42"/>
      <c r="N679" s="41"/>
      <c r="O679" s="41"/>
      <c r="P679" s="41"/>
    </row>
    <row r="680" spans="1:16" ht="15.75" customHeight="1" x14ac:dyDescent="0.25">
      <c r="A680" s="37"/>
      <c r="B680" s="38"/>
      <c r="C680" s="39"/>
      <c r="D680" s="38"/>
      <c r="E680" s="39"/>
      <c r="F680" s="40"/>
      <c r="G680" s="38"/>
      <c r="H680" s="39"/>
      <c r="I680" s="41"/>
      <c r="J680" s="41"/>
      <c r="K680" s="41"/>
      <c r="L680" s="40"/>
      <c r="M680" s="42"/>
      <c r="N680" s="41"/>
      <c r="O680" s="41"/>
      <c r="P680" s="41"/>
    </row>
    <row r="681" spans="1:16" ht="15.75" customHeight="1" x14ac:dyDescent="0.25">
      <c r="A681" s="37"/>
      <c r="B681" s="38"/>
      <c r="C681" s="39"/>
      <c r="D681" s="38"/>
      <c r="E681" s="39"/>
      <c r="F681" s="40"/>
      <c r="G681" s="38"/>
      <c r="H681" s="39"/>
      <c r="I681" s="41"/>
      <c r="J681" s="41"/>
      <c r="K681" s="41"/>
      <c r="L681" s="40"/>
      <c r="M681" s="42"/>
      <c r="N681" s="41"/>
      <c r="O681" s="41"/>
      <c r="P681" s="41"/>
    </row>
    <row r="682" spans="1:16" ht="15.75" customHeight="1" x14ac:dyDescent="0.25">
      <c r="A682" s="37"/>
      <c r="B682" s="38"/>
      <c r="C682" s="39"/>
      <c r="D682" s="38"/>
      <c r="E682" s="39"/>
      <c r="F682" s="40"/>
      <c r="G682" s="38"/>
      <c r="H682" s="39"/>
      <c r="I682" s="41"/>
      <c r="J682" s="41"/>
      <c r="K682" s="41"/>
      <c r="L682" s="40"/>
      <c r="M682" s="42"/>
      <c r="N682" s="41"/>
      <c r="O682" s="41"/>
      <c r="P682" s="41"/>
    </row>
    <row r="683" spans="1:16" ht="15.75" customHeight="1" x14ac:dyDescent="0.25">
      <c r="A683" s="37"/>
      <c r="B683" s="38"/>
      <c r="C683" s="39"/>
      <c r="D683" s="38"/>
      <c r="E683" s="39"/>
      <c r="F683" s="40"/>
      <c r="G683" s="38"/>
      <c r="H683" s="39"/>
      <c r="I683" s="41"/>
      <c r="J683" s="41"/>
      <c r="K683" s="41"/>
      <c r="L683" s="40"/>
      <c r="M683" s="42"/>
      <c r="N683" s="41"/>
      <c r="O683" s="41"/>
      <c r="P683" s="41"/>
    </row>
    <row r="684" spans="1:16" ht="15.75" customHeight="1" x14ac:dyDescent="0.25">
      <c r="A684" s="37"/>
      <c r="B684" s="38"/>
      <c r="C684" s="39"/>
      <c r="D684" s="38"/>
      <c r="E684" s="39"/>
      <c r="F684" s="40"/>
      <c r="G684" s="38"/>
      <c r="H684" s="39"/>
      <c r="I684" s="41"/>
      <c r="J684" s="41"/>
      <c r="K684" s="41"/>
      <c r="L684" s="40"/>
      <c r="M684" s="42"/>
      <c r="N684" s="41"/>
      <c r="O684" s="41"/>
      <c r="P684" s="41"/>
    </row>
    <row r="685" spans="1:16" ht="15.75" customHeight="1" x14ac:dyDescent="0.25">
      <c r="A685" s="37"/>
      <c r="B685" s="38"/>
      <c r="C685" s="39"/>
      <c r="D685" s="38"/>
      <c r="E685" s="39"/>
      <c r="F685" s="40"/>
      <c r="G685" s="38"/>
      <c r="H685" s="39"/>
      <c r="I685" s="41"/>
      <c r="J685" s="41"/>
      <c r="K685" s="41"/>
      <c r="L685" s="40"/>
      <c r="M685" s="42"/>
      <c r="N685" s="41"/>
      <c r="O685" s="41"/>
      <c r="P685" s="41"/>
    </row>
    <row r="686" spans="1:16" ht="15.75" customHeight="1" x14ac:dyDescent="0.25">
      <c r="A686" s="37"/>
      <c r="B686" s="38"/>
      <c r="C686" s="39"/>
      <c r="D686" s="38"/>
      <c r="E686" s="39"/>
      <c r="F686" s="40"/>
      <c r="G686" s="38"/>
      <c r="H686" s="39"/>
      <c r="I686" s="41"/>
      <c r="J686" s="41"/>
      <c r="K686" s="41"/>
      <c r="L686" s="40"/>
      <c r="M686" s="42"/>
      <c r="N686" s="41"/>
      <c r="O686" s="41"/>
      <c r="P686" s="41"/>
    </row>
    <row r="687" spans="1:16" ht="15.75" customHeight="1" x14ac:dyDescent="0.25">
      <c r="A687" s="37"/>
      <c r="B687" s="38"/>
      <c r="C687" s="39"/>
      <c r="D687" s="38"/>
      <c r="E687" s="39"/>
      <c r="F687" s="40"/>
      <c r="G687" s="38"/>
      <c r="H687" s="39"/>
      <c r="I687" s="41"/>
      <c r="J687" s="41"/>
      <c r="K687" s="41"/>
      <c r="L687" s="40"/>
      <c r="M687" s="42"/>
      <c r="N687" s="41"/>
      <c r="O687" s="41"/>
      <c r="P687" s="41"/>
    </row>
    <row r="688" spans="1:16" ht="15.75" customHeight="1" x14ac:dyDescent="0.25">
      <c r="A688" s="37"/>
      <c r="B688" s="38"/>
      <c r="C688" s="39"/>
      <c r="D688" s="38"/>
      <c r="E688" s="39"/>
      <c r="F688" s="40"/>
      <c r="G688" s="38"/>
      <c r="H688" s="39"/>
      <c r="I688" s="41"/>
      <c r="J688" s="41"/>
      <c r="K688" s="41"/>
      <c r="L688" s="40"/>
      <c r="M688" s="42"/>
      <c r="N688" s="41"/>
      <c r="O688" s="41"/>
      <c r="P688" s="41"/>
    </row>
    <row r="689" spans="1:16" ht="15.75" customHeight="1" x14ac:dyDescent="0.25">
      <c r="A689" s="37"/>
      <c r="B689" s="38"/>
      <c r="C689" s="39"/>
      <c r="D689" s="38"/>
      <c r="E689" s="39"/>
      <c r="F689" s="40"/>
      <c r="G689" s="38"/>
      <c r="H689" s="39"/>
      <c r="I689" s="41"/>
      <c r="J689" s="41"/>
      <c r="K689" s="41"/>
      <c r="L689" s="40"/>
      <c r="M689" s="42"/>
      <c r="N689" s="41"/>
      <c r="O689" s="41"/>
      <c r="P689" s="41"/>
    </row>
    <row r="690" spans="1:16" ht="15.75" customHeight="1" x14ac:dyDescent="0.25">
      <c r="A690" s="37"/>
      <c r="B690" s="38"/>
      <c r="C690" s="39"/>
      <c r="D690" s="38"/>
      <c r="E690" s="39"/>
      <c r="F690" s="40"/>
      <c r="G690" s="38"/>
      <c r="H690" s="39"/>
      <c r="I690" s="41"/>
      <c r="J690" s="41"/>
      <c r="K690" s="41"/>
      <c r="L690" s="40"/>
      <c r="M690" s="42"/>
      <c r="N690" s="41"/>
      <c r="O690" s="41"/>
      <c r="P690" s="41"/>
    </row>
    <row r="691" spans="1:16" ht="15.75" customHeight="1" x14ac:dyDescent="0.25">
      <c r="A691" s="37"/>
      <c r="B691" s="38"/>
      <c r="C691" s="39"/>
      <c r="D691" s="38"/>
      <c r="E691" s="39"/>
      <c r="F691" s="40"/>
      <c r="G691" s="38"/>
      <c r="H691" s="39"/>
      <c r="I691" s="41"/>
      <c r="J691" s="41"/>
      <c r="K691" s="41"/>
      <c r="L691" s="40"/>
      <c r="M691" s="42"/>
      <c r="N691" s="41"/>
      <c r="O691" s="41"/>
      <c r="P691" s="41"/>
    </row>
    <row r="692" spans="1:16" ht="15.75" customHeight="1" x14ac:dyDescent="0.25">
      <c r="A692" s="37"/>
      <c r="B692" s="38"/>
      <c r="C692" s="39"/>
      <c r="D692" s="38"/>
      <c r="E692" s="39"/>
      <c r="F692" s="40"/>
      <c r="G692" s="38"/>
      <c r="H692" s="39"/>
      <c r="I692" s="41"/>
      <c r="J692" s="41"/>
      <c r="K692" s="41"/>
      <c r="L692" s="40"/>
      <c r="M692" s="42"/>
      <c r="N692" s="41"/>
      <c r="O692" s="41"/>
      <c r="P692" s="41"/>
    </row>
    <row r="693" spans="1:16" ht="15.75" customHeight="1" x14ac:dyDescent="0.25">
      <c r="A693" s="37"/>
      <c r="B693" s="38"/>
      <c r="C693" s="39"/>
      <c r="D693" s="38"/>
      <c r="E693" s="39"/>
      <c r="F693" s="40"/>
      <c r="G693" s="38"/>
      <c r="H693" s="39"/>
      <c r="I693" s="41"/>
      <c r="J693" s="41"/>
      <c r="K693" s="41"/>
      <c r="L693" s="40"/>
      <c r="M693" s="42"/>
      <c r="N693" s="41"/>
      <c r="O693" s="41"/>
      <c r="P693" s="41"/>
    </row>
    <row r="694" spans="1:16" ht="15.75" customHeight="1" x14ac:dyDescent="0.25">
      <c r="A694" s="37"/>
      <c r="B694" s="38"/>
      <c r="C694" s="39"/>
      <c r="D694" s="38"/>
      <c r="E694" s="39"/>
      <c r="F694" s="40"/>
      <c r="G694" s="38"/>
      <c r="H694" s="39"/>
      <c r="I694" s="41"/>
      <c r="J694" s="41"/>
      <c r="K694" s="41"/>
      <c r="L694" s="40"/>
      <c r="M694" s="42"/>
      <c r="N694" s="41"/>
      <c r="O694" s="41"/>
      <c r="P694" s="41"/>
    </row>
    <row r="695" spans="1:16" ht="15.75" customHeight="1" x14ac:dyDescent="0.25">
      <c r="A695" s="37"/>
      <c r="B695" s="38"/>
      <c r="C695" s="39"/>
      <c r="D695" s="38"/>
      <c r="E695" s="39"/>
      <c r="F695" s="40"/>
      <c r="G695" s="38"/>
      <c r="H695" s="39"/>
      <c r="I695" s="41"/>
      <c r="J695" s="41"/>
      <c r="K695" s="41"/>
      <c r="L695" s="40"/>
      <c r="M695" s="42"/>
      <c r="N695" s="41"/>
      <c r="O695" s="41"/>
      <c r="P695" s="41"/>
    </row>
    <row r="696" spans="1:16" ht="15.75" customHeight="1" x14ac:dyDescent="0.25">
      <c r="A696" s="37"/>
      <c r="B696" s="38"/>
      <c r="C696" s="39"/>
      <c r="D696" s="38"/>
      <c r="E696" s="39"/>
      <c r="F696" s="40"/>
      <c r="G696" s="38"/>
      <c r="H696" s="39"/>
      <c r="I696" s="41"/>
      <c r="J696" s="41"/>
      <c r="K696" s="41"/>
      <c r="L696" s="40"/>
      <c r="M696" s="42"/>
      <c r="N696" s="41"/>
      <c r="O696" s="41"/>
      <c r="P696" s="41"/>
    </row>
    <row r="697" spans="1:16" ht="15.75" customHeight="1" x14ac:dyDescent="0.25">
      <c r="A697" s="37"/>
      <c r="B697" s="38"/>
      <c r="C697" s="39"/>
      <c r="D697" s="38"/>
      <c r="E697" s="39"/>
      <c r="F697" s="40"/>
      <c r="G697" s="38"/>
      <c r="H697" s="39"/>
      <c r="I697" s="41"/>
      <c r="J697" s="41"/>
      <c r="K697" s="41"/>
      <c r="L697" s="40"/>
      <c r="M697" s="42"/>
      <c r="N697" s="41"/>
      <c r="O697" s="41"/>
      <c r="P697" s="41"/>
    </row>
    <row r="698" spans="1:16" ht="15.75" customHeight="1" x14ac:dyDescent="0.25">
      <c r="A698" s="37"/>
      <c r="B698" s="38"/>
      <c r="C698" s="39"/>
      <c r="D698" s="38"/>
      <c r="E698" s="39"/>
      <c r="F698" s="40"/>
      <c r="G698" s="38"/>
      <c r="H698" s="39"/>
      <c r="I698" s="41"/>
      <c r="J698" s="41"/>
      <c r="K698" s="41"/>
      <c r="L698" s="40"/>
      <c r="M698" s="42"/>
      <c r="N698" s="41"/>
      <c r="O698" s="41"/>
      <c r="P698" s="41"/>
    </row>
    <row r="699" spans="1:16" ht="15.75" customHeight="1" x14ac:dyDescent="0.25">
      <c r="A699" s="37"/>
      <c r="B699" s="38"/>
      <c r="C699" s="39"/>
      <c r="D699" s="38"/>
      <c r="E699" s="39"/>
      <c r="F699" s="40"/>
      <c r="G699" s="38"/>
      <c r="H699" s="39"/>
      <c r="I699" s="41"/>
      <c r="J699" s="41"/>
      <c r="K699" s="41"/>
      <c r="L699" s="40"/>
      <c r="M699" s="42"/>
      <c r="N699" s="41"/>
      <c r="O699" s="41"/>
      <c r="P699" s="41"/>
    </row>
    <row r="700" spans="1:16" ht="15.75" customHeight="1" x14ac:dyDescent="0.25">
      <c r="A700" s="37"/>
      <c r="B700" s="38"/>
      <c r="C700" s="39"/>
      <c r="D700" s="38"/>
      <c r="E700" s="39"/>
      <c r="F700" s="40"/>
      <c r="G700" s="38"/>
      <c r="H700" s="39"/>
      <c r="I700" s="41"/>
      <c r="J700" s="41"/>
      <c r="K700" s="41"/>
      <c r="L700" s="40"/>
      <c r="M700" s="42"/>
      <c r="N700" s="41"/>
      <c r="O700" s="41"/>
      <c r="P700" s="41"/>
    </row>
    <row r="701" spans="1:16" ht="15.75" customHeight="1" x14ac:dyDescent="0.25">
      <c r="A701" s="37"/>
      <c r="B701" s="38"/>
      <c r="C701" s="39"/>
      <c r="D701" s="38"/>
      <c r="E701" s="39"/>
      <c r="F701" s="40"/>
      <c r="G701" s="38"/>
      <c r="H701" s="39"/>
      <c r="I701" s="41"/>
      <c r="J701" s="41"/>
      <c r="K701" s="41"/>
      <c r="L701" s="40"/>
      <c r="M701" s="42"/>
      <c r="N701" s="41"/>
      <c r="O701" s="41"/>
      <c r="P701" s="41"/>
    </row>
    <row r="702" spans="1:16" ht="15.75" customHeight="1" x14ac:dyDescent="0.25">
      <c r="A702" s="37"/>
      <c r="B702" s="38"/>
      <c r="C702" s="39"/>
      <c r="D702" s="38"/>
      <c r="E702" s="39"/>
      <c r="F702" s="40"/>
      <c r="G702" s="38"/>
      <c r="H702" s="39"/>
      <c r="I702" s="41"/>
      <c r="J702" s="41"/>
      <c r="K702" s="41"/>
      <c r="L702" s="40"/>
      <c r="M702" s="42"/>
      <c r="N702" s="41"/>
      <c r="O702" s="41"/>
      <c r="P702" s="41"/>
    </row>
    <row r="703" spans="1:16" ht="15.75" customHeight="1" x14ac:dyDescent="0.25">
      <c r="A703" s="37"/>
      <c r="B703" s="38"/>
      <c r="C703" s="39"/>
      <c r="D703" s="38"/>
      <c r="E703" s="39"/>
      <c r="F703" s="40"/>
      <c r="G703" s="38"/>
      <c r="H703" s="39"/>
      <c r="I703" s="41"/>
      <c r="J703" s="41"/>
      <c r="K703" s="41"/>
      <c r="L703" s="40"/>
      <c r="M703" s="42"/>
      <c r="N703" s="41"/>
      <c r="O703" s="41"/>
      <c r="P703" s="41"/>
    </row>
    <row r="704" spans="1:16" ht="15.75" customHeight="1" x14ac:dyDescent="0.25">
      <c r="A704" s="37"/>
      <c r="B704" s="38"/>
      <c r="C704" s="39"/>
      <c r="D704" s="38"/>
      <c r="E704" s="39"/>
      <c r="F704" s="40"/>
      <c r="G704" s="38"/>
      <c r="H704" s="39"/>
      <c r="I704" s="41"/>
      <c r="J704" s="41"/>
      <c r="K704" s="41"/>
      <c r="L704" s="40"/>
      <c r="M704" s="42"/>
      <c r="N704" s="41"/>
      <c r="O704" s="41"/>
      <c r="P704" s="41"/>
    </row>
    <row r="705" spans="1:16" ht="15.75" customHeight="1" x14ac:dyDescent="0.25">
      <c r="A705" s="37"/>
      <c r="B705" s="38"/>
      <c r="C705" s="39"/>
      <c r="D705" s="38"/>
      <c r="E705" s="39"/>
      <c r="F705" s="40"/>
      <c r="G705" s="38"/>
      <c r="H705" s="39"/>
      <c r="I705" s="41"/>
      <c r="J705" s="41"/>
      <c r="K705" s="41"/>
      <c r="L705" s="40"/>
      <c r="M705" s="42"/>
      <c r="N705" s="41"/>
      <c r="O705" s="41"/>
      <c r="P705" s="41"/>
    </row>
    <row r="706" spans="1:16" ht="15.75" customHeight="1" x14ac:dyDescent="0.25">
      <c r="A706" s="37"/>
      <c r="B706" s="38"/>
      <c r="C706" s="39"/>
      <c r="D706" s="38"/>
      <c r="E706" s="39"/>
      <c r="F706" s="40"/>
      <c r="G706" s="38"/>
      <c r="H706" s="39"/>
      <c r="I706" s="41"/>
      <c r="J706" s="41"/>
      <c r="K706" s="41"/>
      <c r="L706" s="40"/>
      <c r="M706" s="42"/>
      <c r="N706" s="41"/>
      <c r="O706" s="41"/>
      <c r="P706" s="41"/>
    </row>
    <row r="707" spans="1:16" ht="15.75" customHeight="1" x14ac:dyDescent="0.25">
      <c r="A707" s="37"/>
      <c r="B707" s="38"/>
      <c r="C707" s="39"/>
      <c r="D707" s="38"/>
      <c r="E707" s="39"/>
      <c r="F707" s="40"/>
      <c r="G707" s="38"/>
      <c r="H707" s="39"/>
      <c r="I707" s="41"/>
      <c r="J707" s="41"/>
      <c r="K707" s="41"/>
      <c r="L707" s="40"/>
      <c r="M707" s="42"/>
      <c r="N707" s="41"/>
      <c r="O707" s="41"/>
      <c r="P707" s="41"/>
    </row>
    <row r="708" spans="1:16" ht="15.75" customHeight="1" x14ac:dyDescent="0.25">
      <c r="A708" s="37"/>
      <c r="B708" s="38"/>
      <c r="C708" s="39"/>
      <c r="D708" s="38"/>
      <c r="E708" s="39"/>
      <c r="F708" s="40"/>
      <c r="G708" s="38"/>
      <c r="H708" s="39"/>
      <c r="I708" s="41"/>
      <c r="J708" s="41"/>
      <c r="K708" s="41"/>
      <c r="L708" s="40"/>
      <c r="M708" s="42"/>
      <c r="N708" s="41"/>
      <c r="O708" s="41"/>
      <c r="P708" s="41"/>
    </row>
    <row r="709" spans="1:16" ht="15.75" customHeight="1" x14ac:dyDescent="0.25">
      <c r="A709" s="37"/>
      <c r="B709" s="38"/>
      <c r="C709" s="39"/>
      <c r="D709" s="38"/>
      <c r="E709" s="39"/>
      <c r="F709" s="40"/>
      <c r="G709" s="38"/>
      <c r="H709" s="39"/>
      <c r="I709" s="41"/>
      <c r="J709" s="41"/>
      <c r="K709" s="41"/>
      <c r="L709" s="40"/>
      <c r="M709" s="42"/>
      <c r="N709" s="41"/>
      <c r="O709" s="41"/>
      <c r="P709" s="41"/>
    </row>
    <row r="710" spans="1:16" ht="15.75" customHeight="1" x14ac:dyDescent="0.25">
      <c r="A710" s="37"/>
      <c r="B710" s="38"/>
      <c r="C710" s="39"/>
      <c r="D710" s="38"/>
      <c r="E710" s="39"/>
      <c r="F710" s="40"/>
      <c r="G710" s="38"/>
      <c r="H710" s="39"/>
      <c r="I710" s="41"/>
      <c r="J710" s="41"/>
      <c r="K710" s="41"/>
      <c r="L710" s="40"/>
      <c r="M710" s="42"/>
      <c r="N710" s="41"/>
      <c r="O710" s="41"/>
      <c r="P710" s="41"/>
    </row>
    <row r="711" spans="1:16" ht="15.75" customHeight="1" x14ac:dyDescent="0.25">
      <c r="A711" s="37"/>
      <c r="B711" s="38"/>
      <c r="C711" s="39"/>
      <c r="D711" s="38"/>
      <c r="E711" s="39"/>
      <c r="F711" s="40"/>
      <c r="G711" s="38"/>
      <c r="H711" s="39"/>
      <c r="I711" s="41"/>
      <c r="J711" s="41"/>
      <c r="K711" s="41"/>
      <c r="L711" s="40"/>
      <c r="M711" s="42"/>
      <c r="N711" s="41"/>
      <c r="O711" s="41"/>
      <c r="P711" s="41"/>
    </row>
    <row r="712" spans="1:16" ht="15.75" customHeight="1" x14ac:dyDescent="0.25">
      <c r="A712" s="37"/>
      <c r="B712" s="38"/>
      <c r="C712" s="39"/>
      <c r="D712" s="38"/>
      <c r="E712" s="39"/>
      <c r="F712" s="40"/>
      <c r="G712" s="38"/>
      <c r="H712" s="39"/>
      <c r="I712" s="41"/>
      <c r="J712" s="41"/>
      <c r="K712" s="41"/>
      <c r="L712" s="40"/>
      <c r="M712" s="42"/>
      <c r="N712" s="41"/>
      <c r="O712" s="41"/>
      <c r="P712" s="41"/>
    </row>
    <row r="713" spans="1:16" ht="15.75" customHeight="1" x14ac:dyDescent="0.25">
      <c r="A713" s="37"/>
      <c r="B713" s="38"/>
      <c r="C713" s="39"/>
      <c r="D713" s="38"/>
      <c r="E713" s="39"/>
      <c r="F713" s="40"/>
      <c r="G713" s="38"/>
      <c r="H713" s="39"/>
      <c r="I713" s="41"/>
      <c r="J713" s="41"/>
      <c r="K713" s="41"/>
      <c r="L713" s="40"/>
      <c r="M713" s="42"/>
      <c r="N713" s="41"/>
      <c r="O713" s="41"/>
      <c r="P713" s="41"/>
    </row>
    <row r="714" spans="1:16" ht="15.75" customHeight="1" x14ac:dyDescent="0.25">
      <c r="A714" s="37"/>
      <c r="B714" s="38"/>
      <c r="C714" s="39"/>
      <c r="D714" s="38"/>
      <c r="E714" s="39"/>
      <c r="F714" s="40"/>
      <c r="G714" s="38"/>
      <c r="H714" s="39"/>
      <c r="I714" s="41"/>
      <c r="J714" s="41"/>
      <c r="K714" s="41"/>
      <c r="L714" s="40"/>
      <c r="M714" s="42"/>
      <c r="N714" s="41"/>
      <c r="O714" s="41"/>
      <c r="P714" s="41"/>
    </row>
    <row r="715" spans="1:16" ht="15.75" customHeight="1" x14ac:dyDescent="0.25">
      <c r="A715" s="37"/>
      <c r="B715" s="38"/>
      <c r="C715" s="39"/>
      <c r="D715" s="38"/>
      <c r="E715" s="39"/>
      <c r="F715" s="40"/>
      <c r="G715" s="38"/>
      <c r="H715" s="39"/>
      <c r="I715" s="41"/>
      <c r="J715" s="41"/>
      <c r="K715" s="41"/>
      <c r="L715" s="40"/>
      <c r="M715" s="42"/>
      <c r="N715" s="41"/>
      <c r="O715" s="41"/>
      <c r="P715" s="41"/>
    </row>
    <row r="716" spans="1:16" ht="15.75" customHeight="1" x14ac:dyDescent="0.25">
      <c r="A716" s="37"/>
      <c r="B716" s="38"/>
      <c r="C716" s="39"/>
      <c r="D716" s="38"/>
      <c r="E716" s="39"/>
      <c r="F716" s="40"/>
      <c r="G716" s="38"/>
      <c r="H716" s="39"/>
      <c r="I716" s="41"/>
      <c r="J716" s="41"/>
      <c r="K716" s="41"/>
      <c r="L716" s="40"/>
      <c r="M716" s="42"/>
      <c r="N716" s="41"/>
      <c r="O716" s="41"/>
      <c r="P716" s="41"/>
    </row>
    <row r="717" spans="1:16" ht="15.75" customHeight="1" x14ac:dyDescent="0.25">
      <c r="A717" s="37"/>
      <c r="B717" s="38"/>
      <c r="C717" s="39"/>
      <c r="D717" s="38"/>
      <c r="E717" s="39"/>
      <c r="F717" s="40"/>
      <c r="G717" s="38"/>
      <c r="H717" s="39"/>
      <c r="I717" s="41"/>
      <c r="J717" s="41"/>
      <c r="K717" s="41"/>
      <c r="L717" s="40"/>
      <c r="M717" s="42"/>
      <c r="N717" s="41"/>
      <c r="O717" s="41"/>
      <c r="P717" s="41"/>
    </row>
    <row r="718" spans="1:16" ht="15.75" customHeight="1" x14ac:dyDescent="0.25">
      <c r="A718" s="37"/>
      <c r="B718" s="38"/>
      <c r="C718" s="39"/>
      <c r="D718" s="38"/>
      <c r="E718" s="39"/>
      <c r="F718" s="40"/>
      <c r="G718" s="38"/>
      <c r="H718" s="39"/>
      <c r="I718" s="41"/>
      <c r="J718" s="41"/>
      <c r="K718" s="41"/>
      <c r="L718" s="40"/>
      <c r="M718" s="42"/>
      <c r="N718" s="41"/>
      <c r="O718" s="41"/>
      <c r="P718" s="41"/>
    </row>
    <row r="719" spans="1:16" ht="15.75" customHeight="1" x14ac:dyDescent="0.25">
      <c r="A719" s="37"/>
      <c r="B719" s="38"/>
      <c r="C719" s="39"/>
      <c r="D719" s="38"/>
      <c r="E719" s="39"/>
      <c r="F719" s="40"/>
      <c r="G719" s="38"/>
      <c r="H719" s="39"/>
      <c r="I719" s="41"/>
      <c r="J719" s="41"/>
      <c r="K719" s="41"/>
      <c r="L719" s="40"/>
      <c r="M719" s="42"/>
      <c r="N719" s="41"/>
      <c r="O719" s="41"/>
      <c r="P719" s="41"/>
    </row>
    <row r="720" spans="1:16" ht="15.75" customHeight="1" x14ac:dyDescent="0.25">
      <c r="A720" s="37"/>
      <c r="B720" s="38"/>
      <c r="C720" s="39"/>
      <c r="D720" s="38"/>
      <c r="E720" s="39"/>
      <c r="F720" s="40"/>
      <c r="G720" s="38"/>
      <c r="H720" s="39"/>
      <c r="I720" s="41"/>
      <c r="J720" s="41"/>
      <c r="K720" s="41"/>
      <c r="L720" s="40"/>
      <c r="M720" s="42"/>
      <c r="N720" s="41"/>
      <c r="O720" s="41"/>
      <c r="P720" s="41"/>
    </row>
    <row r="721" spans="1:16" ht="15.75" customHeight="1" x14ac:dyDescent="0.25">
      <c r="A721" s="37"/>
      <c r="B721" s="38"/>
      <c r="C721" s="39"/>
      <c r="D721" s="38"/>
      <c r="E721" s="39"/>
      <c r="F721" s="40"/>
      <c r="G721" s="38"/>
      <c r="H721" s="39"/>
      <c r="I721" s="41"/>
      <c r="J721" s="41"/>
      <c r="K721" s="41"/>
      <c r="L721" s="40"/>
      <c r="M721" s="42"/>
      <c r="N721" s="41"/>
      <c r="O721" s="41"/>
      <c r="P721" s="41"/>
    </row>
    <row r="722" spans="1:16" ht="15.75" customHeight="1" x14ac:dyDescent="0.25">
      <c r="A722" s="37"/>
      <c r="B722" s="38"/>
      <c r="C722" s="39"/>
      <c r="D722" s="38"/>
      <c r="E722" s="39"/>
      <c r="F722" s="40"/>
      <c r="G722" s="38"/>
      <c r="H722" s="39"/>
      <c r="I722" s="41"/>
      <c r="J722" s="41"/>
      <c r="K722" s="41"/>
      <c r="L722" s="40"/>
      <c r="M722" s="42"/>
      <c r="N722" s="41"/>
      <c r="O722" s="41"/>
      <c r="P722" s="41"/>
    </row>
    <row r="723" spans="1:16" ht="15.75" customHeight="1" x14ac:dyDescent="0.25">
      <c r="A723" s="37"/>
      <c r="B723" s="38"/>
      <c r="C723" s="39"/>
      <c r="D723" s="38"/>
      <c r="E723" s="39"/>
      <c r="F723" s="40"/>
      <c r="G723" s="38"/>
      <c r="H723" s="39"/>
      <c r="I723" s="41"/>
      <c r="J723" s="41"/>
      <c r="K723" s="41"/>
      <c r="L723" s="40"/>
      <c r="M723" s="42"/>
      <c r="N723" s="41"/>
      <c r="O723" s="41"/>
      <c r="P723" s="41"/>
    </row>
    <row r="724" spans="1:16" ht="15.75" customHeight="1" x14ac:dyDescent="0.25">
      <c r="A724" s="37"/>
      <c r="B724" s="38"/>
      <c r="C724" s="39"/>
      <c r="D724" s="38"/>
      <c r="E724" s="39"/>
      <c r="F724" s="40"/>
      <c r="G724" s="38"/>
      <c r="H724" s="39"/>
      <c r="I724" s="41"/>
      <c r="J724" s="41"/>
      <c r="K724" s="41"/>
      <c r="L724" s="40"/>
      <c r="M724" s="42"/>
      <c r="N724" s="41"/>
      <c r="O724" s="41"/>
      <c r="P724" s="41"/>
    </row>
    <row r="725" spans="1:16" ht="15.75" customHeight="1" x14ac:dyDescent="0.25">
      <c r="A725" s="37"/>
      <c r="B725" s="38"/>
      <c r="C725" s="39"/>
      <c r="D725" s="38"/>
      <c r="E725" s="39"/>
      <c r="F725" s="40"/>
      <c r="G725" s="38"/>
      <c r="H725" s="39"/>
      <c r="I725" s="41"/>
      <c r="J725" s="41"/>
      <c r="K725" s="41"/>
      <c r="L725" s="40"/>
      <c r="M725" s="42"/>
      <c r="N725" s="41"/>
      <c r="O725" s="41"/>
      <c r="P725" s="41"/>
    </row>
    <row r="726" spans="1:16" ht="15.75" customHeight="1" x14ac:dyDescent="0.25">
      <c r="A726" s="37"/>
      <c r="B726" s="38"/>
      <c r="C726" s="39"/>
      <c r="D726" s="38"/>
      <c r="E726" s="39"/>
      <c r="F726" s="40"/>
      <c r="G726" s="38"/>
      <c r="H726" s="39"/>
      <c r="I726" s="41"/>
      <c r="J726" s="41"/>
      <c r="K726" s="41"/>
      <c r="L726" s="40"/>
      <c r="M726" s="42"/>
      <c r="N726" s="41"/>
      <c r="O726" s="41"/>
      <c r="P726" s="41"/>
    </row>
    <row r="727" spans="1:16" ht="15.75" customHeight="1" x14ac:dyDescent="0.25">
      <c r="A727" s="37"/>
      <c r="B727" s="38"/>
      <c r="C727" s="39"/>
      <c r="D727" s="38"/>
      <c r="E727" s="39"/>
      <c r="F727" s="40"/>
      <c r="G727" s="38"/>
      <c r="H727" s="39"/>
      <c r="I727" s="41"/>
      <c r="J727" s="41"/>
      <c r="K727" s="41"/>
      <c r="L727" s="40"/>
      <c r="M727" s="42"/>
      <c r="N727" s="41"/>
      <c r="O727" s="41"/>
      <c r="P727" s="41"/>
    </row>
    <row r="728" spans="1:16" ht="15.75" customHeight="1" x14ac:dyDescent="0.25">
      <c r="A728" s="37"/>
      <c r="B728" s="38"/>
      <c r="C728" s="39"/>
      <c r="D728" s="38"/>
      <c r="E728" s="39"/>
      <c r="F728" s="40"/>
      <c r="G728" s="38"/>
      <c r="H728" s="39"/>
      <c r="I728" s="41"/>
      <c r="J728" s="41"/>
      <c r="K728" s="41"/>
      <c r="L728" s="40"/>
      <c r="M728" s="42"/>
      <c r="N728" s="41"/>
      <c r="O728" s="41"/>
      <c r="P728" s="41"/>
    </row>
    <row r="729" spans="1:16" ht="15.75" customHeight="1" x14ac:dyDescent="0.25">
      <c r="A729" s="37"/>
      <c r="B729" s="38"/>
      <c r="C729" s="39"/>
      <c r="D729" s="38"/>
      <c r="E729" s="39"/>
      <c r="F729" s="40"/>
      <c r="G729" s="38"/>
      <c r="H729" s="39"/>
      <c r="I729" s="41"/>
      <c r="J729" s="41"/>
      <c r="K729" s="41"/>
      <c r="L729" s="40"/>
      <c r="M729" s="42"/>
      <c r="N729" s="41"/>
      <c r="O729" s="41"/>
      <c r="P729" s="41"/>
    </row>
    <row r="730" spans="1:16" ht="15.75" customHeight="1" x14ac:dyDescent="0.25">
      <c r="A730" s="37"/>
      <c r="B730" s="38"/>
      <c r="C730" s="39"/>
      <c r="D730" s="38"/>
      <c r="E730" s="39"/>
      <c r="F730" s="40"/>
      <c r="G730" s="38"/>
      <c r="H730" s="39"/>
      <c r="I730" s="41"/>
      <c r="J730" s="41"/>
      <c r="K730" s="41"/>
      <c r="L730" s="40"/>
      <c r="M730" s="42"/>
      <c r="N730" s="41"/>
      <c r="O730" s="41"/>
      <c r="P730" s="41"/>
    </row>
    <row r="731" spans="1:16" ht="15.75" customHeight="1" x14ac:dyDescent="0.25">
      <c r="A731" s="37"/>
      <c r="B731" s="38"/>
      <c r="C731" s="39"/>
      <c r="D731" s="38"/>
      <c r="E731" s="39"/>
      <c r="F731" s="40"/>
      <c r="G731" s="38"/>
      <c r="H731" s="39"/>
      <c r="I731" s="41"/>
      <c r="J731" s="41"/>
      <c r="K731" s="41"/>
      <c r="L731" s="40"/>
      <c r="M731" s="42"/>
      <c r="N731" s="41"/>
      <c r="O731" s="41"/>
      <c r="P731" s="41"/>
    </row>
    <row r="732" spans="1:16" ht="15.75" customHeight="1" x14ac:dyDescent="0.25">
      <c r="A732" s="37"/>
      <c r="B732" s="38"/>
      <c r="C732" s="39"/>
      <c r="D732" s="38"/>
      <c r="E732" s="39"/>
      <c r="F732" s="40"/>
      <c r="G732" s="38"/>
      <c r="H732" s="39"/>
      <c r="I732" s="41"/>
      <c r="J732" s="41"/>
      <c r="K732" s="41"/>
      <c r="L732" s="40"/>
      <c r="M732" s="42"/>
      <c r="N732" s="41"/>
      <c r="O732" s="41"/>
      <c r="P732" s="41"/>
    </row>
    <row r="733" spans="1:16" ht="15.75" customHeight="1" x14ac:dyDescent="0.25">
      <c r="A733" s="37"/>
      <c r="B733" s="38"/>
      <c r="C733" s="39"/>
      <c r="D733" s="38"/>
      <c r="E733" s="39"/>
      <c r="F733" s="40"/>
      <c r="G733" s="38"/>
      <c r="H733" s="39"/>
      <c r="I733" s="41"/>
      <c r="J733" s="41"/>
      <c r="K733" s="41"/>
      <c r="L733" s="40"/>
      <c r="M733" s="42"/>
      <c r="N733" s="41"/>
      <c r="O733" s="41"/>
      <c r="P733" s="41"/>
    </row>
    <row r="734" spans="1:16" ht="15.75" customHeight="1" x14ac:dyDescent="0.25">
      <c r="A734" s="37"/>
      <c r="B734" s="38"/>
      <c r="C734" s="39"/>
      <c r="D734" s="38"/>
      <c r="E734" s="39"/>
      <c r="F734" s="40"/>
      <c r="G734" s="38"/>
      <c r="H734" s="39"/>
      <c r="I734" s="41"/>
      <c r="J734" s="41"/>
      <c r="K734" s="41"/>
      <c r="L734" s="40"/>
      <c r="M734" s="42"/>
      <c r="N734" s="41"/>
      <c r="O734" s="41"/>
      <c r="P734" s="41"/>
    </row>
    <row r="735" spans="1:16" ht="15.75" customHeight="1" x14ac:dyDescent="0.25">
      <c r="A735" s="37"/>
      <c r="B735" s="38"/>
      <c r="C735" s="39"/>
      <c r="D735" s="38"/>
      <c r="E735" s="39"/>
      <c r="F735" s="40"/>
      <c r="G735" s="38"/>
      <c r="H735" s="39"/>
      <c r="I735" s="41"/>
      <c r="J735" s="41"/>
      <c r="K735" s="41"/>
      <c r="L735" s="40"/>
      <c r="M735" s="42"/>
      <c r="N735" s="41"/>
      <c r="O735" s="41"/>
      <c r="P735" s="41"/>
    </row>
    <row r="736" spans="1:16" ht="15.75" customHeight="1" x14ac:dyDescent="0.25">
      <c r="A736" s="37"/>
      <c r="B736" s="38"/>
      <c r="C736" s="39"/>
      <c r="D736" s="38"/>
      <c r="E736" s="39"/>
      <c r="F736" s="40"/>
      <c r="G736" s="38"/>
      <c r="H736" s="39"/>
      <c r="I736" s="41"/>
      <c r="J736" s="41"/>
      <c r="K736" s="41"/>
      <c r="L736" s="40"/>
      <c r="M736" s="42"/>
      <c r="N736" s="41"/>
      <c r="O736" s="41"/>
      <c r="P736" s="41"/>
    </row>
    <row r="737" spans="1:16" ht="15.75" customHeight="1" x14ac:dyDescent="0.25">
      <c r="A737" s="37"/>
      <c r="B737" s="38"/>
      <c r="C737" s="39"/>
      <c r="D737" s="38"/>
      <c r="E737" s="39"/>
      <c r="F737" s="40"/>
      <c r="G737" s="38"/>
      <c r="H737" s="39"/>
      <c r="I737" s="41"/>
      <c r="J737" s="41"/>
      <c r="K737" s="41"/>
      <c r="L737" s="40"/>
      <c r="M737" s="42"/>
      <c r="N737" s="41"/>
      <c r="O737" s="41"/>
      <c r="P737" s="41"/>
    </row>
    <row r="738" spans="1:16" ht="15.75" customHeight="1" x14ac:dyDescent="0.25">
      <c r="A738" s="37"/>
      <c r="B738" s="38"/>
      <c r="C738" s="39"/>
      <c r="D738" s="38"/>
      <c r="E738" s="39"/>
      <c r="F738" s="40"/>
      <c r="G738" s="38"/>
      <c r="H738" s="39"/>
      <c r="I738" s="41"/>
      <c r="J738" s="41"/>
      <c r="K738" s="41"/>
      <c r="L738" s="40"/>
      <c r="M738" s="42"/>
      <c r="N738" s="41"/>
      <c r="O738" s="41"/>
      <c r="P738" s="41"/>
    </row>
    <row r="739" spans="1:16" ht="15.75" customHeight="1" x14ac:dyDescent="0.25">
      <c r="A739" s="37"/>
      <c r="B739" s="38"/>
      <c r="C739" s="39"/>
      <c r="D739" s="38"/>
      <c r="E739" s="39"/>
      <c r="F739" s="40"/>
      <c r="G739" s="38"/>
      <c r="H739" s="39"/>
      <c r="I739" s="41"/>
      <c r="J739" s="41"/>
      <c r="K739" s="41"/>
      <c r="L739" s="40"/>
      <c r="M739" s="42"/>
      <c r="N739" s="41"/>
      <c r="O739" s="41"/>
      <c r="P739" s="41"/>
    </row>
    <row r="740" spans="1:16" ht="15.75" customHeight="1" x14ac:dyDescent="0.25">
      <c r="A740" s="37"/>
      <c r="B740" s="38"/>
      <c r="C740" s="39"/>
      <c r="D740" s="38"/>
      <c r="E740" s="39"/>
      <c r="F740" s="40"/>
      <c r="G740" s="38"/>
      <c r="H740" s="39"/>
      <c r="I740" s="41"/>
      <c r="J740" s="41"/>
      <c r="K740" s="41"/>
      <c r="L740" s="40"/>
      <c r="M740" s="42"/>
      <c r="N740" s="41"/>
      <c r="O740" s="41"/>
      <c r="P740" s="41"/>
    </row>
    <row r="741" spans="1:16" ht="15.75" customHeight="1" x14ac:dyDescent="0.25">
      <c r="A741" s="37"/>
      <c r="B741" s="38"/>
      <c r="C741" s="39"/>
      <c r="D741" s="38"/>
      <c r="E741" s="39"/>
      <c r="F741" s="40"/>
      <c r="G741" s="38"/>
      <c r="H741" s="39"/>
      <c r="I741" s="41"/>
      <c r="J741" s="41"/>
      <c r="K741" s="41"/>
      <c r="L741" s="40"/>
      <c r="M741" s="42"/>
      <c r="N741" s="41"/>
      <c r="O741" s="41"/>
      <c r="P741" s="41"/>
    </row>
    <row r="742" spans="1:16" ht="15.75" customHeight="1" x14ac:dyDescent="0.25">
      <c r="A742" s="37"/>
      <c r="B742" s="38"/>
      <c r="C742" s="39"/>
      <c r="D742" s="38"/>
      <c r="E742" s="39"/>
      <c r="F742" s="40"/>
      <c r="G742" s="38"/>
      <c r="H742" s="39"/>
      <c r="I742" s="41"/>
      <c r="J742" s="41"/>
      <c r="K742" s="41"/>
      <c r="L742" s="40"/>
      <c r="M742" s="42"/>
      <c r="N742" s="41"/>
      <c r="O742" s="41"/>
      <c r="P742" s="41"/>
    </row>
    <row r="743" spans="1:16" ht="15.75" customHeight="1" x14ac:dyDescent="0.25">
      <c r="A743" s="37"/>
      <c r="B743" s="38"/>
      <c r="C743" s="39"/>
      <c r="D743" s="38"/>
      <c r="E743" s="39"/>
      <c r="F743" s="40"/>
      <c r="G743" s="38"/>
      <c r="H743" s="39"/>
      <c r="I743" s="41"/>
      <c r="J743" s="41"/>
      <c r="K743" s="41"/>
      <c r="L743" s="40"/>
      <c r="M743" s="42"/>
      <c r="N743" s="41"/>
      <c r="O743" s="41"/>
      <c r="P743" s="41"/>
    </row>
    <row r="744" spans="1:16" ht="15.75" customHeight="1" x14ac:dyDescent="0.25">
      <c r="A744" s="37"/>
      <c r="B744" s="38"/>
      <c r="C744" s="39"/>
      <c r="D744" s="38"/>
      <c r="E744" s="39"/>
      <c r="F744" s="40"/>
      <c r="G744" s="38"/>
      <c r="H744" s="39"/>
      <c r="I744" s="41"/>
      <c r="J744" s="41"/>
      <c r="K744" s="41"/>
      <c r="L744" s="40"/>
      <c r="M744" s="42"/>
      <c r="N744" s="41"/>
      <c r="O744" s="41"/>
      <c r="P744" s="41"/>
    </row>
    <row r="745" spans="1:16" ht="15.75" customHeight="1" x14ac:dyDescent="0.25">
      <c r="A745" s="37"/>
      <c r="B745" s="38"/>
      <c r="C745" s="39"/>
      <c r="D745" s="38"/>
      <c r="E745" s="39"/>
      <c r="F745" s="40"/>
      <c r="G745" s="38"/>
      <c r="H745" s="39"/>
      <c r="I745" s="41"/>
      <c r="J745" s="41"/>
      <c r="K745" s="41"/>
      <c r="L745" s="40"/>
      <c r="M745" s="42"/>
      <c r="N745" s="41"/>
      <c r="O745" s="41"/>
      <c r="P745" s="41"/>
    </row>
    <row r="746" spans="1:16" ht="15.75" customHeight="1" x14ac:dyDescent="0.25">
      <c r="A746" s="37"/>
      <c r="B746" s="38"/>
      <c r="C746" s="39"/>
      <c r="D746" s="38"/>
      <c r="E746" s="39"/>
      <c r="F746" s="40"/>
      <c r="G746" s="38"/>
      <c r="H746" s="39"/>
      <c r="I746" s="41"/>
      <c r="J746" s="41"/>
      <c r="K746" s="41"/>
      <c r="L746" s="40"/>
      <c r="M746" s="42"/>
      <c r="N746" s="41"/>
      <c r="O746" s="41"/>
      <c r="P746" s="41"/>
    </row>
    <row r="747" spans="1:16" ht="15.75" customHeight="1" x14ac:dyDescent="0.25">
      <c r="A747" s="37"/>
      <c r="B747" s="38"/>
      <c r="C747" s="39"/>
      <c r="D747" s="38"/>
      <c r="E747" s="39"/>
      <c r="F747" s="40"/>
      <c r="G747" s="38"/>
      <c r="H747" s="39"/>
      <c r="I747" s="41"/>
      <c r="J747" s="41"/>
      <c r="K747" s="41"/>
      <c r="L747" s="40"/>
      <c r="M747" s="42"/>
      <c r="N747" s="41"/>
      <c r="O747" s="41"/>
      <c r="P747" s="41"/>
    </row>
    <row r="748" spans="1:16" ht="15.75" customHeight="1" x14ac:dyDescent="0.25">
      <c r="A748" s="37"/>
      <c r="B748" s="38"/>
      <c r="C748" s="39"/>
      <c r="D748" s="38"/>
      <c r="E748" s="39"/>
      <c r="F748" s="40"/>
      <c r="G748" s="38"/>
      <c r="H748" s="39"/>
      <c r="I748" s="41"/>
      <c r="J748" s="41"/>
      <c r="K748" s="41"/>
      <c r="L748" s="40"/>
      <c r="M748" s="42"/>
      <c r="N748" s="41"/>
      <c r="O748" s="41"/>
      <c r="P748" s="41"/>
    </row>
    <row r="749" spans="1:16" ht="15.75" customHeight="1" x14ac:dyDescent="0.25">
      <c r="A749" s="37"/>
      <c r="B749" s="38"/>
      <c r="C749" s="39"/>
      <c r="D749" s="38"/>
      <c r="E749" s="39"/>
      <c r="F749" s="40"/>
      <c r="G749" s="38"/>
      <c r="H749" s="39"/>
      <c r="I749" s="41"/>
      <c r="J749" s="41"/>
      <c r="K749" s="41"/>
      <c r="L749" s="40"/>
      <c r="M749" s="42"/>
      <c r="N749" s="41"/>
      <c r="O749" s="41"/>
      <c r="P749" s="41"/>
    </row>
    <row r="750" spans="1:16" ht="15.75" customHeight="1" x14ac:dyDescent="0.25">
      <c r="A750" s="37"/>
      <c r="B750" s="38"/>
      <c r="C750" s="39"/>
      <c r="D750" s="38"/>
      <c r="E750" s="39"/>
      <c r="F750" s="40"/>
      <c r="G750" s="38"/>
      <c r="H750" s="39"/>
      <c r="I750" s="41"/>
      <c r="J750" s="41"/>
      <c r="K750" s="41"/>
      <c r="L750" s="40"/>
      <c r="M750" s="42"/>
      <c r="N750" s="41"/>
      <c r="O750" s="41"/>
      <c r="P750" s="41"/>
    </row>
    <row r="751" spans="1:16" ht="15.75" customHeight="1" x14ac:dyDescent="0.25">
      <c r="A751" s="37"/>
      <c r="B751" s="38"/>
      <c r="C751" s="39"/>
      <c r="D751" s="38"/>
      <c r="E751" s="39"/>
      <c r="F751" s="40"/>
      <c r="G751" s="38"/>
      <c r="H751" s="39"/>
      <c r="I751" s="41"/>
      <c r="J751" s="41"/>
      <c r="K751" s="41"/>
      <c r="L751" s="40"/>
      <c r="M751" s="42"/>
      <c r="N751" s="41"/>
      <c r="O751" s="41"/>
      <c r="P751" s="41"/>
    </row>
    <row r="752" spans="1:16" ht="15.75" customHeight="1" x14ac:dyDescent="0.25">
      <c r="A752" s="37"/>
      <c r="B752" s="38"/>
      <c r="C752" s="39"/>
      <c r="D752" s="38"/>
      <c r="E752" s="39"/>
      <c r="F752" s="40"/>
      <c r="G752" s="38"/>
      <c r="H752" s="39"/>
      <c r="I752" s="41"/>
      <c r="J752" s="41"/>
      <c r="K752" s="41"/>
      <c r="L752" s="40"/>
      <c r="M752" s="42"/>
      <c r="N752" s="41"/>
      <c r="O752" s="41"/>
      <c r="P752" s="41"/>
    </row>
    <row r="753" spans="1:16" ht="15.75" customHeight="1" x14ac:dyDescent="0.25">
      <c r="A753" s="37"/>
      <c r="B753" s="38"/>
      <c r="C753" s="39"/>
      <c r="D753" s="38"/>
      <c r="E753" s="39"/>
      <c r="F753" s="40"/>
      <c r="G753" s="38"/>
      <c r="H753" s="39"/>
      <c r="I753" s="41"/>
      <c r="J753" s="41"/>
      <c r="K753" s="41"/>
      <c r="L753" s="40"/>
      <c r="M753" s="42"/>
      <c r="N753" s="41"/>
      <c r="O753" s="41"/>
      <c r="P753" s="41"/>
    </row>
    <row r="754" spans="1:16" ht="15.75" customHeight="1" x14ac:dyDescent="0.25">
      <c r="A754" s="37"/>
      <c r="B754" s="38"/>
      <c r="C754" s="39"/>
      <c r="D754" s="38"/>
      <c r="E754" s="39"/>
      <c r="F754" s="40"/>
      <c r="G754" s="38"/>
      <c r="H754" s="39"/>
      <c r="I754" s="41"/>
      <c r="J754" s="41"/>
      <c r="K754" s="41"/>
      <c r="L754" s="40"/>
      <c r="M754" s="42"/>
      <c r="N754" s="41"/>
      <c r="O754" s="41"/>
      <c r="P754" s="41"/>
    </row>
    <row r="755" spans="1:16" ht="15.75" customHeight="1" x14ac:dyDescent="0.25">
      <c r="A755" s="37"/>
      <c r="B755" s="38"/>
      <c r="C755" s="39"/>
      <c r="D755" s="38"/>
      <c r="E755" s="39"/>
      <c r="F755" s="40"/>
      <c r="G755" s="38"/>
      <c r="H755" s="39"/>
      <c r="I755" s="41"/>
      <c r="J755" s="41"/>
      <c r="K755" s="41"/>
      <c r="L755" s="40"/>
      <c r="M755" s="42"/>
      <c r="N755" s="41"/>
      <c r="O755" s="41"/>
      <c r="P755" s="41"/>
    </row>
    <row r="756" spans="1:16" ht="15.75" customHeight="1" x14ac:dyDescent="0.25">
      <c r="A756" s="37"/>
      <c r="B756" s="38"/>
      <c r="C756" s="39"/>
      <c r="D756" s="38"/>
      <c r="E756" s="39"/>
      <c r="F756" s="40"/>
      <c r="G756" s="38"/>
      <c r="H756" s="39"/>
      <c r="I756" s="41"/>
      <c r="J756" s="41"/>
      <c r="K756" s="41"/>
      <c r="L756" s="40"/>
      <c r="M756" s="42"/>
      <c r="N756" s="41"/>
      <c r="O756" s="41"/>
      <c r="P756" s="41"/>
    </row>
    <row r="757" spans="1:16" ht="15.75" customHeight="1" x14ac:dyDescent="0.25">
      <c r="A757" s="37"/>
      <c r="B757" s="38"/>
      <c r="C757" s="39"/>
      <c r="D757" s="38"/>
      <c r="E757" s="39"/>
      <c r="F757" s="40"/>
      <c r="G757" s="38"/>
      <c r="H757" s="39"/>
      <c r="I757" s="41"/>
      <c r="J757" s="41"/>
      <c r="K757" s="41"/>
      <c r="L757" s="40"/>
      <c r="M757" s="42"/>
      <c r="N757" s="41"/>
      <c r="O757" s="41"/>
      <c r="P757" s="41"/>
    </row>
    <row r="758" spans="1:16" ht="15.75" customHeight="1" x14ac:dyDescent="0.25">
      <c r="A758" s="37"/>
      <c r="B758" s="38"/>
      <c r="C758" s="39"/>
      <c r="D758" s="38"/>
      <c r="E758" s="39"/>
      <c r="F758" s="40"/>
      <c r="G758" s="38"/>
      <c r="H758" s="39"/>
      <c r="I758" s="41"/>
      <c r="J758" s="41"/>
      <c r="K758" s="41"/>
      <c r="L758" s="40"/>
      <c r="M758" s="42"/>
      <c r="N758" s="41"/>
      <c r="O758" s="41"/>
      <c r="P758" s="41"/>
    </row>
    <row r="759" spans="1:16" ht="15.75" customHeight="1" x14ac:dyDescent="0.25">
      <c r="A759" s="37"/>
      <c r="B759" s="38"/>
      <c r="C759" s="39"/>
      <c r="D759" s="38"/>
      <c r="E759" s="39"/>
      <c r="F759" s="40"/>
      <c r="G759" s="38"/>
      <c r="H759" s="39"/>
      <c r="I759" s="41"/>
      <c r="J759" s="41"/>
      <c r="K759" s="41"/>
      <c r="L759" s="40"/>
      <c r="M759" s="42"/>
      <c r="N759" s="41"/>
      <c r="O759" s="41"/>
      <c r="P759" s="41"/>
    </row>
    <row r="760" spans="1:16" ht="15.75" customHeight="1" x14ac:dyDescent="0.25">
      <c r="A760" s="37"/>
      <c r="B760" s="38"/>
      <c r="C760" s="39"/>
      <c r="D760" s="38"/>
      <c r="E760" s="39"/>
      <c r="F760" s="40"/>
      <c r="G760" s="38"/>
      <c r="H760" s="39"/>
      <c r="I760" s="41"/>
      <c r="J760" s="41"/>
      <c r="K760" s="41"/>
      <c r="L760" s="40"/>
      <c r="M760" s="42"/>
      <c r="N760" s="41"/>
      <c r="O760" s="41"/>
      <c r="P760" s="41"/>
    </row>
    <row r="761" spans="1:16" ht="15.75" customHeight="1" x14ac:dyDescent="0.25">
      <c r="A761" s="37"/>
      <c r="B761" s="38"/>
      <c r="C761" s="39"/>
      <c r="D761" s="38"/>
      <c r="E761" s="39"/>
      <c r="F761" s="40"/>
      <c r="G761" s="38"/>
      <c r="H761" s="39"/>
      <c r="I761" s="41"/>
      <c r="J761" s="41"/>
      <c r="K761" s="41"/>
      <c r="L761" s="40"/>
      <c r="M761" s="42"/>
      <c r="N761" s="41"/>
      <c r="O761" s="41"/>
      <c r="P761" s="41"/>
    </row>
    <row r="762" spans="1:16" ht="15.75" customHeight="1" x14ac:dyDescent="0.25">
      <c r="A762" s="37"/>
      <c r="B762" s="38"/>
      <c r="C762" s="39"/>
      <c r="D762" s="38"/>
      <c r="E762" s="39"/>
      <c r="F762" s="40"/>
      <c r="G762" s="38"/>
      <c r="H762" s="39"/>
      <c r="I762" s="41"/>
      <c r="J762" s="41"/>
      <c r="K762" s="41"/>
      <c r="L762" s="40"/>
      <c r="M762" s="42"/>
      <c r="N762" s="41"/>
      <c r="O762" s="41"/>
      <c r="P762" s="41"/>
    </row>
    <row r="763" spans="1:16" ht="15.75" customHeight="1" x14ac:dyDescent="0.25">
      <c r="A763" s="37"/>
      <c r="B763" s="38"/>
      <c r="C763" s="39"/>
      <c r="D763" s="38"/>
      <c r="E763" s="39"/>
      <c r="F763" s="40"/>
      <c r="G763" s="38"/>
      <c r="H763" s="39"/>
      <c r="I763" s="41"/>
      <c r="J763" s="41"/>
      <c r="K763" s="41"/>
      <c r="L763" s="40"/>
      <c r="M763" s="42"/>
      <c r="N763" s="41"/>
      <c r="O763" s="41"/>
      <c r="P763" s="41"/>
    </row>
    <row r="764" spans="1:16" ht="15.75" customHeight="1" x14ac:dyDescent="0.25">
      <c r="A764" s="37"/>
      <c r="B764" s="38"/>
      <c r="C764" s="39"/>
      <c r="D764" s="38"/>
      <c r="E764" s="39"/>
      <c r="F764" s="40"/>
      <c r="G764" s="38"/>
      <c r="H764" s="39"/>
      <c r="I764" s="41"/>
      <c r="J764" s="41"/>
      <c r="K764" s="41"/>
      <c r="L764" s="40"/>
      <c r="M764" s="42"/>
      <c r="N764" s="41"/>
      <c r="O764" s="41"/>
      <c r="P764" s="41"/>
    </row>
    <row r="765" spans="1:16" ht="15.75" customHeight="1" x14ac:dyDescent="0.25">
      <c r="A765" s="37"/>
      <c r="B765" s="38"/>
      <c r="C765" s="39"/>
      <c r="D765" s="38"/>
      <c r="E765" s="39"/>
      <c r="F765" s="40"/>
      <c r="G765" s="38"/>
      <c r="H765" s="39"/>
      <c r="I765" s="41"/>
      <c r="J765" s="41"/>
      <c r="K765" s="41"/>
      <c r="L765" s="40"/>
      <c r="M765" s="42"/>
      <c r="N765" s="41"/>
      <c r="O765" s="41"/>
      <c r="P765" s="41"/>
    </row>
    <row r="766" spans="1:16" ht="15.75" customHeight="1" x14ac:dyDescent="0.25">
      <c r="A766" s="37"/>
      <c r="B766" s="38"/>
      <c r="C766" s="39"/>
      <c r="D766" s="38"/>
      <c r="E766" s="39"/>
      <c r="F766" s="40"/>
      <c r="G766" s="38"/>
      <c r="H766" s="39"/>
      <c r="I766" s="41"/>
      <c r="J766" s="41"/>
      <c r="K766" s="41"/>
      <c r="L766" s="40"/>
      <c r="M766" s="42"/>
      <c r="N766" s="41"/>
      <c r="O766" s="41"/>
      <c r="P766" s="41"/>
    </row>
    <row r="767" spans="1:16" ht="15.75" customHeight="1" x14ac:dyDescent="0.25">
      <c r="A767" s="37"/>
      <c r="B767" s="38"/>
      <c r="C767" s="39"/>
      <c r="D767" s="38"/>
      <c r="E767" s="39"/>
      <c r="F767" s="40"/>
      <c r="G767" s="38"/>
      <c r="H767" s="39"/>
      <c r="I767" s="41"/>
      <c r="J767" s="41"/>
      <c r="K767" s="41"/>
      <c r="L767" s="40"/>
      <c r="M767" s="42"/>
      <c r="N767" s="41"/>
      <c r="O767" s="41"/>
      <c r="P767" s="41"/>
    </row>
    <row r="768" spans="1:16" ht="15.75" customHeight="1" x14ac:dyDescent="0.25">
      <c r="A768" s="37"/>
      <c r="B768" s="38"/>
      <c r="C768" s="39"/>
      <c r="D768" s="38"/>
      <c r="E768" s="39"/>
      <c r="F768" s="40"/>
      <c r="G768" s="38"/>
      <c r="H768" s="39"/>
      <c r="I768" s="41"/>
      <c r="J768" s="41"/>
      <c r="K768" s="41"/>
      <c r="L768" s="40"/>
      <c r="M768" s="42"/>
      <c r="N768" s="41"/>
      <c r="O768" s="41"/>
      <c r="P768" s="41"/>
    </row>
    <row r="769" spans="1:16" ht="15.75" customHeight="1" x14ac:dyDescent="0.25">
      <c r="A769" s="37"/>
      <c r="B769" s="38"/>
      <c r="C769" s="39"/>
      <c r="D769" s="38"/>
      <c r="E769" s="39"/>
      <c r="F769" s="40"/>
      <c r="G769" s="38"/>
      <c r="H769" s="39"/>
      <c r="I769" s="41"/>
      <c r="J769" s="41"/>
      <c r="K769" s="41"/>
      <c r="L769" s="40"/>
      <c r="M769" s="42"/>
      <c r="N769" s="41"/>
      <c r="O769" s="41"/>
      <c r="P769" s="41"/>
    </row>
    <row r="770" spans="1:16" ht="15.75" customHeight="1" x14ac:dyDescent="0.25">
      <c r="A770" s="37"/>
      <c r="B770" s="38"/>
      <c r="C770" s="39"/>
      <c r="D770" s="38"/>
      <c r="E770" s="39"/>
      <c r="F770" s="40"/>
      <c r="G770" s="38"/>
      <c r="H770" s="39"/>
      <c r="I770" s="41"/>
      <c r="J770" s="41"/>
      <c r="K770" s="41"/>
      <c r="L770" s="40"/>
      <c r="M770" s="42"/>
      <c r="N770" s="41"/>
      <c r="O770" s="41"/>
      <c r="P770" s="41"/>
    </row>
    <row r="771" spans="1:16" ht="15.75" customHeight="1" x14ac:dyDescent="0.25">
      <c r="A771" s="37"/>
      <c r="B771" s="38"/>
      <c r="C771" s="39"/>
      <c r="D771" s="38"/>
      <c r="E771" s="39"/>
      <c r="F771" s="40"/>
      <c r="G771" s="38"/>
      <c r="H771" s="39"/>
      <c r="I771" s="41"/>
      <c r="J771" s="41"/>
      <c r="K771" s="41"/>
      <c r="L771" s="40"/>
      <c r="M771" s="42"/>
      <c r="N771" s="41"/>
      <c r="O771" s="41"/>
      <c r="P771" s="41"/>
    </row>
    <row r="772" spans="1:16" ht="15.75" customHeight="1" x14ac:dyDescent="0.25">
      <c r="A772" s="37"/>
      <c r="B772" s="38"/>
      <c r="C772" s="39"/>
      <c r="D772" s="38"/>
      <c r="E772" s="39"/>
      <c r="F772" s="40"/>
      <c r="G772" s="38"/>
      <c r="H772" s="39"/>
      <c r="I772" s="41"/>
      <c r="J772" s="41"/>
      <c r="K772" s="41"/>
      <c r="L772" s="40"/>
      <c r="M772" s="42"/>
      <c r="N772" s="41"/>
      <c r="O772" s="41"/>
      <c r="P772" s="41"/>
    </row>
    <row r="773" spans="1:16" ht="15.75" customHeight="1" x14ac:dyDescent="0.25">
      <c r="A773" s="37"/>
      <c r="B773" s="38"/>
      <c r="C773" s="39"/>
      <c r="D773" s="38"/>
      <c r="E773" s="39"/>
      <c r="F773" s="40"/>
      <c r="G773" s="38"/>
      <c r="H773" s="39"/>
      <c r="I773" s="41"/>
      <c r="J773" s="41"/>
      <c r="K773" s="41"/>
      <c r="L773" s="40"/>
      <c r="M773" s="42"/>
      <c r="N773" s="41"/>
      <c r="O773" s="41"/>
      <c r="P773" s="41"/>
    </row>
    <row r="774" spans="1:16" ht="15.75" customHeight="1" x14ac:dyDescent="0.25">
      <c r="A774" s="37"/>
      <c r="B774" s="38"/>
      <c r="C774" s="39"/>
      <c r="D774" s="38"/>
      <c r="E774" s="39"/>
      <c r="F774" s="40"/>
      <c r="G774" s="38"/>
      <c r="H774" s="39"/>
      <c r="I774" s="41"/>
      <c r="J774" s="41"/>
      <c r="K774" s="41"/>
      <c r="L774" s="40"/>
      <c r="M774" s="42"/>
      <c r="N774" s="41"/>
      <c r="O774" s="41"/>
      <c r="P774" s="41"/>
    </row>
    <row r="775" spans="1:16" ht="15.75" customHeight="1" x14ac:dyDescent="0.25">
      <c r="A775" s="37"/>
      <c r="B775" s="38"/>
      <c r="C775" s="39"/>
      <c r="D775" s="38"/>
      <c r="E775" s="39"/>
      <c r="F775" s="40"/>
      <c r="G775" s="38"/>
      <c r="H775" s="39"/>
      <c r="I775" s="41"/>
      <c r="J775" s="41"/>
      <c r="K775" s="41"/>
      <c r="L775" s="40"/>
      <c r="M775" s="42"/>
      <c r="N775" s="41"/>
      <c r="O775" s="41"/>
      <c r="P775" s="41"/>
    </row>
    <row r="776" spans="1:16" ht="15.75" customHeight="1" x14ac:dyDescent="0.25">
      <c r="A776" s="37"/>
      <c r="B776" s="38"/>
      <c r="C776" s="39"/>
      <c r="D776" s="38"/>
      <c r="E776" s="39"/>
      <c r="F776" s="40"/>
      <c r="G776" s="38"/>
      <c r="H776" s="39"/>
      <c r="I776" s="41"/>
      <c r="J776" s="41"/>
      <c r="K776" s="41"/>
      <c r="L776" s="40"/>
      <c r="M776" s="42"/>
      <c r="N776" s="41"/>
      <c r="O776" s="41"/>
      <c r="P776" s="41"/>
    </row>
    <row r="777" spans="1:16" ht="15.75" customHeight="1" x14ac:dyDescent="0.25">
      <c r="A777" s="37"/>
      <c r="B777" s="38"/>
      <c r="C777" s="39"/>
      <c r="D777" s="38"/>
      <c r="E777" s="39"/>
      <c r="F777" s="40"/>
      <c r="G777" s="38"/>
      <c r="H777" s="39"/>
      <c r="I777" s="41"/>
      <c r="J777" s="41"/>
      <c r="K777" s="41"/>
      <c r="L777" s="40"/>
      <c r="M777" s="42"/>
      <c r="N777" s="41"/>
      <c r="O777" s="41"/>
      <c r="P777" s="41"/>
    </row>
    <row r="778" spans="1:16" ht="15.75" customHeight="1" x14ac:dyDescent="0.25">
      <c r="A778" s="37"/>
      <c r="B778" s="38"/>
      <c r="C778" s="39"/>
      <c r="D778" s="38"/>
      <c r="E778" s="39"/>
      <c r="F778" s="40"/>
      <c r="G778" s="38"/>
      <c r="H778" s="39"/>
      <c r="I778" s="41"/>
      <c r="J778" s="41"/>
      <c r="K778" s="41"/>
      <c r="L778" s="40"/>
      <c r="M778" s="42"/>
      <c r="N778" s="41"/>
      <c r="O778" s="41"/>
      <c r="P778" s="41"/>
    </row>
    <row r="779" spans="1:16" ht="15.75" customHeight="1" x14ac:dyDescent="0.25">
      <c r="A779" s="37"/>
      <c r="B779" s="38"/>
      <c r="C779" s="39"/>
      <c r="D779" s="38"/>
      <c r="E779" s="39"/>
      <c r="F779" s="40"/>
      <c r="G779" s="38"/>
      <c r="H779" s="39"/>
      <c r="I779" s="41"/>
      <c r="J779" s="41"/>
      <c r="K779" s="41"/>
      <c r="L779" s="40"/>
      <c r="M779" s="42"/>
      <c r="N779" s="41"/>
      <c r="O779" s="41"/>
      <c r="P779" s="41"/>
    </row>
    <row r="780" spans="1:16" ht="15.75" customHeight="1" x14ac:dyDescent="0.25">
      <c r="A780" s="37"/>
      <c r="B780" s="38"/>
      <c r="C780" s="39"/>
      <c r="D780" s="38"/>
      <c r="E780" s="39"/>
      <c r="F780" s="40"/>
      <c r="G780" s="38"/>
      <c r="H780" s="39"/>
      <c r="I780" s="41"/>
      <c r="J780" s="41"/>
      <c r="K780" s="41"/>
      <c r="L780" s="40"/>
      <c r="M780" s="42"/>
      <c r="N780" s="41"/>
      <c r="O780" s="41"/>
      <c r="P780" s="41"/>
    </row>
    <row r="781" spans="1:16" ht="15.75" customHeight="1" x14ac:dyDescent="0.25">
      <c r="A781" s="37"/>
      <c r="B781" s="38"/>
      <c r="C781" s="39"/>
      <c r="D781" s="38"/>
      <c r="E781" s="39"/>
      <c r="F781" s="40"/>
      <c r="G781" s="38"/>
      <c r="H781" s="39"/>
      <c r="I781" s="41"/>
      <c r="J781" s="41"/>
      <c r="K781" s="41"/>
      <c r="L781" s="40"/>
      <c r="M781" s="42"/>
      <c r="N781" s="41"/>
      <c r="O781" s="41"/>
      <c r="P781" s="41"/>
    </row>
    <row r="782" spans="1:16" ht="15.75" customHeight="1" x14ac:dyDescent="0.25">
      <c r="A782" s="37"/>
      <c r="B782" s="38"/>
      <c r="C782" s="39"/>
      <c r="D782" s="38"/>
      <c r="E782" s="39"/>
      <c r="F782" s="40"/>
      <c r="G782" s="38"/>
      <c r="H782" s="39"/>
      <c r="I782" s="41"/>
      <c r="J782" s="41"/>
      <c r="K782" s="41"/>
      <c r="L782" s="40"/>
      <c r="M782" s="42"/>
      <c r="N782" s="41"/>
      <c r="O782" s="41"/>
      <c r="P782" s="41"/>
    </row>
    <row r="783" spans="1:16" ht="15.75" customHeight="1" x14ac:dyDescent="0.25">
      <c r="A783" s="37"/>
      <c r="B783" s="38"/>
      <c r="C783" s="39"/>
      <c r="D783" s="38"/>
      <c r="E783" s="39"/>
      <c r="F783" s="40"/>
      <c r="G783" s="38"/>
      <c r="H783" s="39"/>
      <c r="I783" s="41"/>
      <c r="J783" s="41"/>
      <c r="K783" s="41"/>
      <c r="L783" s="40"/>
      <c r="M783" s="42"/>
      <c r="N783" s="41"/>
      <c r="O783" s="41"/>
      <c r="P783" s="41"/>
    </row>
    <row r="784" spans="1:16" ht="15.75" customHeight="1" x14ac:dyDescent="0.25">
      <c r="A784" s="37"/>
      <c r="B784" s="38"/>
      <c r="C784" s="39"/>
      <c r="D784" s="38"/>
      <c r="E784" s="39"/>
      <c r="F784" s="40"/>
      <c r="G784" s="38"/>
      <c r="H784" s="39"/>
      <c r="I784" s="41"/>
      <c r="J784" s="41"/>
      <c r="K784" s="41"/>
      <c r="L784" s="40"/>
      <c r="M784" s="42"/>
      <c r="N784" s="41"/>
      <c r="O784" s="41"/>
      <c r="P784" s="41"/>
    </row>
    <row r="785" spans="1:16" ht="15.75" customHeight="1" x14ac:dyDescent="0.25">
      <c r="A785" s="37"/>
      <c r="B785" s="38"/>
      <c r="C785" s="39"/>
      <c r="D785" s="38"/>
      <c r="E785" s="39"/>
      <c r="F785" s="40"/>
      <c r="G785" s="38"/>
      <c r="H785" s="39"/>
      <c r="I785" s="41"/>
      <c r="J785" s="41"/>
      <c r="K785" s="41"/>
      <c r="L785" s="40"/>
      <c r="M785" s="42"/>
      <c r="N785" s="41"/>
      <c r="O785" s="41"/>
      <c r="P785" s="41"/>
    </row>
    <row r="786" spans="1:16" ht="15.75" customHeight="1" x14ac:dyDescent="0.25">
      <c r="A786" s="37"/>
      <c r="B786" s="38"/>
      <c r="C786" s="39"/>
      <c r="D786" s="38"/>
      <c r="E786" s="39"/>
      <c r="F786" s="40"/>
      <c r="G786" s="38"/>
      <c r="H786" s="39"/>
      <c r="I786" s="41"/>
      <c r="J786" s="41"/>
      <c r="K786" s="41"/>
      <c r="L786" s="40"/>
      <c r="M786" s="42"/>
      <c r="N786" s="41"/>
      <c r="O786" s="41"/>
      <c r="P786" s="41"/>
    </row>
    <row r="787" spans="1:16" ht="15.75" customHeight="1" x14ac:dyDescent="0.25">
      <c r="A787" s="37"/>
      <c r="B787" s="38"/>
      <c r="C787" s="39"/>
      <c r="D787" s="38"/>
      <c r="E787" s="39"/>
      <c r="F787" s="40"/>
      <c r="G787" s="38"/>
      <c r="H787" s="39"/>
      <c r="I787" s="41"/>
      <c r="J787" s="41"/>
      <c r="K787" s="41"/>
      <c r="L787" s="40"/>
      <c r="M787" s="42"/>
      <c r="N787" s="41"/>
      <c r="O787" s="41"/>
      <c r="P787" s="41"/>
    </row>
    <row r="788" spans="1:16" ht="15.75" customHeight="1" x14ac:dyDescent="0.25">
      <c r="A788" s="37"/>
      <c r="B788" s="38"/>
      <c r="C788" s="39"/>
      <c r="D788" s="38"/>
      <c r="E788" s="39"/>
      <c r="F788" s="40"/>
      <c r="G788" s="38"/>
      <c r="H788" s="39"/>
      <c r="I788" s="41"/>
      <c r="J788" s="41"/>
      <c r="K788" s="41"/>
      <c r="L788" s="40"/>
      <c r="M788" s="42"/>
      <c r="N788" s="41"/>
      <c r="O788" s="41"/>
      <c r="P788" s="41"/>
    </row>
    <row r="789" spans="1:16" ht="15.75" customHeight="1" x14ac:dyDescent="0.25">
      <c r="A789" s="37"/>
      <c r="B789" s="38"/>
      <c r="C789" s="39"/>
      <c r="D789" s="38"/>
      <c r="E789" s="39"/>
      <c r="F789" s="40"/>
      <c r="G789" s="38"/>
      <c r="H789" s="39"/>
      <c r="I789" s="41"/>
      <c r="J789" s="41"/>
      <c r="K789" s="41"/>
      <c r="L789" s="40"/>
      <c r="M789" s="42"/>
      <c r="N789" s="41"/>
      <c r="O789" s="41"/>
      <c r="P789" s="41"/>
    </row>
    <row r="790" spans="1:16" ht="15.75" customHeight="1" x14ac:dyDescent="0.25">
      <c r="A790" s="37"/>
      <c r="B790" s="38"/>
      <c r="C790" s="39"/>
      <c r="D790" s="38"/>
      <c r="E790" s="39"/>
      <c r="F790" s="40"/>
      <c r="G790" s="38"/>
      <c r="H790" s="39"/>
      <c r="I790" s="41"/>
      <c r="J790" s="41"/>
      <c r="K790" s="41"/>
      <c r="L790" s="40"/>
      <c r="M790" s="42"/>
      <c r="N790" s="41"/>
      <c r="O790" s="41"/>
      <c r="P790" s="41"/>
    </row>
    <row r="791" spans="1:16" ht="15.75" customHeight="1" x14ac:dyDescent="0.25">
      <c r="A791" s="37"/>
      <c r="B791" s="38"/>
      <c r="C791" s="39"/>
      <c r="D791" s="38"/>
      <c r="E791" s="39"/>
      <c r="F791" s="40"/>
      <c r="G791" s="38"/>
      <c r="H791" s="39"/>
      <c r="I791" s="41"/>
      <c r="J791" s="41"/>
      <c r="K791" s="41"/>
      <c r="L791" s="40"/>
      <c r="M791" s="42"/>
      <c r="N791" s="41"/>
      <c r="O791" s="41"/>
      <c r="P791" s="41"/>
    </row>
    <row r="792" spans="1:16" ht="15.75" customHeight="1" x14ac:dyDescent="0.25">
      <c r="A792" s="37"/>
      <c r="B792" s="38"/>
      <c r="C792" s="39"/>
      <c r="D792" s="38"/>
      <c r="E792" s="39"/>
      <c r="F792" s="40"/>
      <c r="G792" s="38"/>
      <c r="H792" s="39"/>
      <c r="I792" s="41"/>
      <c r="J792" s="41"/>
      <c r="K792" s="41"/>
      <c r="L792" s="40"/>
      <c r="M792" s="42"/>
      <c r="N792" s="41"/>
      <c r="O792" s="41"/>
      <c r="P792" s="41"/>
    </row>
    <row r="793" spans="1:16" ht="15.75" customHeight="1" x14ac:dyDescent="0.25">
      <c r="A793" s="37"/>
      <c r="B793" s="38"/>
      <c r="C793" s="39"/>
      <c r="D793" s="38"/>
      <c r="E793" s="39"/>
      <c r="F793" s="40"/>
      <c r="G793" s="38"/>
      <c r="H793" s="39"/>
      <c r="I793" s="41"/>
      <c r="J793" s="41"/>
      <c r="K793" s="41"/>
      <c r="L793" s="40"/>
      <c r="M793" s="42"/>
      <c r="N793" s="41"/>
      <c r="O793" s="41"/>
      <c r="P793" s="41"/>
    </row>
    <row r="794" spans="1:16" ht="15.75" customHeight="1" x14ac:dyDescent="0.25">
      <c r="A794" s="37"/>
      <c r="B794" s="38"/>
      <c r="C794" s="39"/>
      <c r="D794" s="38"/>
      <c r="E794" s="39"/>
      <c r="F794" s="40"/>
      <c r="G794" s="38"/>
      <c r="H794" s="39"/>
      <c r="I794" s="41"/>
      <c r="J794" s="41"/>
      <c r="K794" s="41"/>
      <c r="L794" s="40"/>
      <c r="M794" s="42"/>
      <c r="N794" s="41"/>
      <c r="O794" s="41"/>
      <c r="P794" s="41"/>
    </row>
    <row r="795" spans="1:16" ht="15.75" customHeight="1" x14ac:dyDescent="0.25">
      <c r="A795" s="37"/>
      <c r="B795" s="38"/>
      <c r="C795" s="39"/>
      <c r="D795" s="38"/>
      <c r="E795" s="39"/>
      <c r="F795" s="40"/>
      <c r="G795" s="38"/>
      <c r="H795" s="39"/>
      <c r="I795" s="41"/>
      <c r="J795" s="41"/>
      <c r="K795" s="41"/>
      <c r="L795" s="40"/>
      <c r="M795" s="42"/>
      <c r="N795" s="41"/>
      <c r="O795" s="41"/>
      <c r="P795" s="41"/>
    </row>
    <row r="796" spans="1:16" ht="15.75" customHeight="1" x14ac:dyDescent="0.25">
      <c r="A796" s="37"/>
      <c r="B796" s="38"/>
      <c r="C796" s="39"/>
      <c r="D796" s="38"/>
      <c r="E796" s="39"/>
      <c r="F796" s="40"/>
      <c r="G796" s="38"/>
      <c r="H796" s="39"/>
      <c r="I796" s="41"/>
      <c r="J796" s="41"/>
      <c r="K796" s="41"/>
      <c r="L796" s="40"/>
      <c r="M796" s="42"/>
      <c r="N796" s="41"/>
      <c r="O796" s="41"/>
      <c r="P796" s="41"/>
    </row>
    <row r="797" spans="1:16" ht="15.75" customHeight="1" x14ac:dyDescent="0.25">
      <c r="A797" s="37"/>
      <c r="B797" s="38"/>
      <c r="C797" s="39"/>
      <c r="D797" s="38"/>
      <c r="E797" s="39"/>
      <c r="F797" s="40"/>
      <c r="G797" s="38"/>
      <c r="H797" s="39"/>
      <c r="I797" s="41"/>
      <c r="J797" s="41"/>
      <c r="K797" s="41"/>
      <c r="L797" s="40"/>
      <c r="M797" s="42"/>
      <c r="N797" s="41"/>
      <c r="O797" s="41"/>
      <c r="P797" s="41"/>
    </row>
    <row r="798" spans="1:16" ht="15.75" customHeight="1" x14ac:dyDescent="0.25">
      <c r="A798" s="37"/>
      <c r="B798" s="38"/>
      <c r="C798" s="39"/>
      <c r="D798" s="38"/>
      <c r="E798" s="39"/>
      <c r="F798" s="40"/>
      <c r="G798" s="38"/>
      <c r="H798" s="39"/>
      <c r="I798" s="41"/>
      <c r="J798" s="41"/>
      <c r="K798" s="41"/>
      <c r="L798" s="40"/>
      <c r="M798" s="42"/>
      <c r="N798" s="41"/>
      <c r="O798" s="41"/>
      <c r="P798" s="41"/>
    </row>
    <row r="799" spans="1:16" ht="15.75" customHeight="1" x14ac:dyDescent="0.25">
      <c r="A799" s="37"/>
      <c r="B799" s="38"/>
      <c r="C799" s="39"/>
      <c r="D799" s="38"/>
      <c r="E799" s="39"/>
      <c r="F799" s="40"/>
      <c r="G799" s="38"/>
      <c r="H799" s="39"/>
      <c r="I799" s="41"/>
      <c r="J799" s="41"/>
      <c r="K799" s="41"/>
      <c r="L799" s="40"/>
      <c r="M799" s="42"/>
      <c r="N799" s="41"/>
      <c r="O799" s="41"/>
      <c r="P799" s="41"/>
    </row>
    <row r="800" spans="1:16" ht="15.75" customHeight="1" x14ac:dyDescent="0.25">
      <c r="A800" s="37"/>
      <c r="B800" s="38"/>
      <c r="C800" s="39"/>
      <c r="D800" s="38"/>
      <c r="E800" s="39"/>
      <c r="F800" s="40"/>
      <c r="G800" s="38"/>
      <c r="H800" s="39"/>
      <c r="I800" s="41"/>
      <c r="J800" s="41"/>
      <c r="K800" s="41"/>
      <c r="L800" s="40"/>
      <c r="M800" s="42"/>
      <c r="N800" s="41"/>
      <c r="O800" s="41"/>
      <c r="P800" s="41"/>
    </row>
    <row r="801" spans="1:16" ht="15.75" customHeight="1" x14ac:dyDescent="0.25">
      <c r="A801" s="37"/>
      <c r="B801" s="38"/>
      <c r="C801" s="39"/>
      <c r="D801" s="38"/>
      <c r="E801" s="39"/>
      <c r="F801" s="40"/>
      <c r="G801" s="38"/>
      <c r="H801" s="39"/>
      <c r="I801" s="41"/>
      <c r="J801" s="41"/>
      <c r="K801" s="41"/>
      <c r="L801" s="40"/>
      <c r="M801" s="42"/>
      <c r="N801" s="41"/>
      <c r="O801" s="41"/>
      <c r="P801" s="41"/>
    </row>
    <row r="802" spans="1:16" ht="15.75" customHeight="1" x14ac:dyDescent="0.25">
      <c r="A802" s="37"/>
      <c r="B802" s="38"/>
      <c r="C802" s="39"/>
      <c r="D802" s="38"/>
      <c r="E802" s="39"/>
      <c r="F802" s="40"/>
      <c r="G802" s="38"/>
      <c r="H802" s="39"/>
      <c r="I802" s="41"/>
      <c r="J802" s="41"/>
      <c r="K802" s="41"/>
      <c r="L802" s="40"/>
      <c r="M802" s="42"/>
      <c r="N802" s="41"/>
      <c r="O802" s="41"/>
      <c r="P802" s="41"/>
    </row>
    <row r="803" spans="1:16" ht="15.75" customHeight="1" x14ac:dyDescent="0.25">
      <c r="A803" s="37"/>
      <c r="B803" s="38"/>
      <c r="C803" s="39"/>
      <c r="D803" s="38"/>
      <c r="E803" s="39"/>
      <c r="F803" s="40"/>
      <c r="G803" s="38"/>
      <c r="H803" s="39"/>
      <c r="I803" s="41"/>
      <c r="J803" s="41"/>
      <c r="K803" s="41"/>
      <c r="L803" s="40"/>
      <c r="M803" s="42"/>
      <c r="N803" s="41"/>
      <c r="O803" s="41"/>
      <c r="P803" s="41"/>
    </row>
    <row r="804" spans="1:16" ht="15.75" customHeight="1" x14ac:dyDescent="0.25">
      <c r="A804" s="37"/>
      <c r="B804" s="38"/>
      <c r="C804" s="39"/>
      <c r="D804" s="38"/>
      <c r="E804" s="39"/>
      <c r="F804" s="40"/>
      <c r="G804" s="38"/>
      <c r="H804" s="39"/>
      <c r="I804" s="41"/>
      <c r="J804" s="41"/>
      <c r="K804" s="41"/>
      <c r="L804" s="40"/>
      <c r="M804" s="42"/>
      <c r="N804" s="41"/>
      <c r="O804" s="41"/>
      <c r="P804" s="41"/>
    </row>
    <row r="805" spans="1:16" ht="15.75" customHeight="1" x14ac:dyDescent="0.25">
      <c r="A805" s="37"/>
      <c r="B805" s="38"/>
      <c r="C805" s="39"/>
      <c r="D805" s="38"/>
      <c r="E805" s="39"/>
      <c r="F805" s="40"/>
      <c r="G805" s="38"/>
      <c r="H805" s="39"/>
      <c r="I805" s="41"/>
      <c r="J805" s="41"/>
      <c r="K805" s="41"/>
      <c r="L805" s="40"/>
      <c r="M805" s="42"/>
      <c r="N805" s="41"/>
      <c r="O805" s="41"/>
      <c r="P805" s="41"/>
    </row>
    <row r="806" spans="1:16" ht="15.75" customHeight="1" x14ac:dyDescent="0.25">
      <c r="A806" s="37"/>
      <c r="B806" s="38"/>
      <c r="C806" s="39"/>
      <c r="D806" s="38"/>
      <c r="E806" s="39"/>
      <c r="F806" s="40"/>
      <c r="G806" s="38"/>
      <c r="H806" s="39"/>
      <c r="I806" s="41"/>
      <c r="J806" s="41"/>
      <c r="K806" s="41"/>
      <c r="L806" s="40"/>
      <c r="M806" s="42"/>
      <c r="N806" s="41"/>
      <c r="O806" s="41"/>
      <c r="P806" s="41"/>
    </row>
    <row r="807" spans="1:16" ht="15.75" customHeight="1" x14ac:dyDescent="0.25">
      <c r="A807" s="37"/>
      <c r="B807" s="38"/>
      <c r="C807" s="39"/>
      <c r="D807" s="38"/>
      <c r="E807" s="39"/>
      <c r="F807" s="40"/>
      <c r="G807" s="38"/>
      <c r="H807" s="39"/>
      <c r="I807" s="41"/>
      <c r="J807" s="41"/>
      <c r="K807" s="41"/>
      <c r="L807" s="40"/>
      <c r="M807" s="42"/>
      <c r="N807" s="41"/>
      <c r="O807" s="41"/>
      <c r="P807" s="41"/>
    </row>
    <row r="808" spans="1:16" ht="15.75" customHeight="1" x14ac:dyDescent="0.25">
      <c r="A808" s="37"/>
      <c r="B808" s="38"/>
      <c r="C808" s="39"/>
      <c r="D808" s="38"/>
      <c r="E808" s="39"/>
      <c r="F808" s="40"/>
      <c r="G808" s="38"/>
      <c r="H808" s="39"/>
      <c r="I808" s="41"/>
      <c r="J808" s="41"/>
      <c r="K808" s="41"/>
      <c r="L808" s="40"/>
      <c r="M808" s="42"/>
      <c r="N808" s="41"/>
      <c r="O808" s="41"/>
      <c r="P808" s="41"/>
    </row>
    <row r="809" spans="1:16" ht="15.75" customHeight="1" x14ac:dyDescent="0.25">
      <c r="A809" s="37"/>
      <c r="B809" s="38"/>
      <c r="C809" s="39"/>
      <c r="D809" s="38"/>
      <c r="E809" s="39"/>
      <c r="F809" s="40"/>
      <c r="G809" s="38"/>
      <c r="H809" s="39"/>
      <c r="I809" s="41"/>
      <c r="J809" s="41"/>
      <c r="K809" s="41"/>
      <c r="L809" s="40"/>
      <c r="M809" s="42"/>
      <c r="N809" s="41"/>
      <c r="O809" s="41"/>
      <c r="P809" s="41"/>
    </row>
    <row r="810" spans="1:16" ht="15.75" customHeight="1" x14ac:dyDescent="0.25">
      <c r="A810" s="37"/>
      <c r="B810" s="38"/>
      <c r="C810" s="39"/>
      <c r="D810" s="38"/>
      <c r="E810" s="39"/>
      <c r="F810" s="40"/>
      <c r="G810" s="38"/>
      <c r="H810" s="39"/>
      <c r="I810" s="41"/>
      <c r="J810" s="41"/>
      <c r="K810" s="41"/>
      <c r="L810" s="40"/>
      <c r="M810" s="42"/>
      <c r="N810" s="41"/>
      <c r="O810" s="41"/>
      <c r="P810" s="41"/>
    </row>
    <row r="811" spans="1:16" ht="15.75" customHeight="1" x14ac:dyDescent="0.25">
      <c r="A811" s="37"/>
      <c r="B811" s="38"/>
      <c r="C811" s="39"/>
      <c r="D811" s="38"/>
      <c r="E811" s="39"/>
      <c r="F811" s="40"/>
      <c r="G811" s="38"/>
      <c r="H811" s="39"/>
      <c r="I811" s="41"/>
      <c r="J811" s="41"/>
      <c r="K811" s="41"/>
      <c r="L811" s="40"/>
      <c r="M811" s="42"/>
      <c r="N811" s="41"/>
      <c r="O811" s="41"/>
      <c r="P811" s="41"/>
    </row>
    <row r="812" spans="1:16" ht="15.75" customHeight="1" x14ac:dyDescent="0.25">
      <c r="A812" s="37"/>
      <c r="B812" s="38"/>
      <c r="C812" s="39"/>
      <c r="D812" s="38"/>
      <c r="E812" s="39"/>
      <c r="F812" s="40"/>
      <c r="G812" s="38"/>
      <c r="H812" s="39"/>
      <c r="I812" s="41"/>
      <c r="J812" s="41"/>
      <c r="K812" s="41"/>
      <c r="L812" s="40"/>
      <c r="M812" s="42"/>
      <c r="N812" s="41"/>
      <c r="O812" s="41"/>
      <c r="P812" s="41"/>
    </row>
    <row r="813" spans="1:16" ht="15.75" customHeight="1" x14ac:dyDescent="0.25">
      <c r="A813" s="37"/>
      <c r="B813" s="38"/>
      <c r="C813" s="39"/>
      <c r="D813" s="38"/>
      <c r="E813" s="39"/>
      <c r="F813" s="40"/>
      <c r="G813" s="38"/>
      <c r="H813" s="39"/>
      <c r="I813" s="41"/>
      <c r="J813" s="41"/>
      <c r="K813" s="41"/>
      <c r="L813" s="40"/>
      <c r="M813" s="42"/>
      <c r="N813" s="41"/>
      <c r="O813" s="41"/>
      <c r="P813" s="41"/>
    </row>
    <row r="814" spans="1:16" ht="15.75" customHeight="1" x14ac:dyDescent="0.25">
      <c r="A814" s="37"/>
      <c r="B814" s="38"/>
      <c r="C814" s="39"/>
      <c r="D814" s="38"/>
      <c r="E814" s="39"/>
      <c r="F814" s="40"/>
      <c r="G814" s="38"/>
      <c r="H814" s="39"/>
      <c r="I814" s="41"/>
      <c r="J814" s="41"/>
      <c r="K814" s="41"/>
      <c r="L814" s="40"/>
      <c r="M814" s="42"/>
      <c r="N814" s="41"/>
      <c r="O814" s="41"/>
      <c r="P814" s="41"/>
    </row>
    <row r="815" spans="1:16" ht="15.75" customHeight="1" x14ac:dyDescent="0.25">
      <c r="A815" s="37"/>
      <c r="B815" s="38"/>
      <c r="C815" s="39"/>
      <c r="D815" s="38"/>
      <c r="E815" s="39"/>
      <c r="F815" s="40"/>
      <c r="G815" s="38"/>
      <c r="H815" s="39"/>
      <c r="I815" s="41"/>
      <c r="J815" s="41"/>
      <c r="K815" s="41"/>
      <c r="L815" s="40"/>
      <c r="M815" s="42"/>
      <c r="N815" s="41"/>
      <c r="O815" s="41"/>
      <c r="P815" s="41"/>
    </row>
    <row r="816" spans="1:16" ht="15.75" customHeight="1" x14ac:dyDescent="0.25">
      <c r="A816" s="37"/>
      <c r="B816" s="38"/>
      <c r="C816" s="39"/>
      <c r="D816" s="38"/>
      <c r="E816" s="39"/>
      <c r="F816" s="40"/>
      <c r="G816" s="38"/>
      <c r="H816" s="39"/>
      <c r="I816" s="41"/>
      <c r="J816" s="41"/>
      <c r="K816" s="41"/>
      <c r="L816" s="40"/>
      <c r="M816" s="42"/>
      <c r="N816" s="41"/>
      <c r="O816" s="41"/>
      <c r="P816" s="41"/>
    </row>
    <row r="817" spans="1:16" ht="15.75" customHeight="1" x14ac:dyDescent="0.25">
      <c r="A817" s="37"/>
      <c r="B817" s="38"/>
      <c r="C817" s="39"/>
      <c r="D817" s="38"/>
      <c r="E817" s="39"/>
      <c r="F817" s="40"/>
      <c r="G817" s="38"/>
      <c r="H817" s="39"/>
      <c r="I817" s="41"/>
      <c r="J817" s="41"/>
      <c r="K817" s="41"/>
      <c r="L817" s="40"/>
      <c r="M817" s="42"/>
      <c r="N817" s="41"/>
      <c r="O817" s="41"/>
      <c r="P817" s="41"/>
    </row>
    <row r="818" spans="1:16" ht="15.75" customHeight="1" x14ac:dyDescent="0.25">
      <c r="A818" s="37"/>
      <c r="B818" s="38"/>
      <c r="C818" s="39"/>
      <c r="D818" s="38"/>
      <c r="E818" s="39"/>
      <c r="F818" s="40"/>
      <c r="G818" s="38"/>
      <c r="H818" s="39"/>
      <c r="I818" s="41"/>
      <c r="J818" s="41"/>
      <c r="K818" s="41"/>
      <c r="L818" s="40"/>
      <c r="M818" s="42"/>
      <c r="N818" s="41"/>
      <c r="O818" s="41"/>
      <c r="P818" s="41"/>
    </row>
    <row r="819" spans="1:16" ht="15.75" customHeight="1" x14ac:dyDescent="0.25">
      <c r="A819" s="37"/>
      <c r="B819" s="38"/>
      <c r="C819" s="39"/>
      <c r="D819" s="38"/>
      <c r="E819" s="39"/>
      <c r="F819" s="40"/>
      <c r="G819" s="38"/>
      <c r="H819" s="39"/>
      <c r="I819" s="41"/>
      <c r="J819" s="41"/>
      <c r="K819" s="41"/>
      <c r="L819" s="40"/>
      <c r="M819" s="42"/>
      <c r="N819" s="41"/>
      <c r="O819" s="41"/>
      <c r="P819" s="41"/>
    </row>
    <row r="820" spans="1:16" ht="15.75" customHeight="1" x14ac:dyDescent="0.25">
      <c r="A820" s="37"/>
      <c r="B820" s="38"/>
      <c r="C820" s="39"/>
      <c r="D820" s="38"/>
      <c r="E820" s="39"/>
      <c r="F820" s="40"/>
      <c r="G820" s="38"/>
      <c r="H820" s="39"/>
      <c r="I820" s="41"/>
      <c r="J820" s="41"/>
      <c r="K820" s="41"/>
      <c r="L820" s="40"/>
      <c r="M820" s="42"/>
      <c r="N820" s="41"/>
      <c r="O820" s="41"/>
      <c r="P820" s="41"/>
    </row>
    <row r="821" spans="1:16" ht="15.75" customHeight="1" x14ac:dyDescent="0.25">
      <c r="A821" s="37"/>
      <c r="B821" s="38"/>
      <c r="C821" s="39"/>
      <c r="D821" s="38"/>
      <c r="E821" s="39"/>
      <c r="F821" s="40"/>
      <c r="G821" s="38"/>
      <c r="H821" s="39"/>
      <c r="I821" s="41"/>
      <c r="J821" s="41"/>
      <c r="K821" s="41"/>
      <c r="L821" s="40"/>
      <c r="M821" s="42"/>
      <c r="N821" s="41"/>
      <c r="O821" s="41"/>
      <c r="P821" s="41"/>
    </row>
    <row r="822" spans="1:16" ht="15.75" customHeight="1" x14ac:dyDescent="0.25">
      <c r="A822" s="37"/>
      <c r="B822" s="38"/>
      <c r="C822" s="39"/>
      <c r="D822" s="38"/>
      <c r="E822" s="39"/>
      <c r="F822" s="40"/>
      <c r="G822" s="38"/>
      <c r="H822" s="39"/>
      <c r="I822" s="41"/>
      <c r="J822" s="41"/>
      <c r="K822" s="41"/>
      <c r="L822" s="40"/>
      <c r="M822" s="42"/>
      <c r="N822" s="41"/>
      <c r="O822" s="41"/>
      <c r="P822" s="41"/>
    </row>
    <row r="823" spans="1:16" ht="15.75" customHeight="1" x14ac:dyDescent="0.25">
      <c r="A823" s="37"/>
      <c r="B823" s="38"/>
      <c r="C823" s="39"/>
      <c r="D823" s="38"/>
      <c r="E823" s="39"/>
      <c r="F823" s="40"/>
      <c r="G823" s="38"/>
      <c r="H823" s="39"/>
      <c r="I823" s="41"/>
      <c r="J823" s="41"/>
      <c r="K823" s="41"/>
      <c r="L823" s="40"/>
      <c r="M823" s="42"/>
      <c r="N823" s="41"/>
      <c r="O823" s="41"/>
      <c r="P823" s="41"/>
    </row>
    <row r="824" spans="1:16" ht="15.75" customHeight="1" x14ac:dyDescent="0.25">
      <c r="A824" s="37"/>
      <c r="B824" s="38"/>
      <c r="C824" s="39"/>
      <c r="D824" s="38"/>
      <c r="E824" s="39"/>
      <c r="F824" s="40"/>
      <c r="G824" s="38"/>
      <c r="H824" s="39"/>
      <c r="I824" s="41"/>
      <c r="J824" s="41"/>
      <c r="K824" s="41"/>
      <c r="L824" s="40"/>
      <c r="M824" s="42"/>
      <c r="N824" s="41"/>
      <c r="O824" s="41"/>
      <c r="P824" s="41"/>
    </row>
    <row r="825" spans="1:16" ht="15.75" customHeight="1" x14ac:dyDescent="0.25">
      <c r="A825" s="37"/>
      <c r="B825" s="38"/>
      <c r="C825" s="39"/>
      <c r="D825" s="38"/>
      <c r="E825" s="39"/>
      <c r="F825" s="40"/>
      <c r="G825" s="38"/>
      <c r="H825" s="39"/>
      <c r="I825" s="41"/>
      <c r="J825" s="41"/>
      <c r="K825" s="41"/>
      <c r="L825" s="40"/>
      <c r="M825" s="42"/>
      <c r="N825" s="41"/>
      <c r="O825" s="41"/>
      <c r="P825" s="41"/>
    </row>
    <row r="826" spans="1:16" ht="15.75" customHeight="1" x14ac:dyDescent="0.25">
      <c r="A826" s="37"/>
      <c r="B826" s="38"/>
      <c r="C826" s="39"/>
      <c r="D826" s="38"/>
      <c r="E826" s="39"/>
      <c r="F826" s="40"/>
      <c r="G826" s="38"/>
      <c r="H826" s="39"/>
      <c r="I826" s="41"/>
      <c r="J826" s="41"/>
      <c r="K826" s="41"/>
      <c r="L826" s="40"/>
      <c r="M826" s="42"/>
      <c r="N826" s="41"/>
      <c r="O826" s="41"/>
      <c r="P826" s="41"/>
    </row>
    <row r="827" spans="1:16" ht="15.75" customHeight="1" x14ac:dyDescent="0.25">
      <c r="A827" s="37"/>
      <c r="B827" s="38"/>
      <c r="C827" s="39"/>
      <c r="D827" s="38"/>
      <c r="E827" s="39"/>
      <c r="F827" s="40"/>
      <c r="G827" s="38"/>
      <c r="H827" s="39"/>
      <c r="I827" s="41"/>
      <c r="J827" s="41"/>
      <c r="K827" s="41"/>
      <c r="L827" s="40"/>
      <c r="M827" s="42"/>
      <c r="N827" s="41"/>
      <c r="O827" s="41"/>
      <c r="P827" s="41"/>
    </row>
    <row r="828" spans="1:16" ht="15.75" customHeight="1" x14ac:dyDescent="0.25">
      <c r="A828" s="37"/>
      <c r="B828" s="38"/>
      <c r="C828" s="39"/>
      <c r="D828" s="38"/>
      <c r="E828" s="39"/>
      <c r="F828" s="40"/>
      <c r="G828" s="38"/>
      <c r="H828" s="39"/>
      <c r="I828" s="41"/>
      <c r="J828" s="41"/>
      <c r="K828" s="41"/>
      <c r="L828" s="40"/>
      <c r="M828" s="42"/>
      <c r="N828" s="41"/>
      <c r="O828" s="41"/>
      <c r="P828" s="41"/>
    </row>
    <row r="829" spans="1:16" ht="15.75" customHeight="1" x14ac:dyDescent="0.25">
      <c r="A829" s="37"/>
      <c r="B829" s="38"/>
      <c r="C829" s="39"/>
      <c r="D829" s="38"/>
      <c r="E829" s="39"/>
      <c r="F829" s="40"/>
      <c r="G829" s="38"/>
      <c r="H829" s="39"/>
      <c r="I829" s="41"/>
      <c r="J829" s="41"/>
      <c r="K829" s="41"/>
      <c r="L829" s="40"/>
      <c r="M829" s="42"/>
      <c r="N829" s="41"/>
      <c r="O829" s="41"/>
      <c r="P829" s="41"/>
    </row>
    <row r="830" spans="1:16" ht="15.75" customHeight="1" x14ac:dyDescent="0.25">
      <c r="A830" s="37"/>
      <c r="B830" s="38"/>
      <c r="C830" s="39"/>
      <c r="D830" s="38"/>
      <c r="E830" s="39"/>
      <c r="F830" s="40"/>
      <c r="G830" s="38"/>
      <c r="H830" s="39"/>
      <c r="I830" s="41"/>
      <c r="J830" s="41"/>
      <c r="K830" s="41"/>
      <c r="L830" s="40"/>
      <c r="M830" s="42"/>
      <c r="N830" s="41"/>
      <c r="O830" s="41"/>
      <c r="P830" s="41"/>
    </row>
    <row r="831" spans="1:16" ht="15.75" customHeight="1" x14ac:dyDescent="0.25">
      <c r="A831" s="37"/>
      <c r="B831" s="38"/>
      <c r="C831" s="39"/>
      <c r="D831" s="38"/>
      <c r="E831" s="39"/>
      <c r="F831" s="40"/>
      <c r="G831" s="38"/>
      <c r="H831" s="39"/>
      <c r="I831" s="41"/>
      <c r="J831" s="41"/>
      <c r="K831" s="41"/>
      <c r="L831" s="40"/>
      <c r="M831" s="42"/>
      <c r="N831" s="41"/>
      <c r="O831" s="41"/>
      <c r="P831" s="41"/>
    </row>
    <row r="832" spans="1:16" ht="15.75" customHeight="1" x14ac:dyDescent="0.25">
      <c r="A832" s="37"/>
      <c r="B832" s="38"/>
      <c r="C832" s="39"/>
      <c r="D832" s="38"/>
      <c r="E832" s="39"/>
      <c r="F832" s="40"/>
      <c r="G832" s="38"/>
      <c r="H832" s="39"/>
      <c r="I832" s="41"/>
      <c r="J832" s="41"/>
      <c r="K832" s="41"/>
      <c r="L832" s="40"/>
      <c r="M832" s="42"/>
      <c r="N832" s="41"/>
      <c r="O832" s="41"/>
      <c r="P832" s="41"/>
    </row>
    <row r="833" spans="1:16" ht="15.75" customHeight="1" x14ac:dyDescent="0.25">
      <c r="A833" s="37"/>
      <c r="B833" s="38"/>
      <c r="C833" s="39"/>
      <c r="D833" s="38"/>
      <c r="E833" s="39"/>
      <c r="F833" s="40"/>
      <c r="G833" s="38"/>
      <c r="H833" s="39"/>
      <c r="I833" s="41"/>
      <c r="J833" s="41"/>
      <c r="K833" s="41"/>
      <c r="L833" s="40"/>
      <c r="M833" s="42"/>
      <c r="N833" s="41"/>
      <c r="O833" s="41"/>
      <c r="P833" s="41"/>
    </row>
    <row r="834" spans="1:16" ht="15.75" customHeight="1" x14ac:dyDescent="0.25">
      <c r="A834" s="37"/>
      <c r="B834" s="38"/>
      <c r="C834" s="39"/>
      <c r="D834" s="38"/>
      <c r="E834" s="39"/>
      <c r="F834" s="40"/>
      <c r="G834" s="38"/>
      <c r="H834" s="39"/>
      <c r="I834" s="41"/>
      <c r="J834" s="41"/>
      <c r="K834" s="41"/>
      <c r="L834" s="40"/>
      <c r="M834" s="42"/>
      <c r="N834" s="41"/>
      <c r="O834" s="41"/>
      <c r="P834" s="41"/>
    </row>
    <row r="835" spans="1:16" ht="15.75" customHeight="1" x14ac:dyDescent="0.25">
      <c r="A835" s="37"/>
      <c r="B835" s="38"/>
      <c r="C835" s="39"/>
      <c r="D835" s="38"/>
      <c r="E835" s="39"/>
      <c r="F835" s="40"/>
      <c r="G835" s="38"/>
      <c r="H835" s="39"/>
      <c r="I835" s="41"/>
      <c r="J835" s="41"/>
      <c r="K835" s="41"/>
      <c r="L835" s="40"/>
      <c r="M835" s="42"/>
      <c r="N835" s="41"/>
      <c r="O835" s="41"/>
      <c r="P835" s="41"/>
    </row>
    <row r="836" spans="1:16" ht="15.75" customHeight="1" x14ac:dyDescent="0.25">
      <c r="A836" s="37"/>
      <c r="B836" s="38"/>
      <c r="C836" s="39"/>
      <c r="D836" s="38"/>
      <c r="E836" s="39"/>
      <c r="F836" s="40"/>
      <c r="G836" s="38"/>
      <c r="H836" s="39"/>
      <c r="I836" s="41"/>
      <c r="J836" s="41"/>
      <c r="K836" s="41"/>
      <c r="L836" s="40"/>
      <c r="M836" s="42"/>
      <c r="N836" s="41"/>
      <c r="O836" s="41"/>
      <c r="P836" s="41"/>
    </row>
    <row r="837" spans="1:16" ht="15.75" customHeight="1" x14ac:dyDescent="0.25">
      <c r="A837" s="37"/>
      <c r="B837" s="38"/>
      <c r="C837" s="39"/>
      <c r="D837" s="38"/>
      <c r="E837" s="39"/>
      <c r="F837" s="40"/>
      <c r="G837" s="38"/>
      <c r="H837" s="39"/>
      <c r="I837" s="41"/>
      <c r="J837" s="41"/>
      <c r="K837" s="41"/>
      <c r="L837" s="40"/>
      <c r="M837" s="42"/>
      <c r="N837" s="41"/>
      <c r="O837" s="41"/>
      <c r="P837" s="41"/>
    </row>
    <row r="838" spans="1:16" ht="15.75" customHeight="1" x14ac:dyDescent="0.25">
      <c r="A838" s="37"/>
      <c r="B838" s="38"/>
      <c r="C838" s="39"/>
      <c r="D838" s="38"/>
      <c r="E838" s="39"/>
      <c r="F838" s="40"/>
      <c r="G838" s="38"/>
      <c r="H838" s="39"/>
      <c r="I838" s="41"/>
      <c r="J838" s="41"/>
      <c r="K838" s="41"/>
      <c r="L838" s="40"/>
      <c r="M838" s="42"/>
      <c r="N838" s="41"/>
      <c r="O838" s="41"/>
      <c r="P838" s="41"/>
    </row>
    <row r="839" spans="1:16" ht="15.75" customHeight="1" x14ac:dyDescent="0.25">
      <c r="A839" s="37"/>
      <c r="B839" s="38"/>
      <c r="C839" s="39"/>
      <c r="D839" s="38"/>
      <c r="E839" s="39"/>
      <c r="F839" s="40"/>
      <c r="G839" s="38"/>
      <c r="H839" s="39"/>
      <c r="I839" s="41"/>
      <c r="J839" s="41"/>
      <c r="K839" s="41"/>
      <c r="L839" s="40"/>
      <c r="M839" s="42"/>
      <c r="N839" s="41"/>
      <c r="O839" s="41"/>
      <c r="P839" s="41"/>
    </row>
    <row r="840" spans="1:16" ht="15.75" customHeight="1" x14ac:dyDescent="0.25">
      <c r="A840" s="37"/>
      <c r="B840" s="38"/>
      <c r="C840" s="39"/>
      <c r="D840" s="38"/>
      <c r="E840" s="39"/>
      <c r="F840" s="40"/>
      <c r="G840" s="38"/>
      <c r="H840" s="39"/>
      <c r="I840" s="41"/>
      <c r="J840" s="41"/>
      <c r="K840" s="41"/>
      <c r="L840" s="40"/>
      <c r="M840" s="42"/>
      <c r="N840" s="41"/>
      <c r="O840" s="41"/>
      <c r="P840" s="41"/>
    </row>
    <row r="841" spans="1:16" ht="15.75" customHeight="1" x14ac:dyDescent="0.25">
      <c r="A841" s="37"/>
      <c r="B841" s="38"/>
      <c r="C841" s="39"/>
      <c r="D841" s="38"/>
      <c r="E841" s="39"/>
      <c r="F841" s="40"/>
      <c r="G841" s="38"/>
      <c r="H841" s="39"/>
      <c r="I841" s="41"/>
      <c r="J841" s="41"/>
      <c r="K841" s="41"/>
      <c r="L841" s="40"/>
      <c r="M841" s="42"/>
      <c r="N841" s="41"/>
      <c r="O841" s="41"/>
      <c r="P841" s="41"/>
    </row>
    <row r="842" spans="1:16" ht="15.75" customHeight="1" x14ac:dyDescent="0.25">
      <c r="A842" s="37"/>
      <c r="B842" s="38"/>
      <c r="C842" s="39"/>
      <c r="D842" s="38"/>
      <c r="E842" s="39"/>
      <c r="F842" s="40"/>
      <c r="G842" s="38"/>
      <c r="H842" s="39"/>
      <c r="I842" s="41"/>
      <c r="J842" s="41"/>
      <c r="K842" s="41"/>
      <c r="L842" s="40"/>
      <c r="M842" s="42"/>
      <c r="N842" s="41"/>
      <c r="O842" s="41"/>
      <c r="P842" s="41"/>
    </row>
    <row r="843" spans="1:16" ht="15.75" customHeight="1" x14ac:dyDescent="0.25">
      <c r="A843" s="37"/>
      <c r="B843" s="38"/>
      <c r="C843" s="39"/>
      <c r="D843" s="38"/>
      <c r="E843" s="39"/>
      <c r="F843" s="40"/>
      <c r="G843" s="38"/>
      <c r="H843" s="39"/>
      <c r="I843" s="41"/>
      <c r="J843" s="41"/>
      <c r="K843" s="41"/>
      <c r="L843" s="40"/>
      <c r="M843" s="42"/>
      <c r="N843" s="41"/>
      <c r="O843" s="41"/>
      <c r="P843" s="41"/>
    </row>
    <row r="844" spans="1:16" ht="15.75" customHeight="1" x14ac:dyDescent="0.25">
      <c r="A844" s="37"/>
      <c r="B844" s="38"/>
      <c r="C844" s="39"/>
      <c r="D844" s="38"/>
      <c r="E844" s="39"/>
      <c r="F844" s="40"/>
      <c r="G844" s="38"/>
      <c r="H844" s="39"/>
      <c r="I844" s="41"/>
      <c r="J844" s="41"/>
      <c r="K844" s="41"/>
      <c r="L844" s="40"/>
      <c r="M844" s="42"/>
      <c r="N844" s="41"/>
      <c r="O844" s="41"/>
      <c r="P844" s="41"/>
    </row>
    <row r="845" spans="1:16" ht="15.75" customHeight="1" x14ac:dyDescent="0.25">
      <c r="A845" s="37"/>
      <c r="B845" s="38"/>
      <c r="C845" s="39"/>
      <c r="D845" s="38"/>
      <c r="E845" s="39"/>
      <c r="F845" s="40"/>
      <c r="G845" s="38"/>
      <c r="H845" s="39"/>
      <c r="I845" s="41"/>
      <c r="J845" s="41"/>
      <c r="K845" s="41"/>
      <c r="L845" s="40"/>
      <c r="M845" s="42"/>
      <c r="N845" s="41"/>
      <c r="O845" s="41"/>
      <c r="P845" s="41"/>
    </row>
    <row r="846" spans="1:16" ht="15.75" customHeight="1" x14ac:dyDescent="0.25">
      <c r="A846" s="37"/>
      <c r="B846" s="38"/>
      <c r="C846" s="39"/>
      <c r="D846" s="38"/>
      <c r="E846" s="39"/>
      <c r="F846" s="40"/>
      <c r="G846" s="38"/>
      <c r="H846" s="39"/>
      <c r="I846" s="41"/>
      <c r="J846" s="41"/>
      <c r="K846" s="41"/>
      <c r="L846" s="40"/>
      <c r="M846" s="42"/>
      <c r="N846" s="41"/>
      <c r="O846" s="41"/>
      <c r="P846" s="41"/>
    </row>
    <row r="847" spans="1:16" ht="15.75" customHeight="1" x14ac:dyDescent="0.25">
      <c r="A847" s="37"/>
      <c r="B847" s="38"/>
      <c r="C847" s="39"/>
      <c r="D847" s="38"/>
      <c r="E847" s="39"/>
      <c r="F847" s="40"/>
      <c r="G847" s="38"/>
      <c r="H847" s="39"/>
      <c r="I847" s="41"/>
      <c r="J847" s="41"/>
      <c r="K847" s="41"/>
      <c r="L847" s="40"/>
      <c r="M847" s="42"/>
      <c r="N847" s="41"/>
      <c r="O847" s="41"/>
      <c r="P847" s="41"/>
    </row>
    <row r="848" spans="1:16" ht="15.75" customHeight="1" x14ac:dyDescent="0.25">
      <c r="A848" s="37"/>
      <c r="B848" s="38"/>
      <c r="C848" s="39"/>
      <c r="D848" s="38"/>
      <c r="E848" s="39"/>
      <c r="F848" s="40"/>
      <c r="G848" s="38"/>
      <c r="H848" s="39"/>
      <c r="I848" s="41"/>
      <c r="J848" s="41"/>
      <c r="K848" s="41"/>
      <c r="L848" s="40"/>
      <c r="M848" s="42"/>
      <c r="N848" s="41"/>
      <c r="O848" s="41"/>
      <c r="P848" s="41"/>
    </row>
    <row r="849" spans="1:16" ht="15.75" customHeight="1" x14ac:dyDescent="0.25">
      <c r="A849" s="37"/>
      <c r="B849" s="38"/>
      <c r="C849" s="39"/>
      <c r="D849" s="38"/>
      <c r="E849" s="39"/>
      <c r="F849" s="40"/>
      <c r="G849" s="38"/>
      <c r="H849" s="39"/>
      <c r="I849" s="41"/>
      <c r="J849" s="41"/>
      <c r="K849" s="41"/>
      <c r="L849" s="40"/>
      <c r="M849" s="42"/>
      <c r="N849" s="41"/>
      <c r="O849" s="41"/>
      <c r="P849" s="41"/>
    </row>
    <row r="850" spans="1:16" ht="15.75" customHeight="1" x14ac:dyDescent="0.25">
      <c r="A850" s="37"/>
      <c r="B850" s="38"/>
      <c r="C850" s="39"/>
      <c r="D850" s="38"/>
      <c r="E850" s="39"/>
      <c r="F850" s="40"/>
      <c r="G850" s="38"/>
      <c r="H850" s="39"/>
      <c r="I850" s="41"/>
      <c r="J850" s="41"/>
      <c r="K850" s="41"/>
      <c r="L850" s="40"/>
      <c r="M850" s="42"/>
      <c r="N850" s="41"/>
      <c r="O850" s="41"/>
      <c r="P850" s="41"/>
    </row>
    <row r="851" spans="1:16" ht="15.75" customHeight="1" x14ac:dyDescent="0.25">
      <c r="A851" s="37"/>
      <c r="B851" s="38"/>
      <c r="C851" s="39"/>
      <c r="D851" s="38"/>
      <c r="E851" s="39"/>
      <c r="F851" s="40"/>
      <c r="G851" s="38"/>
      <c r="H851" s="39"/>
      <c r="I851" s="41"/>
      <c r="J851" s="41"/>
      <c r="K851" s="41"/>
      <c r="L851" s="40"/>
      <c r="M851" s="42"/>
      <c r="N851" s="41"/>
      <c r="O851" s="41"/>
      <c r="P851" s="41"/>
    </row>
    <row r="852" spans="1:16" ht="15.75" customHeight="1" x14ac:dyDescent="0.25">
      <c r="A852" s="37"/>
      <c r="B852" s="38"/>
      <c r="C852" s="39"/>
      <c r="D852" s="38"/>
      <c r="E852" s="39"/>
      <c r="F852" s="40"/>
      <c r="G852" s="38"/>
      <c r="H852" s="39"/>
      <c r="I852" s="41"/>
      <c r="J852" s="41"/>
      <c r="K852" s="41"/>
      <c r="L852" s="40"/>
      <c r="M852" s="42"/>
      <c r="N852" s="41"/>
      <c r="O852" s="41"/>
      <c r="P852" s="41"/>
    </row>
    <row r="853" spans="1:16" ht="15.75" customHeight="1" x14ac:dyDescent="0.25">
      <c r="A853" s="37"/>
      <c r="B853" s="38"/>
      <c r="C853" s="39"/>
      <c r="D853" s="38"/>
      <c r="E853" s="39"/>
      <c r="F853" s="40"/>
      <c r="G853" s="38"/>
      <c r="H853" s="39"/>
      <c r="I853" s="41"/>
      <c r="J853" s="41"/>
      <c r="K853" s="41"/>
      <c r="L853" s="40"/>
      <c r="M853" s="42"/>
      <c r="N853" s="41"/>
      <c r="O853" s="41"/>
      <c r="P853" s="41"/>
    </row>
    <row r="854" spans="1:16" ht="15.75" customHeight="1" x14ac:dyDescent="0.25">
      <c r="A854" s="37"/>
      <c r="B854" s="38"/>
      <c r="C854" s="39"/>
      <c r="D854" s="38"/>
      <c r="E854" s="39"/>
      <c r="F854" s="40"/>
      <c r="G854" s="38"/>
      <c r="H854" s="39"/>
      <c r="I854" s="41"/>
      <c r="J854" s="41"/>
      <c r="K854" s="41"/>
      <c r="L854" s="40"/>
      <c r="M854" s="42"/>
      <c r="N854" s="41"/>
      <c r="O854" s="41"/>
      <c r="P854" s="41"/>
    </row>
    <row r="855" spans="1:16" ht="15.75" customHeight="1" x14ac:dyDescent="0.25">
      <c r="A855" s="37"/>
      <c r="B855" s="38"/>
      <c r="C855" s="39"/>
      <c r="D855" s="38"/>
      <c r="E855" s="39"/>
      <c r="F855" s="40"/>
      <c r="G855" s="38"/>
      <c r="H855" s="39"/>
      <c r="I855" s="41"/>
      <c r="J855" s="41"/>
      <c r="K855" s="41"/>
      <c r="L855" s="40"/>
      <c r="M855" s="42"/>
      <c r="N855" s="41"/>
      <c r="O855" s="41"/>
      <c r="P855" s="41"/>
    </row>
    <row r="856" spans="1:16" ht="15.75" customHeight="1" x14ac:dyDescent="0.25">
      <c r="A856" s="37"/>
      <c r="B856" s="38"/>
      <c r="C856" s="39"/>
      <c r="D856" s="38"/>
      <c r="E856" s="39"/>
      <c r="F856" s="40"/>
      <c r="G856" s="38"/>
      <c r="H856" s="39"/>
      <c r="I856" s="41"/>
      <c r="J856" s="41"/>
      <c r="K856" s="41"/>
      <c r="L856" s="40"/>
      <c r="M856" s="42"/>
      <c r="N856" s="41"/>
      <c r="O856" s="41"/>
      <c r="P856" s="41"/>
    </row>
    <row r="857" spans="1:16" ht="15.75" customHeight="1" x14ac:dyDescent="0.25">
      <c r="A857" s="37"/>
      <c r="B857" s="38"/>
      <c r="C857" s="39"/>
      <c r="D857" s="38"/>
      <c r="E857" s="39"/>
      <c r="F857" s="40"/>
      <c r="G857" s="38"/>
      <c r="H857" s="39"/>
      <c r="I857" s="41"/>
      <c r="J857" s="41"/>
      <c r="K857" s="41"/>
      <c r="L857" s="40"/>
      <c r="M857" s="42"/>
      <c r="N857" s="41"/>
      <c r="O857" s="41"/>
      <c r="P857" s="41"/>
    </row>
    <row r="858" spans="1:16" ht="15.75" customHeight="1" x14ac:dyDescent="0.25">
      <c r="A858" s="37"/>
      <c r="B858" s="38"/>
      <c r="C858" s="39"/>
      <c r="D858" s="38"/>
      <c r="E858" s="39"/>
      <c r="F858" s="40"/>
      <c r="G858" s="38"/>
      <c r="H858" s="39"/>
      <c r="I858" s="41"/>
      <c r="J858" s="41"/>
      <c r="K858" s="41"/>
      <c r="L858" s="40"/>
      <c r="M858" s="42"/>
      <c r="N858" s="41"/>
      <c r="O858" s="41"/>
      <c r="P858" s="41"/>
    </row>
    <row r="859" spans="1:16" ht="15.75" customHeight="1" x14ac:dyDescent="0.25">
      <c r="A859" s="37"/>
      <c r="B859" s="38"/>
      <c r="C859" s="39"/>
      <c r="D859" s="38"/>
      <c r="E859" s="39"/>
      <c r="F859" s="40"/>
      <c r="G859" s="38"/>
      <c r="H859" s="39"/>
      <c r="I859" s="41"/>
      <c r="J859" s="41"/>
      <c r="K859" s="41"/>
      <c r="L859" s="40"/>
      <c r="M859" s="42"/>
      <c r="N859" s="41"/>
      <c r="O859" s="41"/>
      <c r="P859" s="41"/>
    </row>
    <row r="860" spans="1:16" ht="15.75" customHeight="1" x14ac:dyDescent="0.25">
      <c r="A860" s="37"/>
      <c r="B860" s="38"/>
      <c r="C860" s="39"/>
      <c r="D860" s="38"/>
      <c r="E860" s="39"/>
      <c r="F860" s="40"/>
      <c r="G860" s="38"/>
      <c r="H860" s="39"/>
      <c r="I860" s="41"/>
      <c r="J860" s="41"/>
      <c r="K860" s="41"/>
      <c r="L860" s="40"/>
      <c r="M860" s="42"/>
      <c r="N860" s="41"/>
      <c r="O860" s="41"/>
      <c r="P860" s="41"/>
    </row>
    <row r="861" spans="1:16" ht="15.75" customHeight="1" x14ac:dyDescent="0.25">
      <c r="A861" s="37"/>
      <c r="B861" s="38"/>
      <c r="C861" s="39"/>
      <c r="D861" s="38"/>
      <c r="E861" s="39"/>
      <c r="F861" s="40"/>
      <c r="G861" s="38"/>
      <c r="H861" s="39"/>
      <c r="I861" s="41"/>
      <c r="J861" s="41"/>
      <c r="K861" s="41"/>
      <c r="L861" s="40"/>
      <c r="M861" s="42"/>
      <c r="N861" s="41"/>
      <c r="O861" s="41"/>
      <c r="P861" s="41"/>
    </row>
    <row r="862" spans="1:16" ht="15.75" customHeight="1" x14ac:dyDescent="0.25">
      <c r="A862" s="37"/>
      <c r="B862" s="38"/>
      <c r="C862" s="39"/>
      <c r="D862" s="38"/>
      <c r="E862" s="39"/>
      <c r="F862" s="40"/>
      <c r="G862" s="38"/>
      <c r="H862" s="39"/>
      <c r="I862" s="41"/>
      <c r="J862" s="41"/>
      <c r="K862" s="41"/>
      <c r="L862" s="40"/>
      <c r="M862" s="42"/>
      <c r="N862" s="41"/>
      <c r="O862" s="41"/>
      <c r="P862" s="41"/>
    </row>
    <row r="863" spans="1:16" ht="15.75" customHeight="1" x14ac:dyDescent="0.25">
      <c r="A863" s="37"/>
      <c r="B863" s="38"/>
      <c r="C863" s="39"/>
      <c r="D863" s="38"/>
      <c r="E863" s="39"/>
      <c r="F863" s="40"/>
      <c r="G863" s="38"/>
      <c r="H863" s="39"/>
      <c r="I863" s="41"/>
      <c r="J863" s="41"/>
      <c r="K863" s="41"/>
      <c r="L863" s="40"/>
      <c r="M863" s="42"/>
      <c r="N863" s="41"/>
      <c r="O863" s="41"/>
      <c r="P863" s="41"/>
    </row>
    <row r="864" spans="1:16" ht="15.75" customHeight="1" x14ac:dyDescent="0.25">
      <c r="A864" s="37"/>
      <c r="B864" s="38"/>
      <c r="C864" s="39"/>
      <c r="D864" s="38"/>
      <c r="E864" s="39"/>
      <c r="F864" s="40"/>
      <c r="G864" s="38"/>
      <c r="H864" s="39"/>
      <c r="I864" s="41"/>
      <c r="J864" s="41"/>
      <c r="K864" s="41"/>
      <c r="L864" s="40"/>
      <c r="M864" s="42"/>
      <c r="N864" s="41"/>
      <c r="O864" s="41"/>
      <c r="P864" s="41"/>
    </row>
    <row r="865" spans="1:16" ht="15.75" customHeight="1" x14ac:dyDescent="0.25">
      <c r="A865" s="37"/>
      <c r="B865" s="38"/>
      <c r="C865" s="39"/>
      <c r="D865" s="38"/>
      <c r="E865" s="39"/>
      <c r="F865" s="40"/>
      <c r="G865" s="38"/>
      <c r="H865" s="39"/>
      <c r="I865" s="41"/>
      <c r="J865" s="41"/>
      <c r="K865" s="41"/>
      <c r="L865" s="40"/>
      <c r="M865" s="42"/>
      <c r="N865" s="41"/>
      <c r="O865" s="41"/>
      <c r="P865" s="41"/>
    </row>
    <row r="866" spans="1:16" ht="15.75" customHeight="1" x14ac:dyDescent="0.25">
      <c r="A866" s="37"/>
      <c r="B866" s="38"/>
      <c r="C866" s="39"/>
      <c r="D866" s="38"/>
      <c r="E866" s="39"/>
      <c r="F866" s="40"/>
      <c r="G866" s="38"/>
      <c r="H866" s="39"/>
      <c r="I866" s="41"/>
      <c r="J866" s="41"/>
      <c r="K866" s="41"/>
      <c r="L866" s="40"/>
      <c r="M866" s="42"/>
      <c r="N866" s="41"/>
      <c r="O866" s="41"/>
      <c r="P866" s="41"/>
    </row>
    <row r="867" spans="1:16" ht="15.75" customHeight="1" x14ac:dyDescent="0.25">
      <c r="A867" s="37"/>
      <c r="B867" s="38"/>
      <c r="C867" s="39"/>
      <c r="D867" s="38"/>
      <c r="E867" s="39"/>
      <c r="F867" s="40"/>
      <c r="G867" s="38"/>
      <c r="H867" s="39"/>
      <c r="I867" s="41"/>
      <c r="J867" s="41"/>
      <c r="K867" s="41"/>
      <c r="L867" s="40"/>
      <c r="M867" s="42"/>
      <c r="N867" s="41"/>
      <c r="O867" s="41"/>
      <c r="P867" s="41"/>
    </row>
    <row r="868" spans="1:16" ht="15.75" customHeight="1" x14ac:dyDescent="0.25">
      <c r="A868" s="37"/>
      <c r="B868" s="38"/>
      <c r="C868" s="39"/>
      <c r="D868" s="38"/>
      <c r="E868" s="39"/>
      <c r="F868" s="40"/>
      <c r="G868" s="38"/>
      <c r="H868" s="39"/>
      <c r="I868" s="41"/>
      <c r="J868" s="41"/>
      <c r="K868" s="41"/>
      <c r="L868" s="40"/>
      <c r="M868" s="42"/>
      <c r="N868" s="41"/>
      <c r="O868" s="41"/>
      <c r="P868" s="41"/>
    </row>
    <row r="869" spans="1:16" ht="15.75" customHeight="1" x14ac:dyDescent="0.25">
      <c r="A869" s="37"/>
      <c r="B869" s="38"/>
      <c r="C869" s="39"/>
      <c r="D869" s="38"/>
      <c r="E869" s="39"/>
      <c r="F869" s="40"/>
      <c r="G869" s="38"/>
      <c r="H869" s="39"/>
      <c r="I869" s="41"/>
      <c r="J869" s="41"/>
      <c r="K869" s="41"/>
      <c r="L869" s="40"/>
      <c r="M869" s="42"/>
      <c r="N869" s="41"/>
      <c r="O869" s="41"/>
      <c r="P869" s="41"/>
    </row>
    <row r="870" spans="1:16" ht="15.75" customHeight="1" x14ac:dyDescent="0.25">
      <c r="A870" s="37"/>
      <c r="B870" s="38"/>
      <c r="C870" s="39"/>
      <c r="D870" s="38"/>
      <c r="E870" s="39"/>
      <c r="F870" s="40"/>
      <c r="G870" s="38"/>
      <c r="H870" s="39"/>
      <c r="I870" s="41"/>
      <c r="J870" s="41"/>
      <c r="K870" s="41"/>
      <c r="L870" s="40"/>
      <c r="M870" s="42"/>
      <c r="N870" s="41"/>
      <c r="O870" s="41"/>
      <c r="P870" s="41"/>
    </row>
    <row r="871" spans="1:16" ht="15.75" customHeight="1" x14ac:dyDescent="0.25">
      <c r="A871" s="37"/>
      <c r="B871" s="38"/>
      <c r="C871" s="39"/>
      <c r="D871" s="38"/>
      <c r="E871" s="39"/>
      <c r="F871" s="40"/>
      <c r="G871" s="38"/>
      <c r="H871" s="39"/>
      <c r="I871" s="41"/>
      <c r="J871" s="41"/>
      <c r="K871" s="41"/>
      <c r="L871" s="40"/>
      <c r="M871" s="42"/>
      <c r="N871" s="41"/>
      <c r="O871" s="41"/>
      <c r="P871" s="41"/>
    </row>
    <row r="872" spans="1:16" ht="15.75" customHeight="1" x14ac:dyDescent="0.25">
      <c r="A872" s="37"/>
      <c r="B872" s="38"/>
      <c r="C872" s="39"/>
      <c r="D872" s="38"/>
      <c r="E872" s="39"/>
      <c r="F872" s="40"/>
      <c r="G872" s="38"/>
      <c r="H872" s="39"/>
      <c r="I872" s="41"/>
      <c r="J872" s="41"/>
      <c r="K872" s="41"/>
      <c r="L872" s="40"/>
      <c r="M872" s="42"/>
      <c r="N872" s="41"/>
      <c r="O872" s="41"/>
      <c r="P872" s="41"/>
    </row>
    <row r="873" spans="1:16" ht="15.75" customHeight="1" x14ac:dyDescent="0.25">
      <c r="A873" s="37"/>
      <c r="B873" s="38"/>
      <c r="C873" s="39"/>
      <c r="D873" s="38"/>
      <c r="E873" s="39"/>
      <c r="F873" s="40"/>
      <c r="G873" s="38"/>
      <c r="H873" s="39"/>
      <c r="I873" s="41"/>
      <c r="J873" s="41"/>
      <c r="K873" s="41"/>
      <c r="L873" s="40"/>
      <c r="M873" s="42"/>
      <c r="N873" s="41"/>
      <c r="O873" s="41"/>
      <c r="P873" s="41"/>
    </row>
    <row r="874" spans="1:16" ht="15.75" customHeight="1" x14ac:dyDescent="0.25">
      <c r="A874" s="37"/>
      <c r="B874" s="38"/>
      <c r="C874" s="39"/>
      <c r="D874" s="38"/>
      <c r="E874" s="39"/>
      <c r="F874" s="40"/>
      <c r="G874" s="38"/>
      <c r="H874" s="39"/>
      <c r="I874" s="41"/>
      <c r="J874" s="41"/>
      <c r="K874" s="41"/>
      <c r="L874" s="40"/>
      <c r="M874" s="42"/>
      <c r="N874" s="41"/>
      <c r="O874" s="41"/>
      <c r="P874" s="41"/>
    </row>
    <row r="875" spans="1:16" ht="15.75" customHeight="1" x14ac:dyDescent="0.25">
      <c r="A875" s="37"/>
      <c r="B875" s="38"/>
      <c r="C875" s="39"/>
      <c r="D875" s="38"/>
      <c r="E875" s="39"/>
      <c r="F875" s="40"/>
      <c r="G875" s="38"/>
      <c r="H875" s="39"/>
      <c r="I875" s="41"/>
      <c r="J875" s="41"/>
      <c r="K875" s="41"/>
      <c r="L875" s="40"/>
      <c r="M875" s="42"/>
      <c r="N875" s="41"/>
      <c r="O875" s="41"/>
      <c r="P875" s="41"/>
    </row>
    <row r="876" spans="1:16" ht="15.75" customHeight="1" x14ac:dyDescent="0.25">
      <c r="A876" s="37"/>
      <c r="B876" s="38"/>
      <c r="C876" s="39"/>
      <c r="D876" s="38"/>
      <c r="E876" s="39"/>
      <c r="F876" s="40"/>
      <c r="G876" s="38"/>
      <c r="H876" s="39"/>
      <c r="I876" s="41"/>
      <c r="J876" s="41"/>
      <c r="K876" s="41"/>
      <c r="L876" s="40"/>
      <c r="M876" s="42"/>
      <c r="N876" s="41"/>
      <c r="O876" s="41"/>
      <c r="P876" s="41"/>
    </row>
    <row r="877" spans="1:16" ht="15.75" customHeight="1" x14ac:dyDescent="0.25">
      <c r="A877" s="37"/>
      <c r="B877" s="38"/>
      <c r="C877" s="39"/>
      <c r="D877" s="38"/>
      <c r="E877" s="39"/>
      <c r="F877" s="40"/>
      <c r="G877" s="38"/>
      <c r="H877" s="39"/>
      <c r="I877" s="41"/>
      <c r="J877" s="41"/>
      <c r="K877" s="41"/>
      <c r="L877" s="40"/>
      <c r="M877" s="42"/>
      <c r="N877" s="41"/>
      <c r="O877" s="41"/>
      <c r="P877" s="41"/>
    </row>
    <row r="878" spans="1:16" ht="15.75" customHeight="1" x14ac:dyDescent="0.25">
      <c r="A878" s="37"/>
      <c r="B878" s="38"/>
      <c r="C878" s="39"/>
      <c r="D878" s="38"/>
      <c r="E878" s="39"/>
      <c r="F878" s="40"/>
      <c r="G878" s="38"/>
      <c r="H878" s="39"/>
      <c r="I878" s="41"/>
      <c r="J878" s="41"/>
      <c r="K878" s="41"/>
      <c r="L878" s="40"/>
      <c r="M878" s="42"/>
      <c r="N878" s="41"/>
      <c r="O878" s="41"/>
      <c r="P878" s="41"/>
    </row>
    <row r="879" spans="1:16" ht="15.75" customHeight="1" x14ac:dyDescent="0.25">
      <c r="A879" s="37"/>
      <c r="B879" s="38"/>
      <c r="C879" s="39"/>
      <c r="D879" s="38"/>
      <c r="E879" s="39"/>
      <c r="F879" s="40"/>
      <c r="G879" s="38"/>
      <c r="H879" s="39"/>
      <c r="I879" s="41"/>
      <c r="J879" s="41"/>
      <c r="K879" s="41"/>
      <c r="L879" s="40"/>
      <c r="M879" s="42"/>
      <c r="N879" s="41"/>
      <c r="O879" s="41"/>
      <c r="P879" s="41"/>
    </row>
    <row r="880" spans="1:16" ht="15.75" customHeight="1" x14ac:dyDescent="0.25">
      <c r="A880" s="37"/>
      <c r="B880" s="38"/>
      <c r="C880" s="39"/>
      <c r="D880" s="38"/>
      <c r="E880" s="39"/>
      <c r="F880" s="40"/>
      <c r="G880" s="38"/>
      <c r="H880" s="39"/>
      <c r="I880" s="41"/>
      <c r="J880" s="41"/>
      <c r="K880" s="41"/>
      <c r="L880" s="40"/>
      <c r="M880" s="42"/>
      <c r="N880" s="41"/>
      <c r="O880" s="41"/>
      <c r="P880" s="41"/>
    </row>
    <row r="881" spans="1:16" ht="15.75" customHeight="1" x14ac:dyDescent="0.25">
      <c r="A881" s="37"/>
      <c r="B881" s="38"/>
      <c r="C881" s="39"/>
      <c r="D881" s="38"/>
      <c r="E881" s="39"/>
      <c r="F881" s="40"/>
      <c r="G881" s="38"/>
      <c r="H881" s="39"/>
      <c r="I881" s="41"/>
      <c r="J881" s="41"/>
      <c r="K881" s="41"/>
      <c r="L881" s="40"/>
      <c r="M881" s="42"/>
      <c r="N881" s="41"/>
      <c r="O881" s="41"/>
      <c r="P881" s="41"/>
    </row>
    <row r="882" spans="1:16" ht="15.75" customHeight="1" x14ac:dyDescent="0.25">
      <c r="A882" s="37"/>
      <c r="B882" s="38"/>
      <c r="C882" s="39"/>
      <c r="D882" s="38"/>
      <c r="E882" s="39"/>
      <c r="F882" s="40"/>
      <c r="G882" s="38"/>
      <c r="H882" s="39"/>
      <c r="I882" s="41"/>
      <c r="J882" s="41"/>
      <c r="K882" s="41"/>
      <c r="L882" s="40"/>
      <c r="M882" s="42"/>
      <c r="N882" s="41"/>
      <c r="O882" s="41"/>
      <c r="P882" s="41"/>
    </row>
    <row r="883" spans="1:16" ht="15.75" customHeight="1" x14ac:dyDescent="0.25">
      <c r="A883" s="37"/>
      <c r="B883" s="38"/>
      <c r="C883" s="39"/>
      <c r="D883" s="38"/>
      <c r="E883" s="39"/>
      <c r="F883" s="40"/>
      <c r="G883" s="38"/>
      <c r="H883" s="39"/>
      <c r="I883" s="41"/>
      <c r="J883" s="41"/>
      <c r="K883" s="41"/>
      <c r="L883" s="40"/>
      <c r="M883" s="42"/>
      <c r="N883" s="41"/>
      <c r="O883" s="41"/>
      <c r="P883" s="41"/>
    </row>
    <row r="884" spans="1:16" ht="15.75" customHeight="1" x14ac:dyDescent="0.25">
      <c r="A884" s="37"/>
      <c r="B884" s="38"/>
      <c r="C884" s="39"/>
      <c r="D884" s="38"/>
      <c r="E884" s="39"/>
      <c r="F884" s="40"/>
      <c r="G884" s="38"/>
      <c r="H884" s="39"/>
      <c r="I884" s="41"/>
      <c r="J884" s="41"/>
      <c r="K884" s="41"/>
      <c r="L884" s="40"/>
      <c r="M884" s="42"/>
      <c r="N884" s="41"/>
      <c r="O884" s="41"/>
      <c r="P884" s="41"/>
    </row>
    <row r="885" spans="1:16" ht="15.75" customHeight="1" x14ac:dyDescent="0.25">
      <c r="A885" s="37"/>
      <c r="B885" s="38"/>
      <c r="C885" s="39"/>
      <c r="D885" s="38"/>
      <c r="E885" s="39"/>
      <c r="F885" s="40"/>
      <c r="G885" s="38"/>
      <c r="H885" s="39"/>
      <c r="I885" s="41"/>
      <c r="J885" s="41"/>
      <c r="K885" s="41"/>
      <c r="L885" s="40"/>
      <c r="M885" s="42"/>
      <c r="N885" s="41"/>
      <c r="O885" s="41"/>
      <c r="P885" s="41"/>
    </row>
    <row r="886" spans="1:16" ht="15.75" customHeight="1" x14ac:dyDescent="0.25">
      <c r="A886" s="37"/>
      <c r="B886" s="38"/>
      <c r="C886" s="39"/>
      <c r="D886" s="38"/>
      <c r="E886" s="39"/>
      <c r="F886" s="40"/>
      <c r="G886" s="38"/>
      <c r="H886" s="39"/>
      <c r="I886" s="41"/>
      <c r="J886" s="41"/>
      <c r="K886" s="41"/>
      <c r="L886" s="40"/>
      <c r="M886" s="42"/>
      <c r="N886" s="41"/>
      <c r="O886" s="41"/>
      <c r="P886" s="41"/>
    </row>
    <row r="887" spans="1:16" ht="15.75" customHeight="1" x14ac:dyDescent="0.25">
      <c r="A887" s="37"/>
      <c r="B887" s="38"/>
      <c r="C887" s="39"/>
      <c r="D887" s="38"/>
      <c r="E887" s="39"/>
      <c r="F887" s="40"/>
      <c r="G887" s="38"/>
      <c r="H887" s="39"/>
      <c r="I887" s="41"/>
      <c r="J887" s="41"/>
      <c r="K887" s="41"/>
      <c r="L887" s="40"/>
      <c r="M887" s="42"/>
      <c r="N887" s="41"/>
      <c r="O887" s="41"/>
      <c r="P887" s="41"/>
    </row>
    <row r="888" spans="1:16" ht="15.75" customHeight="1" x14ac:dyDescent="0.25">
      <c r="A888" s="37"/>
      <c r="B888" s="38"/>
      <c r="C888" s="39"/>
      <c r="D888" s="38"/>
      <c r="E888" s="39"/>
      <c r="F888" s="40"/>
      <c r="G888" s="38"/>
      <c r="H888" s="39"/>
      <c r="I888" s="41"/>
      <c r="J888" s="41"/>
      <c r="K888" s="41"/>
      <c r="L888" s="40"/>
      <c r="M888" s="42"/>
      <c r="N888" s="41"/>
      <c r="O888" s="41"/>
      <c r="P888" s="41"/>
    </row>
    <row r="889" spans="1:16" ht="15.75" customHeight="1" x14ac:dyDescent="0.25">
      <c r="A889" s="37"/>
      <c r="B889" s="38"/>
      <c r="C889" s="39"/>
      <c r="D889" s="38"/>
      <c r="E889" s="39"/>
      <c r="F889" s="40"/>
      <c r="G889" s="38"/>
      <c r="H889" s="39"/>
      <c r="I889" s="41"/>
      <c r="J889" s="41"/>
      <c r="K889" s="41"/>
      <c r="L889" s="40"/>
      <c r="M889" s="42"/>
      <c r="N889" s="41"/>
      <c r="O889" s="41"/>
      <c r="P889" s="41"/>
    </row>
    <row r="890" spans="1:16" ht="15.75" customHeight="1" x14ac:dyDescent="0.25">
      <c r="A890" s="37"/>
      <c r="B890" s="38"/>
      <c r="C890" s="39"/>
      <c r="D890" s="38"/>
      <c r="E890" s="39"/>
      <c r="F890" s="40"/>
      <c r="G890" s="38"/>
      <c r="H890" s="39"/>
      <c r="I890" s="41"/>
      <c r="J890" s="41"/>
      <c r="K890" s="41"/>
      <c r="L890" s="40"/>
      <c r="M890" s="42"/>
      <c r="N890" s="41"/>
      <c r="O890" s="41"/>
      <c r="P890" s="41"/>
    </row>
    <row r="891" spans="1:16" ht="15.75" customHeight="1" x14ac:dyDescent="0.25">
      <c r="A891" s="37"/>
      <c r="B891" s="38"/>
      <c r="C891" s="39"/>
      <c r="D891" s="38"/>
      <c r="E891" s="39"/>
      <c r="F891" s="40"/>
      <c r="G891" s="38"/>
      <c r="H891" s="39"/>
      <c r="I891" s="41"/>
      <c r="J891" s="41"/>
      <c r="K891" s="41"/>
      <c r="L891" s="40"/>
      <c r="M891" s="42"/>
      <c r="N891" s="41"/>
      <c r="O891" s="41"/>
      <c r="P891" s="41"/>
    </row>
    <row r="892" spans="1:16" ht="15.75" customHeight="1" x14ac:dyDescent="0.25">
      <c r="A892" s="37"/>
      <c r="B892" s="38"/>
      <c r="C892" s="39"/>
      <c r="D892" s="38"/>
      <c r="E892" s="39"/>
      <c r="F892" s="40"/>
      <c r="G892" s="38"/>
      <c r="H892" s="39"/>
      <c r="I892" s="41"/>
      <c r="J892" s="41"/>
      <c r="K892" s="41"/>
      <c r="L892" s="40"/>
      <c r="M892" s="42"/>
      <c r="N892" s="41"/>
      <c r="O892" s="41"/>
      <c r="P892" s="41"/>
    </row>
    <row r="893" spans="1:16" ht="15.75" customHeight="1" x14ac:dyDescent="0.25">
      <c r="A893" s="37"/>
      <c r="B893" s="38"/>
      <c r="C893" s="39"/>
      <c r="D893" s="38"/>
      <c r="E893" s="39"/>
      <c r="F893" s="40"/>
      <c r="G893" s="38"/>
      <c r="H893" s="39"/>
      <c r="I893" s="41"/>
      <c r="J893" s="41"/>
      <c r="K893" s="41"/>
      <c r="L893" s="40"/>
      <c r="M893" s="42"/>
      <c r="N893" s="41"/>
      <c r="O893" s="41"/>
      <c r="P893" s="41"/>
    </row>
    <row r="894" spans="1:16" ht="15.75" customHeight="1" x14ac:dyDescent="0.25">
      <c r="A894" s="37"/>
      <c r="B894" s="38"/>
      <c r="C894" s="39"/>
      <c r="D894" s="38"/>
      <c r="E894" s="39"/>
      <c r="F894" s="40"/>
      <c r="G894" s="38"/>
      <c r="H894" s="39"/>
      <c r="I894" s="41"/>
      <c r="J894" s="41"/>
      <c r="K894" s="41"/>
      <c r="L894" s="40"/>
      <c r="M894" s="42"/>
      <c r="N894" s="41"/>
      <c r="O894" s="41"/>
      <c r="P894" s="41"/>
    </row>
    <row r="895" spans="1:16" ht="15.75" customHeight="1" x14ac:dyDescent="0.25">
      <c r="A895" s="37"/>
      <c r="B895" s="38"/>
      <c r="C895" s="39"/>
      <c r="D895" s="38"/>
      <c r="E895" s="39"/>
      <c r="F895" s="40"/>
      <c r="G895" s="38"/>
      <c r="H895" s="39"/>
      <c r="I895" s="41"/>
      <c r="J895" s="41"/>
      <c r="K895" s="41"/>
      <c r="L895" s="40"/>
      <c r="M895" s="42"/>
      <c r="N895" s="41"/>
      <c r="O895" s="41"/>
      <c r="P895" s="41"/>
    </row>
    <row r="896" spans="1:16" ht="15.75" customHeight="1" x14ac:dyDescent="0.25">
      <c r="A896" s="37"/>
      <c r="B896" s="38"/>
      <c r="C896" s="39"/>
      <c r="D896" s="38"/>
      <c r="E896" s="39"/>
      <c r="F896" s="40"/>
      <c r="G896" s="38"/>
      <c r="H896" s="39"/>
      <c r="I896" s="41"/>
      <c r="J896" s="41"/>
      <c r="K896" s="41"/>
      <c r="L896" s="40"/>
      <c r="M896" s="42"/>
      <c r="N896" s="41"/>
      <c r="O896" s="41"/>
      <c r="P896" s="41"/>
    </row>
    <row r="897" spans="1:16" ht="15.75" customHeight="1" x14ac:dyDescent="0.25">
      <c r="A897" s="37"/>
      <c r="B897" s="38"/>
      <c r="C897" s="39"/>
      <c r="D897" s="38"/>
      <c r="E897" s="39"/>
      <c r="F897" s="40"/>
      <c r="G897" s="38"/>
      <c r="H897" s="39"/>
      <c r="I897" s="41"/>
      <c r="J897" s="41"/>
      <c r="K897" s="41"/>
      <c r="L897" s="40"/>
      <c r="M897" s="42"/>
      <c r="N897" s="41"/>
      <c r="O897" s="41"/>
      <c r="P897" s="41"/>
    </row>
    <row r="898" spans="1:16" ht="15.75" customHeight="1" x14ac:dyDescent="0.25">
      <c r="A898" s="37"/>
      <c r="B898" s="38"/>
      <c r="C898" s="39"/>
      <c r="D898" s="38"/>
      <c r="E898" s="39"/>
      <c r="F898" s="40"/>
      <c r="G898" s="38"/>
      <c r="H898" s="39"/>
      <c r="I898" s="41"/>
      <c r="J898" s="41"/>
      <c r="K898" s="41"/>
      <c r="L898" s="40"/>
      <c r="M898" s="42"/>
      <c r="N898" s="41"/>
      <c r="O898" s="41"/>
      <c r="P898" s="41"/>
    </row>
    <row r="899" spans="1:16" ht="15.75" customHeight="1" x14ac:dyDescent="0.25">
      <c r="A899" s="37"/>
      <c r="B899" s="38"/>
      <c r="C899" s="39"/>
      <c r="D899" s="38"/>
      <c r="E899" s="39"/>
      <c r="F899" s="40"/>
      <c r="G899" s="38"/>
      <c r="H899" s="39"/>
      <c r="I899" s="41"/>
      <c r="J899" s="41"/>
      <c r="K899" s="41"/>
      <c r="L899" s="40"/>
      <c r="M899" s="42"/>
      <c r="N899" s="41"/>
      <c r="O899" s="41"/>
      <c r="P899" s="41"/>
    </row>
    <row r="900" spans="1:16" ht="15.75" customHeight="1" x14ac:dyDescent="0.25">
      <c r="A900" s="37"/>
      <c r="B900" s="38"/>
      <c r="C900" s="39"/>
      <c r="D900" s="38"/>
      <c r="E900" s="39"/>
      <c r="F900" s="40"/>
      <c r="G900" s="38"/>
      <c r="H900" s="39"/>
      <c r="I900" s="41"/>
      <c r="J900" s="41"/>
      <c r="K900" s="41"/>
      <c r="L900" s="40"/>
      <c r="M900" s="42"/>
      <c r="N900" s="41"/>
      <c r="O900" s="41"/>
      <c r="P900" s="41"/>
    </row>
    <row r="901" spans="1:16" ht="15.75" customHeight="1" x14ac:dyDescent="0.25">
      <c r="A901" s="37"/>
      <c r="B901" s="38"/>
      <c r="C901" s="39"/>
      <c r="D901" s="38"/>
      <c r="E901" s="39"/>
      <c r="F901" s="40"/>
      <c r="G901" s="38"/>
      <c r="H901" s="39"/>
      <c r="I901" s="41"/>
      <c r="J901" s="41"/>
      <c r="K901" s="41"/>
      <c r="L901" s="40"/>
      <c r="M901" s="42"/>
      <c r="N901" s="41"/>
      <c r="O901" s="41"/>
      <c r="P901" s="41"/>
    </row>
    <row r="902" spans="1:16" ht="15.75" customHeight="1" x14ac:dyDescent="0.25">
      <c r="A902" s="37"/>
      <c r="B902" s="38"/>
      <c r="C902" s="39"/>
      <c r="D902" s="38"/>
      <c r="E902" s="39"/>
      <c r="F902" s="40"/>
      <c r="G902" s="38"/>
      <c r="H902" s="39"/>
      <c r="I902" s="41"/>
      <c r="J902" s="41"/>
      <c r="K902" s="41"/>
      <c r="L902" s="40"/>
      <c r="M902" s="42"/>
      <c r="N902" s="41"/>
      <c r="O902" s="41"/>
      <c r="P902" s="41"/>
    </row>
    <row r="903" spans="1:16" ht="15.75" customHeight="1" x14ac:dyDescent="0.25">
      <c r="A903" s="37"/>
      <c r="B903" s="38"/>
      <c r="C903" s="39"/>
      <c r="D903" s="38"/>
      <c r="E903" s="39"/>
      <c r="F903" s="40"/>
      <c r="G903" s="38"/>
      <c r="H903" s="39"/>
      <c r="I903" s="41"/>
      <c r="J903" s="41"/>
      <c r="K903" s="41"/>
      <c r="L903" s="40"/>
      <c r="M903" s="42"/>
      <c r="N903" s="41"/>
      <c r="O903" s="41"/>
      <c r="P903" s="41"/>
    </row>
    <row r="904" spans="1:16" ht="15.75" customHeight="1" x14ac:dyDescent="0.25">
      <c r="A904" s="37"/>
      <c r="B904" s="38"/>
      <c r="C904" s="39"/>
      <c r="D904" s="38"/>
      <c r="E904" s="39"/>
      <c r="F904" s="40"/>
      <c r="G904" s="38"/>
      <c r="H904" s="39"/>
      <c r="I904" s="41"/>
      <c r="J904" s="41"/>
      <c r="K904" s="41"/>
      <c r="L904" s="40"/>
      <c r="M904" s="42"/>
      <c r="N904" s="41"/>
      <c r="O904" s="41"/>
      <c r="P904" s="41"/>
    </row>
    <row r="905" spans="1:16" ht="15.75" customHeight="1" x14ac:dyDescent="0.25">
      <c r="A905" s="37"/>
      <c r="B905" s="38"/>
      <c r="C905" s="39"/>
      <c r="D905" s="38"/>
      <c r="E905" s="39"/>
      <c r="F905" s="40"/>
      <c r="G905" s="38"/>
      <c r="H905" s="39"/>
      <c r="I905" s="41"/>
      <c r="J905" s="41"/>
      <c r="K905" s="41"/>
      <c r="L905" s="40"/>
      <c r="M905" s="42"/>
      <c r="N905" s="41"/>
      <c r="O905" s="41"/>
      <c r="P905" s="41"/>
    </row>
    <row r="906" spans="1:16" ht="15.75" customHeight="1" x14ac:dyDescent="0.25">
      <c r="A906" s="37"/>
      <c r="B906" s="38"/>
      <c r="C906" s="39"/>
      <c r="D906" s="38"/>
      <c r="E906" s="39"/>
      <c r="F906" s="40"/>
      <c r="G906" s="38"/>
      <c r="H906" s="39"/>
      <c r="I906" s="41"/>
      <c r="J906" s="41"/>
      <c r="K906" s="41"/>
      <c r="L906" s="40"/>
      <c r="M906" s="42"/>
      <c r="N906" s="41"/>
      <c r="O906" s="41"/>
      <c r="P906" s="41"/>
    </row>
    <row r="907" spans="1:16" ht="15.75" customHeight="1" x14ac:dyDescent="0.25">
      <c r="A907" s="37"/>
      <c r="B907" s="38"/>
      <c r="C907" s="39"/>
      <c r="D907" s="38"/>
      <c r="E907" s="39"/>
      <c r="F907" s="40"/>
      <c r="G907" s="38"/>
      <c r="H907" s="39"/>
      <c r="I907" s="41"/>
      <c r="J907" s="41"/>
      <c r="K907" s="41"/>
      <c r="L907" s="40"/>
      <c r="M907" s="42"/>
      <c r="N907" s="41"/>
      <c r="O907" s="41"/>
      <c r="P907" s="41"/>
    </row>
    <row r="908" spans="1:16" ht="15.75" customHeight="1" x14ac:dyDescent="0.25">
      <c r="A908" s="37"/>
      <c r="B908" s="38"/>
      <c r="C908" s="39"/>
      <c r="D908" s="38"/>
      <c r="E908" s="39"/>
      <c r="F908" s="40"/>
      <c r="G908" s="38"/>
      <c r="H908" s="39"/>
      <c r="I908" s="41"/>
      <c r="J908" s="41"/>
      <c r="K908" s="41"/>
      <c r="L908" s="40"/>
      <c r="M908" s="42"/>
      <c r="N908" s="41"/>
      <c r="O908" s="41"/>
      <c r="P908" s="41"/>
    </row>
    <row r="909" spans="1:16" ht="15.75" customHeight="1" x14ac:dyDescent="0.25">
      <c r="A909" s="37"/>
      <c r="B909" s="38"/>
      <c r="C909" s="39"/>
      <c r="D909" s="38"/>
      <c r="E909" s="39"/>
      <c r="F909" s="40"/>
      <c r="G909" s="38"/>
      <c r="H909" s="39"/>
      <c r="I909" s="41"/>
      <c r="J909" s="41"/>
      <c r="K909" s="41"/>
      <c r="L909" s="40"/>
      <c r="M909" s="42"/>
      <c r="N909" s="41"/>
      <c r="O909" s="41"/>
      <c r="P909" s="41"/>
    </row>
    <row r="910" spans="1:16" ht="15.75" customHeight="1" x14ac:dyDescent="0.25">
      <c r="A910" s="37"/>
      <c r="B910" s="38"/>
      <c r="C910" s="39"/>
      <c r="D910" s="38"/>
      <c r="E910" s="39"/>
      <c r="F910" s="40"/>
      <c r="G910" s="38"/>
      <c r="H910" s="39"/>
      <c r="I910" s="41"/>
      <c r="J910" s="41"/>
      <c r="K910" s="41"/>
      <c r="L910" s="40"/>
      <c r="M910" s="42"/>
      <c r="N910" s="41"/>
      <c r="O910" s="41"/>
      <c r="P910" s="41"/>
    </row>
    <row r="911" spans="1:16" ht="15.75" customHeight="1" x14ac:dyDescent="0.25">
      <c r="A911" s="37"/>
      <c r="B911" s="38"/>
      <c r="C911" s="39"/>
      <c r="D911" s="38"/>
      <c r="E911" s="39"/>
      <c r="F911" s="40"/>
      <c r="G911" s="38"/>
      <c r="H911" s="39"/>
      <c r="I911" s="41"/>
      <c r="J911" s="41"/>
      <c r="K911" s="41"/>
      <c r="L911" s="40"/>
      <c r="M911" s="42"/>
      <c r="N911" s="41"/>
      <c r="O911" s="41"/>
      <c r="P911" s="41"/>
    </row>
    <row r="912" spans="1:16" ht="15.75" customHeight="1" x14ac:dyDescent="0.25">
      <c r="A912" s="37"/>
      <c r="B912" s="38"/>
      <c r="C912" s="39"/>
      <c r="D912" s="38"/>
      <c r="E912" s="39"/>
      <c r="F912" s="40"/>
      <c r="G912" s="38"/>
      <c r="H912" s="39"/>
      <c r="I912" s="41"/>
      <c r="J912" s="41"/>
      <c r="K912" s="41"/>
      <c r="L912" s="40"/>
      <c r="M912" s="42"/>
      <c r="N912" s="41"/>
      <c r="O912" s="41"/>
      <c r="P912" s="41"/>
    </row>
    <row r="913" spans="1:16" ht="15.75" customHeight="1" x14ac:dyDescent="0.25">
      <c r="A913" s="37"/>
      <c r="B913" s="38"/>
      <c r="C913" s="39"/>
      <c r="D913" s="38"/>
      <c r="E913" s="39"/>
      <c r="F913" s="40"/>
      <c r="G913" s="38"/>
      <c r="H913" s="39"/>
      <c r="I913" s="41"/>
      <c r="J913" s="41"/>
      <c r="K913" s="41"/>
      <c r="L913" s="40"/>
      <c r="M913" s="42"/>
      <c r="N913" s="41"/>
      <c r="O913" s="41"/>
      <c r="P913" s="41"/>
    </row>
    <row r="914" spans="1:16" ht="15.75" customHeight="1" x14ac:dyDescent="0.25">
      <c r="A914" s="37"/>
      <c r="B914" s="38"/>
      <c r="C914" s="39"/>
      <c r="D914" s="38"/>
      <c r="E914" s="39"/>
      <c r="F914" s="40"/>
      <c r="G914" s="38"/>
      <c r="H914" s="39"/>
      <c r="I914" s="41"/>
      <c r="J914" s="41"/>
      <c r="K914" s="41"/>
      <c r="L914" s="40"/>
      <c r="M914" s="42"/>
      <c r="N914" s="41"/>
      <c r="O914" s="41"/>
      <c r="P914" s="41"/>
    </row>
    <row r="915" spans="1:16" ht="15.75" customHeight="1" x14ac:dyDescent="0.25">
      <c r="A915" s="37"/>
      <c r="B915" s="38"/>
      <c r="C915" s="39"/>
      <c r="D915" s="38"/>
      <c r="E915" s="39"/>
      <c r="F915" s="40"/>
      <c r="G915" s="38"/>
      <c r="H915" s="39"/>
      <c r="I915" s="41"/>
      <c r="J915" s="41"/>
      <c r="K915" s="41"/>
      <c r="L915" s="40"/>
      <c r="M915" s="42"/>
      <c r="N915" s="41"/>
      <c r="O915" s="41"/>
      <c r="P915" s="41"/>
    </row>
    <row r="916" spans="1:16" ht="15.75" customHeight="1" x14ac:dyDescent="0.25">
      <c r="A916" s="37"/>
      <c r="B916" s="38"/>
      <c r="C916" s="39"/>
      <c r="D916" s="38"/>
      <c r="E916" s="39"/>
      <c r="F916" s="40"/>
      <c r="G916" s="38"/>
      <c r="H916" s="39"/>
      <c r="I916" s="41"/>
      <c r="J916" s="41"/>
      <c r="K916" s="41"/>
      <c r="L916" s="40"/>
      <c r="M916" s="42"/>
      <c r="N916" s="41"/>
      <c r="O916" s="41"/>
      <c r="P916" s="41"/>
    </row>
    <row r="917" spans="1:16" ht="15.75" customHeight="1" x14ac:dyDescent="0.25">
      <c r="A917" s="37"/>
      <c r="B917" s="38"/>
      <c r="C917" s="39"/>
      <c r="D917" s="38"/>
      <c r="E917" s="39"/>
      <c r="F917" s="40"/>
      <c r="G917" s="38"/>
      <c r="H917" s="39"/>
      <c r="I917" s="41"/>
      <c r="J917" s="41"/>
      <c r="K917" s="41"/>
      <c r="L917" s="40"/>
      <c r="M917" s="42"/>
      <c r="N917" s="41"/>
      <c r="O917" s="41"/>
      <c r="P917" s="41"/>
    </row>
    <row r="918" spans="1:16" ht="15.75" customHeight="1" x14ac:dyDescent="0.25">
      <c r="A918" s="37"/>
      <c r="B918" s="38"/>
      <c r="C918" s="39"/>
      <c r="D918" s="38"/>
      <c r="E918" s="39"/>
      <c r="F918" s="40"/>
      <c r="G918" s="38"/>
      <c r="H918" s="39"/>
      <c r="I918" s="41"/>
      <c r="J918" s="41"/>
      <c r="K918" s="41"/>
      <c r="L918" s="40"/>
      <c r="M918" s="42"/>
      <c r="N918" s="41"/>
      <c r="O918" s="41"/>
      <c r="P918" s="41"/>
    </row>
    <row r="919" spans="1:16" ht="15.75" customHeight="1" x14ac:dyDescent="0.25">
      <c r="A919" s="37"/>
      <c r="B919" s="38"/>
      <c r="C919" s="39"/>
      <c r="D919" s="38"/>
      <c r="E919" s="39"/>
      <c r="F919" s="40"/>
      <c r="G919" s="38"/>
      <c r="H919" s="39"/>
      <c r="I919" s="41"/>
      <c r="J919" s="41"/>
      <c r="K919" s="41"/>
      <c r="L919" s="40"/>
      <c r="M919" s="42"/>
      <c r="N919" s="41"/>
      <c r="O919" s="41"/>
      <c r="P919" s="41"/>
    </row>
    <row r="920" spans="1:16" ht="15.75" customHeight="1" x14ac:dyDescent="0.25">
      <c r="A920" s="37"/>
      <c r="B920" s="38"/>
      <c r="C920" s="39"/>
      <c r="D920" s="38"/>
      <c r="E920" s="39"/>
      <c r="F920" s="40"/>
      <c r="G920" s="38"/>
      <c r="H920" s="39"/>
      <c r="I920" s="41"/>
      <c r="J920" s="41"/>
      <c r="K920" s="41"/>
      <c r="L920" s="40"/>
      <c r="M920" s="42"/>
      <c r="N920" s="41"/>
      <c r="O920" s="41"/>
      <c r="P920" s="41"/>
    </row>
    <row r="921" spans="1:16" ht="15.75" customHeight="1" x14ac:dyDescent="0.25">
      <c r="A921" s="37"/>
      <c r="B921" s="38"/>
      <c r="C921" s="39"/>
      <c r="D921" s="38"/>
      <c r="E921" s="39"/>
      <c r="F921" s="40"/>
      <c r="G921" s="38"/>
      <c r="H921" s="39"/>
      <c r="I921" s="41"/>
      <c r="J921" s="41"/>
      <c r="K921" s="41"/>
      <c r="L921" s="40"/>
      <c r="M921" s="42"/>
      <c r="N921" s="41"/>
      <c r="O921" s="41"/>
      <c r="P921" s="41"/>
    </row>
    <row r="922" spans="1:16" ht="15.75" customHeight="1" x14ac:dyDescent="0.25">
      <c r="A922" s="37"/>
      <c r="B922" s="38"/>
      <c r="C922" s="39"/>
      <c r="D922" s="38"/>
      <c r="E922" s="39"/>
      <c r="F922" s="40"/>
      <c r="G922" s="38"/>
      <c r="H922" s="39"/>
      <c r="I922" s="41"/>
      <c r="J922" s="41"/>
      <c r="K922" s="41"/>
      <c r="L922" s="40"/>
      <c r="M922" s="42"/>
      <c r="N922" s="41"/>
      <c r="O922" s="41"/>
      <c r="P922" s="41"/>
    </row>
    <row r="923" spans="1:16" ht="15.75" customHeight="1" x14ac:dyDescent="0.25">
      <c r="A923" s="37"/>
      <c r="B923" s="38"/>
      <c r="C923" s="39"/>
      <c r="D923" s="38"/>
      <c r="E923" s="39"/>
      <c r="F923" s="40"/>
      <c r="G923" s="38"/>
      <c r="H923" s="39"/>
      <c r="I923" s="41"/>
      <c r="J923" s="41"/>
      <c r="K923" s="41"/>
      <c r="L923" s="40"/>
      <c r="M923" s="42"/>
      <c r="N923" s="41"/>
      <c r="O923" s="41"/>
      <c r="P923" s="41"/>
    </row>
    <row r="924" spans="1:16" ht="15.75" customHeight="1" x14ac:dyDescent="0.25">
      <c r="A924" s="37"/>
      <c r="B924" s="38"/>
      <c r="C924" s="39"/>
      <c r="D924" s="38"/>
      <c r="E924" s="39"/>
      <c r="F924" s="40"/>
      <c r="G924" s="38"/>
      <c r="H924" s="39"/>
      <c r="I924" s="41"/>
      <c r="J924" s="41"/>
      <c r="K924" s="41"/>
      <c r="L924" s="40"/>
      <c r="M924" s="42"/>
      <c r="N924" s="41"/>
      <c r="O924" s="41"/>
      <c r="P924" s="41"/>
    </row>
    <row r="925" spans="1:16" ht="15.75" customHeight="1" x14ac:dyDescent="0.25">
      <c r="A925" s="37"/>
      <c r="B925" s="38"/>
      <c r="C925" s="39"/>
      <c r="D925" s="38"/>
      <c r="E925" s="39"/>
      <c r="F925" s="40"/>
      <c r="G925" s="38"/>
      <c r="H925" s="39"/>
      <c r="I925" s="41"/>
      <c r="J925" s="41"/>
      <c r="K925" s="41"/>
      <c r="L925" s="40"/>
      <c r="M925" s="42"/>
      <c r="N925" s="41"/>
      <c r="O925" s="41"/>
      <c r="P925" s="41"/>
    </row>
    <row r="926" spans="1:16" ht="15.75" customHeight="1" x14ac:dyDescent="0.25">
      <c r="A926" s="37"/>
      <c r="B926" s="38"/>
      <c r="C926" s="39"/>
      <c r="D926" s="38"/>
      <c r="E926" s="39"/>
      <c r="F926" s="40"/>
      <c r="G926" s="38"/>
      <c r="H926" s="39"/>
      <c r="I926" s="41"/>
      <c r="J926" s="41"/>
      <c r="K926" s="41"/>
      <c r="L926" s="40"/>
      <c r="M926" s="42"/>
      <c r="N926" s="41"/>
      <c r="O926" s="41"/>
      <c r="P926" s="41"/>
    </row>
    <row r="927" spans="1:16" ht="15.75" customHeight="1" x14ac:dyDescent="0.25">
      <c r="A927" s="37"/>
      <c r="B927" s="38"/>
      <c r="C927" s="39"/>
      <c r="D927" s="38"/>
      <c r="E927" s="39"/>
      <c r="F927" s="40"/>
      <c r="G927" s="38"/>
      <c r="H927" s="39"/>
      <c r="I927" s="41"/>
      <c r="J927" s="41"/>
      <c r="K927" s="41"/>
      <c r="L927" s="40"/>
      <c r="M927" s="42"/>
      <c r="N927" s="41"/>
      <c r="O927" s="41"/>
      <c r="P927" s="41"/>
    </row>
    <row r="928" spans="1:16" ht="15.75" customHeight="1" x14ac:dyDescent="0.25">
      <c r="A928" s="37"/>
      <c r="B928" s="38"/>
      <c r="C928" s="39"/>
      <c r="D928" s="38"/>
      <c r="E928" s="39"/>
      <c r="F928" s="40"/>
      <c r="G928" s="38"/>
      <c r="H928" s="39"/>
      <c r="I928" s="41"/>
      <c r="J928" s="41"/>
      <c r="K928" s="41"/>
      <c r="L928" s="40"/>
      <c r="M928" s="42"/>
      <c r="N928" s="41"/>
      <c r="O928" s="41"/>
      <c r="P928" s="41"/>
    </row>
    <row r="929" spans="1:16" ht="15.75" customHeight="1" x14ac:dyDescent="0.25">
      <c r="A929" s="37"/>
      <c r="B929" s="38"/>
      <c r="C929" s="39"/>
      <c r="D929" s="38"/>
      <c r="E929" s="39"/>
      <c r="F929" s="40"/>
      <c r="G929" s="38"/>
      <c r="H929" s="39"/>
      <c r="I929" s="41"/>
      <c r="J929" s="41"/>
      <c r="K929" s="41"/>
      <c r="L929" s="40"/>
      <c r="M929" s="42"/>
      <c r="N929" s="41"/>
      <c r="O929" s="41"/>
      <c r="P929" s="41"/>
    </row>
    <row r="930" spans="1:16" ht="15.75" customHeight="1" x14ac:dyDescent="0.25">
      <c r="A930" s="37"/>
      <c r="B930" s="38"/>
      <c r="C930" s="39"/>
      <c r="D930" s="38"/>
      <c r="E930" s="39"/>
      <c r="F930" s="40"/>
      <c r="G930" s="38"/>
      <c r="H930" s="39"/>
      <c r="I930" s="41"/>
      <c r="J930" s="41"/>
      <c r="K930" s="41"/>
      <c r="L930" s="40"/>
      <c r="M930" s="42"/>
      <c r="N930" s="41"/>
      <c r="O930" s="41"/>
      <c r="P930" s="41"/>
    </row>
    <row r="931" spans="1:16" ht="15.75" customHeight="1" x14ac:dyDescent="0.25">
      <c r="A931" s="37"/>
      <c r="B931" s="38"/>
      <c r="C931" s="39"/>
      <c r="D931" s="38"/>
      <c r="E931" s="39"/>
      <c r="F931" s="40"/>
      <c r="G931" s="38"/>
      <c r="H931" s="39"/>
      <c r="I931" s="41"/>
      <c r="J931" s="41"/>
      <c r="K931" s="41"/>
      <c r="L931" s="40"/>
      <c r="M931" s="42"/>
      <c r="N931" s="41"/>
      <c r="O931" s="41"/>
      <c r="P931" s="41"/>
    </row>
    <row r="932" spans="1:16" ht="15.75" customHeight="1" x14ac:dyDescent="0.25">
      <c r="A932" s="37"/>
      <c r="B932" s="38"/>
      <c r="C932" s="39"/>
      <c r="D932" s="38"/>
      <c r="E932" s="39"/>
      <c r="F932" s="40"/>
      <c r="G932" s="38"/>
      <c r="H932" s="39"/>
      <c r="I932" s="41"/>
      <c r="J932" s="41"/>
      <c r="K932" s="41"/>
      <c r="L932" s="40"/>
      <c r="M932" s="42"/>
      <c r="N932" s="41"/>
      <c r="O932" s="41"/>
      <c r="P932" s="41"/>
    </row>
    <row r="933" spans="1:16" ht="15.75" customHeight="1" x14ac:dyDescent="0.25">
      <c r="A933" s="37"/>
      <c r="B933" s="38"/>
      <c r="C933" s="39"/>
      <c r="D933" s="38"/>
      <c r="E933" s="39"/>
      <c r="F933" s="40"/>
      <c r="G933" s="38"/>
      <c r="H933" s="39"/>
      <c r="I933" s="41"/>
      <c r="J933" s="41"/>
      <c r="K933" s="41"/>
      <c r="L933" s="40"/>
      <c r="M933" s="42"/>
      <c r="N933" s="41"/>
      <c r="O933" s="41"/>
      <c r="P933" s="41"/>
    </row>
    <row r="934" spans="1:16" ht="15.75" customHeight="1" x14ac:dyDescent="0.25">
      <c r="A934" s="37"/>
      <c r="B934" s="38"/>
      <c r="C934" s="39"/>
      <c r="D934" s="38"/>
      <c r="E934" s="39"/>
      <c r="F934" s="40"/>
      <c r="G934" s="38"/>
      <c r="H934" s="39"/>
      <c r="I934" s="41"/>
      <c r="J934" s="41"/>
      <c r="K934" s="41"/>
      <c r="L934" s="40"/>
      <c r="M934" s="42"/>
      <c r="N934" s="41"/>
      <c r="O934" s="41"/>
      <c r="P934" s="41"/>
    </row>
    <row r="935" spans="1:16" ht="15.75" customHeight="1" x14ac:dyDescent="0.25">
      <c r="A935" s="37"/>
      <c r="B935" s="38"/>
      <c r="C935" s="39"/>
      <c r="D935" s="38"/>
      <c r="E935" s="39"/>
      <c r="F935" s="40"/>
      <c r="G935" s="38"/>
      <c r="H935" s="39"/>
      <c r="I935" s="41"/>
      <c r="J935" s="41"/>
      <c r="K935" s="41"/>
      <c r="L935" s="40"/>
      <c r="M935" s="42"/>
      <c r="N935" s="41"/>
      <c r="O935" s="41"/>
      <c r="P935" s="41"/>
    </row>
    <row r="936" spans="1:16" ht="15.75" customHeight="1" x14ac:dyDescent="0.25">
      <c r="A936" s="37"/>
      <c r="B936" s="38"/>
      <c r="C936" s="39"/>
      <c r="D936" s="38"/>
      <c r="E936" s="39"/>
      <c r="F936" s="40"/>
      <c r="G936" s="38"/>
      <c r="H936" s="39"/>
      <c r="I936" s="41"/>
      <c r="J936" s="41"/>
      <c r="K936" s="41"/>
      <c r="L936" s="40"/>
      <c r="M936" s="42"/>
      <c r="N936" s="41"/>
      <c r="O936" s="41"/>
      <c r="P936" s="41"/>
    </row>
    <row r="937" spans="1:16" ht="15.75" customHeight="1" x14ac:dyDescent="0.25">
      <c r="A937" s="37"/>
      <c r="B937" s="38"/>
      <c r="C937" s="39"/>
      <c r="D937" s="38"/>
      <c r="E937" s="39"/>
      <c r="F937" s="40"/>
      <c r="G937" s="38"/>
      <c r="H937" s="39"/>
      <c r="I937" s="41"/>
      <c r="J937" s="41"/>
      <c r="K937" s="41"/>
      <c r="L937" s="40"/>
      <c r="M937" s="42"/>
      <c r="N937" s="41"/>
      <c r="O937" s="41"/>
      <c r="P937" s="41"/>
    </row>
    <row r="938" spans="1:16" ht="15.75" customHeight="1" x14ac:dyDescent="0.25">
      <c r="A938" s="37"/>
      <c r="B938" s="38"/>
      <c r="C938" s="39"/>
      <c r="D938" s="38"/>
      <c r="E938" s="39"/>
      <c r="F938" s="40"/>
      <c r="G938" s="38"/>
      <c r="H938" s="39"/>
      <c r="I938" s="41"/>
      <c r="J938" s="41"/>
      <c r="K938" s="41"/>
      <c r="L938" s="40"/>
      <c r="M938" s="42"/>
      <c r="N938" s="41"/>
      <c r="O938" s="41"/>
      <c r="P938" s="41"/>
    </row>
    <row r="939" spans="1:16" ht="15.75" customHeight="1" x14ac:dyDescent="0.25">
      <c r="A939" s="37"/>
      <c r="B939" s="38"/>
      <c r="C939" s="39"/>
      <c r="D939" s="38"/>
      <c r="E939" s="39"/>
      <c r="F939" s="40"/>
      <c r="G939" s="38"/>
      <c r="H939" s="39"/>
      <c r="I939" s="41"/>
      <c r="J939" s="41"/>
      <c r="K939" s="41"/>
      <c r="L939" s="40"/>
      <c r="M939" s="42"/>
      <c r="N939" s="41"/>
      <c r="O939" s="41"/>
      <c r="P939" s="41"/>
    </row>
    <row r="940" spans="1:16" ht="15.75" customHeight="1" x14ac:dyDescent="0.25">
      <c r="A940" s="37"/>
      <c r="B940" s="38"/>
      <c r="C940" s="39"/>
      <c r="D940" s="38"/>
      <c r="E940" s="39"/>
      <c r="F940" s="40"/>
      <c r="G940" s="38"/>
      <c r="H940" s="39"/>
      <c r="I940" s="41"/>
      <c r="J940" s="41"/>
      <c r="K940" s="41"/>
      <c r="L940" s="40"/>
      <c r="M940" s="42"/>
      <c r="N940" s="41"/>
      <c r="O940" s="41"/>
      <c r="P940" s="41"/>
    </row>
    <row r="941" spans="1:16" ht="15.75" customHeight="1" x14ac:dyDescent="0.25">
      <c r="A941" s="37"/>
      <c r="B941" s="38"/>
      <c r="C941" s="39"/>
      <c r="D941" s="38"/>
      <c r="E941" s="39"/>
      <c r="F941" s="40"/>
      <c r="G941" s="38"/>
      <c r="H941" s="39"/>
      <c r="I941" s="41"/>
      <c r="J941" s="41"/>
      <c r="K941" s="41"/>
      <c r="L941" s="40"/>
      <c r="M941" s="42"/>
      <c r="N941" s="41"/>
      <c r="O941" s="41"/>
      <c r="P941" s="41"/>
    </row>
    <row r="942" spans="1:16" ht="15.75" customHeight="1" x14ac:dyDescent="0.25">
      <c r="A942" s="37"/>
      <c r="B942" s="38"/>
      <c r="C942" s="39"/>
      <c r="D942" s="38"/>
      <c r="E942" s="39"/>
      <c r="F942" s="40"/>
      <c r="G942" s="38"/>
      <c r="H942" s="39"/>
      <c r="I942" s="41"/>
      <c r="J942" s="41"/>
      <c r="K942" s="41"/>
      <c r="L942" s="40"/>
      <c r="M942" s="42"/>
      <c r="N942" s="41"/>
      <c r="O942" s="41"/>
      <c r="P942" s="41"/>
    </row>
    <row r="943" spans="1:16" ht="15.75" customHeight="1" x14ac:dyDescent="0.25">
      <c r="A943" s="37"/>
      <c r="B943" s="38"/>
      <c r="C943" s="39"/>
      <c r="D943" s="38"/>
      <c r="E943" s="39"/>
      <c r="F943" s="40"/>
      <c r="G943" s="38"/>
      <c r="H943" s="39"/>
      <c r="I943" s="41"/>
      <c r="J943" s="41"/>
      <c r="K943" s="41"/>
      <c r="L943" s="40"/>
      <c r="M943" s="42"/>
      <c r="N943" s="41"/>
      <c r="O943" s="41"/>
      <c r="P943" s="41"/>
    </row>
    <row r="944" spans="1:16" ht="15.75" customHeight="1" x14ac:dyDescent="0.25">
      <c r="A944" s="37"/>
      <c r="B944" s="38"/>
      <c r="C944" s="39"/>
      <c r="D944" s="38"/>
      <c r="E944" s="39"/>
      <c r="F944" s="40"/>
      <c r="G944" s="38"/>
      <c r="H944" s="39"/>
      <c r="I944" s="41"/>
      <c r="J944" s="41"/>
      <c r="K944" s="41"/>
      <c r="L944" s="40"/>
      <c r="M944" s="42"/>
      <c r="N944" s="41"/>
      <c r="O944" s="41"/>
      <c r="P944" s="41"/>
    </row>
    <row r="945" spans="1:16" ht="15.75" customHeight="1" x14ac:dyDescent="0.25">
      <c r="A945" s="37"/>
      <c r="B945" s="38"/>
      <c r="C945" s="39"/>
      <c r="D945" s="38"/>
      <c r="E945" s="39"/>
      <c r="F945" s="40"/>
      <c r="G945" s="38"/>
      <c r="H945" s="39"/>
      <c r="I945" s="41"/>
      <c r="J945" s="41"/>
      <c r="K945" s="41"/>
      <c r="L945" s="40"/>
      <c r="M945" s="42"/>
      <c r="N945" s="41"/>
      <c r="O945" s="41"/>
      <c r="P945" s="41"/>
    </row>
    <row r="946" spans="1:16" ht="15.75" customHeight="1" x14ac:dyDescent="0.25">
      <c r="A946" s="37"/>
      <c r="B946" s="38"/>
      <c r="C946" s="39"/>
      <c r="D946" s="38"/>
      <c r="E946" s="39"/>
      <c r="F946" s="40"/>
      <c r="G946" s="38"/>
      <c r="H946" s="39"/>
      <c r="I946" s="41"/>
      <c r="J946" s="41"/>
      <c r="K946" s="41"/>
      <c r="L946" s="40"/>
      <c r="M946" s="42"/>
      <c r="N946" s="41"/>
      <c r="O946" s="41"/>
      <c r="P946" s="41"/>
    </row>
    <row r="947" spans="1:16" ht="15.75" customHeight="1" x14ac:dyDescent="0.25">
      <c r="A947" s="37"/>
      <c r="B947" s="38"/>
      <c r="C947" s="39"/>
      <c r="D947" s="38"/>
      <c r="E947" s="39"/>
      <c r="F947" s="40"/>
      <c r="G947" s="38"/>
      <c r="H947" s="39"/>
      <c r="I947" s="41"/>
      <c r="J947" s="41"/>
      <c r="K947" s="41"/>
      <c r="L947" s="40"/>
      <c r="M947" s="42"/>
      <c r="N947" s="41"/>
      <c r="O947" s="41"/>
      <c r="P947" s="41"/>
    </row>
    <row r="948" spans="1:16" ht="15.75" customHeight="1" x14ac:dyDescent="0.25">
      <c r="A948" s="37"/>
      <c r="B948" s="38"/>
      <c r="C948" s="39"/>
      <c r="D948" s="38"/>
      <c r="E948" s="39"/>
      <c r="F948" s="40"/>
      <c r="G948" s="38"/>
      <c r="H948" s="39"/>
      <c r="I948" s="41"/>
      <c r="J948" s="41"/>
      <c r="K948" s="41"/>
      <c r="L948" s="40"/>
      <c r="M948" s="42"/>
      <c r="N948" s="41"/>
      <c r="O948" s="41"/>
      <c r="P948" s="41"/>
    </row>
    <row r="949" spans="1:16" ht="15.75" customHeight="1" x14ac:dyDescent="0.25">
      <c r="A949" s="37"/>
      <c r="B949" s="38"/>
      <c r="C949" s="39"/>
      <c r="D949" s="38"/>
      <c r="E949" s="39"/>
      <c r="F949" s="40"/>
      <c r="G949" s="38"/>
      <c r="H949" s="39"/>
      <c r="I949" s="41"/>
      <c r="J949" s="41"/>
      <c r="K949" s="41"/>
      <c r="L949" s="40"/>
      <c r="M949" s="42"/>
      <c r="N949" s="41"/>
      <c r="O949" s="41"/>
      <c r="P949" s="41"/>
    </row>
    <row r="950" spans="1:16" ht="15.75" customHeight="1" x14ac:dyDescent="0.25">
      <c r="A950" s="37"/>
      <c r="B950" s="38"/>
      <c r="C950" s="39"/>
      <c r="D950" s="38"/>
      <c r="E950" s="39"/>
      <c r="F950" s="40"/>
      <c r="G950" s="38"/>
      <c r="H950" s="39"/>
      <c r="I950" s="41"/>
      <c r="J950" s="41"/>
      <c r="K950" s="41"/>
      <c r="L950" s="40"/>
      <c r="M950" s="42"/>
      <c r="N950" s="41"/>
      <c r="O950" s="41"/>
      <c r="P950" s="41"/>
    </row>
    <row r="951" spans="1:16" ht="15.75" customHeight="1" x14ac:dyDescent="0.25">
      <c r="A951" s="37"/>
      <c r="B951" s="38"/>
      <c r="C951" s="39"/>
      <c r="D951" s="38"/>
      <c r="E951" s="39"/>
      <c r="F951" s="40"/>
      <c r="G951" s="38"/>
      <c r="H951" s="39"/>
      <c r="I951" s="41"/>
      <c r="J951" s="41"/>
      <c r="K951" s="41"/>
      <c r="L951" s="40"/>
      <c r="M951" s="42"/>
      <c r="N951" s="41"/>
      <c r="O951" s="41"/>
      <c r="P951" s="41"/>
    </row>
    <row r="952" spans="1:16" ht="15.75" customHeight="1" x14ac:dyDescent="0.25">
      <c r="A952" s="37"/>
      <c r="B952" s="38"/>
      <c r="C952" s="39"/>
      <c r="D952" s="38"/>
      <c r="E952" s="39"/>
      <c r="F952" s="40"/>
      <c r="G952" s="38"/>
      <c r="H952" s="39"/>
      <c r="I952" s="41"/>
      <c r="J952" s="41"/>
      <c r="K952" s="41"/>
      <c r="L952" s="40"/>
      <c r="M952" s="42"/>
      <c r="N952" s="41"/>
      <c r="O952" s="41"/>
      <c r="P952" s="41"/>
    </row>
    <row r="953" spans="1:16" ht="15.75" customHeight="1" x14ac:dyDescent="0.25">
      <c r="A953" s="37"/>
      <c r="B953" s="38"/>
      <c r="C953" s="39"/>
      <c r="D953" s="38"/>
      <c r="E953" s="39"/>
      <c r="F953" s="40"/>
      <c r="G953" s="38"/>
      <c r="H953" s="39"/>
      <c r="I953" s="41"/>
      <c r="J953" s="41"/>
      <c r="K953" s="41"/>
      <c r="L953" s="40"/>
      <c r="M953" s="42"/>
      <c r="N953" s="41"/>
      <c r="O953" s="41"/>
      <c r="P953" s="41"/>
    </row>
    <row r="954" spans="1:16" ht="15.75" customHeight="1" x14ac:dyDescent="0.25">
      <c r="A954" s="37"/>
      <c r="B954" s="38"/>
      <c r="C954" s="39"/>
      <c r="D954" s="38"/>
      <c r="E954" s="39"/>
      <c r="F954" s="40"/>
      <c r="G954" s="38"/>
      <c r="H954" s="39"/>
      <c r="I954" s="41"/>
      <c r="J954" s="41"/>
      <c r="K954" s="41"/>
      <c r="L954" s="40"/>
      <c r="M954" s="42"/>
      <c r="N954" s="41"/>
      <c r="O954" s="41"/>
      <c r="P954" s="41"/>
    </row>
    <row r="955" spans="1:16" ht="15.75" customHeight="1" x14ac:dyDescent="0.25">
      <c r="A955" s="37"/>
      <c r="B955" s="38"/>
      <c r="C955" s="39"/>
      <c r="D955" s="38"/>
      <c r="E955" s="39"/>
      <c r="F955" s="40"/>
      <c r="G955" s="38"/>
      <c r="H955" s="39"/>
      <c r="I955" s="41"/>
      <c r="J955" s="41"/>
      <c r="K955" s="41"/>
      <c r="L955" s="40"/>
      <c r="M955" s="42"/>
      <c r="N955" s="41"/>
      <c r="O955" s="41"/>
      <c r="P955" s="41"/>
    </row>
    <row r="956" spans="1:16" ht="15.75" customHeight="1" x14ac:dyDescent="0.25">
      <c r="A956" s="37"/>
      <c r="B956" s="38"/>
      <c r="C956" s="39"/>
      <c r="D956" s="38"/>
      <c r="E956" s="39"/>
      <c r="F956" s="40"/>
      <c r="G956" s="38"/>
      <c r="H956" s="39"/>
      <c r="I956" s="41"/>
      <c r="J956" s="41"/>
      <c r="K956" s="41"/>
      <c r="L956" s="40"/>
      <c r="M956" s="42"/>
      <c r="N956" s="41"/>
      <c r="O956" s="41"/>
      <c r="P956" s="41"/>
    </row>
    <row r="957" spans="1:16" ht="15.75" customHeight="1" x14ac:dyDescent="0.25">
      <c r="A957" s="37"/>
      <c r="B957" s="38"/>
      <c r="C957" s="39"/>
      <c r="D957" s="38"/>
      <c r="E957" s="39"/>
      <c r="F957" s="40"/>
      <c r="G957" s="38"/>
      <c r="H957" s="39"/>
      <c r="I957" s="41"/>
      <c r="J957" s="41"/>
      <c r="K957" s="41"/>
      <c r="L957" s="40"/>
      <c r="M957" s="42"/>
      <c r="N957" s="41"/>
      <c r="O957" s="41"/>
      <c r="P957" s="41"/>
    </row>
    <row r="958" spans="1:16" ht="15.75" customHeight="1" x14ac:dyDescent="0.25">
      <c r="A958" s="37"/>
      <c r="B958" s="38"/>
      <c r="C958" s="39"/>
      <c r="D958" s="38"/>
      <c r="E958" s="39"/>
      <c r="F958" s="40"/>
      <c r="G958" s="38"/>
      <c r="H958" s="39"/>
      <c r="I958" s="41"/>
      <c r="J958" s="41"/>
      <c r="K958" s="41"/>
      <c r="L958" s="40"/>
      <c r="M958" s="42"/>
      <c r="N958" s="41"/>
      <c r="O958" s="41"/>
      <c r="P958" s="41"/>
    </row>
    <row r="959" spans="1:16" ht="15.75" customHeight="1" x14ac:dyDescent="0.25">
      <c r="A959" s="37"/>
      <c r="B959" s="38"/>
      <c r="C959" s="39"/>
      <c r="D959" s="38"/>
      <c r="E959" s="39"/>
      <c r="F959" s="40"/>
      <c r="G959" s="38"/>
      <c r="H959" s="39"/>
      <c r="I959" s="41"/>
      <c r="J959" s="41"/>
      <c r="K959" s="41"/>
      <c r="L959" s="40"/>
      <c r="M959" s="42"/>
      <c r="N959" s="41"/>
      <c r="O959" s="41"/>
      <c r="P959" s="41"/>
    </row>
    <row r="960" spans="1:16" ht="15.75" customHeight="1" x14ac:dyDescent="0.25">
      <c r="A960" s="37"/>
      <c r="B960" s="38"/>
      <c r="C960" s="39"/>
      <c r="D960" s="38"/>
      <c r="E960" s="39"/>
      <c r="F960" s="40"/>
      <c r="G960" s="38"/>
      <c r="H960" s="39"/>
      <c r="I960" s="41"/>
      <c r="J960" s="41"/>
      <c r="K960" s="41"/>
      <c r="L960" s="40"/>
      <c r="M960" s="42"/>
      <c r="N960" s="41"/>
      <c r="O960" s="41"/>
      <c r="P960" s="41"/>
    </row>
    <row r="961" spans="1:16" ht="15.75" customHeight="1" x14ac:dyDescent="0.25">
      <c r="A961" s="37"/>
      <c r="B961" s="38"/>
      <c r="C961" s="39"/>
      <c r="D961" s="38"/>
      <c r="E961" s="39"/>
      <c r="F961" s="40"/>
      <c r="G961" s="38"/>
      <c r="H961" s="39"/>
      <c r="I961" s="41"/>
      <c r="J961" s="41"/>
      <c r="K961" s="41"/>
      <c r="L961" s="40"/>
      <c r="M961" s="42"/>
      <c r="N961" s="41"/>
      <c r="O961" s="41"/>
      <c r="P961" s="41"/>
    </row>
    <row r="962" spans="1:16" ht="15.75" customHeight="1" x14ac:dyDescent="0.25">
      <c r="A962" s="37"/>
      <c r="B962" s="38"/>
      <c r="C962" s="39"/>
      <c r="D962" s="38"/>
      <c r="E962" s="39"/>
      <c r="F962" s="40"/>
      <c r="G962" s="38"/>
      <c r="H962" s="39"/>
      <c r="I962" s="41"/>
      <c r="J962" s="41"/>
      <c r="K962" s="41"/>
      <c r="L962" s="40"/>
      <c r="M962" s="42"/>
      <c r="N962" s="41"/>
      <c r="O962" s="41"/>
      <c r="P962" s="41"/>
    </row>
    <row r="963" spans="1:16" ht="15.75" customHeight="1" x14ac:dyDescent="0.25">
      <c r="A963" s="37"/>
      <c r="B963" s="38"/>
      <c r="C963" s="39"/>
      <c r="D963" s="38"/>
      <c r="E963" s="39"/>
      <c r="F963" s="40"/>
      <c r="G963" s="38"/>
      <c r="H963" s="39"/>
      <c r="I963" s="41"/>
      <c r="J963" s="41"/>
      <c r="K963" s="41"/>
      <c r="L963" s="40"/>
      <c r="M963" s="42"/>
      <c r="N963" s="41"/>
      <c r="O963" s="41"/>
      <c r="P963" s="41"/>
    </row>
    <row r="964" spans="1:16" ht="15.75" customHeight="1" x14ac:dyDescent="0.25">
      <c r="A964" s="37"/>
      <c r="B964" s="38"/>
      <c r="C964" s="39"/>
      <c r="D964" s="38"/>
      <c r="E964" s="39"/>
      <c r="F964" s="40"/>
      <c r="G964" s="38"/>
      <c r="H964" s="39"/>
      <c r="I964" s="41"/>
      <c r="J964" s="41"/>
      <c r="K964" s="41"/>
      <c r="L964" s="40"/>
      <c r="M964" s="42"/>
      <c r="N964" s="41"/>
      <c r="O964" s="41"/>
      <c r="P964" s="41"/>
    </row>
    <row r="965" spans="1:16" ht="15.75" customHeight="1" x14ac:dyDescent="0.25">
      <c r="A965" s="37"/>
      <c r="B965" s="38"/>
      <c r="C965" s="39"/>
      <c r="D965" s="38"/>
      <c r="E965" s="39"/>
      <c r="F965" s="40"/>
      <c r="G965" s="38"/>
      <c r="H965" s="39"/>
      <c r="I965" s="41"/>
      <c r="J965" s="41"/>
      <c r="K965" s="41"/>
      <c r="L965" s="40"/>
      <c r="M965" s="42"/>
      <c r="N965" s="41"/>
      <c r="O965" s="41"/>
      <c r="P965" s="41"/>
    </row>
    <row r="966" spans="1:16" ht="15.75" customHeight="1" x14ac:dyDescent="0.25">
      <c r="A966" s="37"/>
      <c r="B966" s="38"/>
      <c r="C966" s="39"/>
      <c r="D966" s="38"/>
      <c r="E966" s="39"/>
      <c r="F966" s="40"/>
      <c r="G966" s="38"/>
      <c r="H966" s="39"/>
      <c r="I966" s="41"/>
      <c r="J966" s="41"/>
      <c r="K966" s="41"/>
      <c r="L966" s="40"/>
      <c r="M966" s="42"/>
      <c r="N966" s="41"/>
      <c r="O966" s="41"/>
      <c r="P966" s="41"/>
    </row>
    <row r="967" spans="1:16" ht="15.75" customHeight="1" x14ac:dyDescent="0.25">
      <c r="A967" s="37"/>
      <c r="B967" s="38"/>
      <c r="C967" s="39"/>
      <c r="D967" s="38"/>
      <c r="E967" s="39"/>
      <c r="F967" s="40"/>
      <c r="G967" s="38"/>
      <c r="H967" s="39"/>
      <c r="I967" s="41"/>
      <c r="J967" s="41"/>
      <c r="K967" s="41"/>
      <c r="L967" s="40"/>
      <c r="M967" s="42"/>
      <c r="N967" s="41"/>
      <c r="O967" s="41"/>
      <c r="P967" s="41"/>
    </row>
    <row r="968" spans="1:16" ht="15.75" customHeight="1" x14ac:dyDescent="0.25">
      <c r="A968" s="37"/>
      <c r="B968" s="38"/>
      <c r="C968" s="39"/>
      <c r="D968" s="38"/>
      <c r="E968" s="39"/>
      <c r="F968" s="40"/>
      <c r="G968" s="38"/>
      <c r="H968" s="39"/>
      <c r="I968" s="41"/>
      <c r="J968" s="41"/>
      <c r="K968" s="41"/>
      <c r="L968" s="40"/>
      <c r="M968" s="42"/>
      <c r="N968" s="41"/>
      <c r="O968" s="41"/>
      <c r="P968" s="41"/>
    </row>
    <row r="969" spans="1:16" ht="15.75" customHeight="1" x14ac:dyDescent="0.25">
      <c r="A969" s="37"/>
      <c r="B969" s="38"/>
      <c r="C969" s="39"/>
      <c r="D969" s="38"/>
      <c r="E969" s="39"/>
      <c r="F969" s="40"/>
      <c r="G969" s="38"/>
      <c r="H969" s="39"/>
      <c r="I969" s="41"/>
      <c r="J969" s="41"/>
      <c r="K969" s="41"/>
      <c r="L969" s="40"/>
      <c r="M969" s="42"/>
      <c r="N969" s="41"/>
      <c r="O969" s="41"/>
      <c r="P969" s="41"/>
    </row>
    <row r="970" spans="1:16" ht="15.75" customHeight="1" x14ac:dyDescent="0.25">
      <c r="A970" s="37"/>
      <c r="B970" s="38"/>
      <c r="C970" s="39"/>
      <c r="D970" s="38"/>
      <c r="E970" s="39"/>
      <c r="F970" s="40"/>
      <c r="G970" s="38"/>
      <c r="H970" s="39"/>
      <c r="I970" s="41"/>
      <c r="J970" s="41"/>
      <c r="K970" s="41"/>
      <c r="L970" s="40"/>
      <c r="M970" s="42"/>
      <c r="N970" s="41"/>
      <c r="O970" s="41"/>
      <c r="P970" s="41"/>
    </row>
    <row r="971" spans="1:16" ht="15.75" customHeight="1" x14ac:dyDescent="0.25">
      <c r="A971" s="37"/>
      <c r="B971" s="38"/>
      <c r="C971" s="39"/>
      <c r="D971" s="38"/>
      <c r="E971" s="39"/>
      <c r="F971" s="40"/>
      <c r="G971" s="38"/>
      <c r="H971" s="39"/>
      <c r="I971" s="41"/>
      <c r="J971" s="41"/>
      <c r="K971" s="41"/>
      <c r="L971" s="40"/>
      <c r="M971" s="42"/>
      <c r="N971" s="41"/>
      <c r="O971" s="41"/>
      <c r="P971" s="41"/>
    </row>
    <row r="972" spans="1:16" ht="15.75" customHeight="1" x14ac:dyDescent="0.25">
      <c r="A972" s="37"/>
      <c r="B972" s="38"/>
      <c r="C972" s="39"/>
      <c r="D972" s="38"/>
      <c r="E972" s="39"/>
      <c r="F972" s="40"/>
      <c r="G972" s="38"/>
      <c r="H972" s="39"/>
      <c r="I972" s="41"/>
      <c r="J972" s="41"/>
      <c r="K972" s="41"/>
      <c r="L972" s="40"/>
      <c r="M972" s="42"/>
      <c r="N972" s="41"/>
      <c r="O972" s="41"/>
      <c r="P972" s="41"/>
    </row>
    <row r="973" spans="1:16" ht="15.75" customHeight="1" x14ac:dyDescent="0.25">
      <c r="A973" s="37"/>
      <c r="B973" s="38"/>
      <c r="C973" s="39"/>
      <c r="D973" s="38"/>
      <c r="E973" s="39"/>
      <c r="F973" s="40"/>
      <c r="G973" s="38"/>
      <c r="H973" s="39"/>
      <c r="I973" s="41"/>
      <c r="J973" s="41"/>
      <c r="K973" s="41"/>
      <c r="L973" s="40"/>
      <c r="M973" s="42"/>
      <c r="N973" s="41"/>
      <c r="O973" s="41"/>
      <c r="P973" s="41"/>
    </row>
    <row r="974" spans="1:16" ht="15.75" customHeight="1" x14ac:dyDescent="0.25">
      <c r="A974" s="37"/>
      <c r="B974" s="38"/>
      <c r="C974" s="39"/>
      <c r="D974" s="38"/>
      <c r="E974" s="39"/>
      <c r="F974" s="40"/>
      <c r="G974" s="38"/>
      <c r="H974" s="39"/>
      <c r="I974" s="41"/>
      <c r="J974" s="41"/>
      <c r="K974" s="41"/>
      <c r="L974" s="40"/>
      <c r="M974" s="42"/>
      <c r="N974" s="41"/>
      <c r="O974" s="41"/>
      <c r="P974" s="41"/>
    </row>
    <row r="975" spans="1:16" ht="15.75" customHeight="1" x14ac:dyDescent="0.25">
      <c r="A975" s="37"/>
      <c r="B975" s="38"/>
      <c r="C975" s="39"/>
      <c r="D975" s="38"/>
      <c r="E975" s="39"/>
      <c r="F975" s="40"/>
      <c r="G975" s="38"/>
      <c r="H975" s="39"/>
      <c r="I975" s="41"/>
      <c r="J975" s="41"/>
      <c r="K975" s="41"/>
      <c r="L975" s="40"/>
      <c r="M975" s="42"/>
      <c r="N975" s="41"/>
      <c r="O975" s="41"/>
      <c r="P975" s="41"/>
    </row>
    <row r="976" spans="1:16" ht="15.75" customHeight="1" x14ac:dyDescent="0.25">
      <c r="A976" s="37"/>
      <c r="B976" s="38"/>
      <c r="C976" s="39"/>
      <c r="D976" s="38"/>
      <c r="E976" s="39"/>
      <c r="F976" s="40"/>
      <c r="G976" s="38"/>
      <c r="H976" s="39"/>
      <c r="I976" s="41"/>
      <c r="J976" s="41"/>
      <c r="K976" s="41"/>
      <c r="L976" s="40"/>
      <c r="M976" s="42"/>
      <c r="N976" s="41"/>
      <c r="O976" s="41"/>
      <c r="P976" s="41"/>
    </row>
    <row r="977" spans="1:16" ht="15.75" customHeight="1" x14ac:dyDescent="0.25">
      <c r="A977" s="37"/>
      <c r="B977" s="38"/>
      <c r="C977" s="39"/>
      <c r="D977" s="38"/>
      <c r="E977" s="39"/>
      <c r="F977" s="40"/>
      <c r="G977" s="38"/>
      <c r="H977" s="39"/>
      <c r="I977" s="41"/>
      <c r="J977" s="41"/>
      <c r="K977" s="41"/>
      <c r="L977" s="40"/>
      <c r="M977" s="42"/>
      <c r="N977" s="41"/>
      <c r="O977" s="41"/>
      <c r="P977" s="41"/>
    </row>
    <row r="978" spans="1:16" ht="15.75" customHeight="1" x14ac:dyDescent="0.25">
      <c r="A978" s="37"/>
      <c r="B978" s="38"/>
      <c r="C978" s="39"/>
      <c r="D978" s="38"/>
      <c r="E978" s="39"/>
      <c r="F978" s="40"/>
      <c r="G978" s="38"/>
      <c r="H978" s="39"/>
      <c r="I978" s="41"/>
      <c r="J978" s="41"/>
      <c r="K978" s="41"/>
      <c r="L978" s="40"/>
      <c r="M978" s="42"/>
      <c r="N978" s="41"/>
      <c r="O978" s="41"/>
      <c r="P978" s="41"/>
    </row>
    <row r="979" spans="1:16" ht="15.75" customHeight="1" x14ac:dyDescent="0.25">
      <c r="A979" s="37"/>
      <c r="B979" s="38"/>
      <c r="C979" s="39"/>
      <c r="D979" s="38"/>
      <c r="E979" s="39"/>
      <c r="F979" s="40"/>
      <c r="G979" s="38"/>
      <c r="H979" s="39"/>
      <c r="I979" s="41"/>
      <c r="J979" s="41"/>
      <c r="K979" s="41"/>
      <c r="L979" s="40"/>
      <c r="M979" s="42"/>
      <c r="N979" s="41"/>
      <c r="O979" s="41"/>
      <c r="P979" s="41"/>
    </row>
    <row r="980" spans="1:16" ht="15.75" customHeight="1" x14ac:dyDescent="0.25">
      <c r="A980" s="37"/>
      <c r="B980" s="38"/>
      <c r="C980" s="39"/>
      <c r="D980" s="38"/>
      <c r="E980" s="39"/>
      <c r="F980" s="40"/>
      <c r="G980" s="38"/>
      <c r="H980" s="39"/>
      <c r="I980" s="41"/>
      <c r="J980" s="41"/>
      <c r="K980" s="41"/>
      <c r="L980" s="40"/>
      <c r="M980" s="42"/>
      <c r="N980" s="41"/>
      <c r="O980" s="41"/>
      <c r="P980" s="41"/>
    </row>
    <row r="981" spans="1:16" ht="15.75" customHeight="1" x14ac:dyDescent="0.25">
      <c r="A981" s="37"/>
      <c r="B981" s="38"/>
      <c r="C981" s="39"/>
      <c r="D981" s="38"/>
      <c r="E981" s="39"/>
      <c r="F981" s="40"/>
      <c r="G981" s="38"/>
      <c r="H981" s="39"/>
      <c r="I981" s="41"/>
      <c r="J981" s="41"/>
      <c r="K981" s="41"/>
      <c r="L981" s="40"/>
      <c r="M981" s="42"/>
      <c r="N981" s="41"/>
      <c r="O981" s="41"/>
      <c r="P981" s="41"/>
    </row>
    <row r="982" spans="1:16" ht="15.75" customHeight="1" x14ac:dyDescent="0.25">
      <c r="A982" s="37"/>
      <c r="B982" s="38"/>
      <c r="C982" s="39"/>
      <c r="D982" s="38"/>
      <c r="E982" s="39"/>
      <c r="F982" s="40"/>
      <c r="G982" s="38"/>
      <c r="H982" s="39"/>
      <c r="I982" s="41"/>
      <c r="J982" s="41"/>
      <c r="K982" s="41"/>
      <c r="L982" s="40"/>
      <c r="M982" s="42"/>
      <c r="N982" s="41"/>
      <c r="O982" s="41"/>
      <c r="P982" s="41"/>
    </row>
    <row r="983" spans="1:16" ht="15.75" customHeight="1" x14ac:dyDescent="0.25">
      <c r="A983" s="37"/>
      <c r="B983" s="38"/>
      <c r="C983" s="39"/>
      <c r="D983" s="38"/>
      <c r="E983" s="39"/>
      <c r="F983" s="40"/>
      <c r="G983" s="38"/>
      <c r="H983" s="39"/>
      <c r="I983" s="41"/>
      <c r="J983" s="41"/>
      <c r="K983" s="41"/>
      <c r="L983" s="40"/>
      <c r="M983" s="42"/>
      <c r="N983" s="41"/>
      <c r="O983" s="41"/>
      <c r="P983" s="41"/>
    </row>
    <row r="984" spans="1:16" ht="15.75" customHeight="1" x14ac:dyDescent="0.25">
      <c r="A984" s="37"/>
      <c r="B984" s="38"/>
      <c r="C984" s="39"/>
      <c r="D984" s="38"/>
      <c r="E984" s="39"/>
      <c r="F984" s="40"/>
      <c r="G984" s="38"/>
      <c r="H984" s="39"/>
      <c r="I984" s="41"/>
      <c r="J984" s="41"/>
      <c r="K984" s="41"/>
      <c r="L984" s="40"/>
      <c r="M984" s="42"/>
      <c r="N984" s="41"/>
      <c r="O984" s="41"/>
      <c r="P984" s="41"/>
    </row>
    <row r="985" spans="1:16" ht="15.75" customHeight="1" x14ac:dyDescent="0.25">
      <c r="A985" s="37"/>
      <c r="B985" s="38"/>
      <c r="C985" s="39"/>
      <c r="D985" s="38"/>
      <c r="E985" s="39"/>
      <c r="F985" s="40"/>
      <c r="G985" s="38"/>
      <c r="H985" s="39"/>
      <c r="I985" s="41"/>
      <c r="J985" s="41"/>
      <c r="K985" s="41"/>
      <c r="L985" s="40"/>
      <c r="M985" s="42"/>
      <c r="N985" s="41"/>
      <c r="O985" s="41"/>
      <c r="P985" s="41"/>
    </row>
    <row r="986" spans="1:16" ht="15.75" customHeight="1" x14ac:dyDescent="0.25">
      <c r="A986" s="37"/>
      <c r="B986" s="38"/>
      <c r="C986" s="39"/>
      <c r="D986" s="38"/>
      <c r="E986" s="39"/>
      <c r="F986" s="40"/>
      <c r="G986" s="38"/>
      <c r="H986" s="39"/>
      <c r="I986" s="41"/>
      <c r="J986" s="41"/>
      <c r="K986" s="41"/>
      <c r="L986" s="40"/>
      <c r="M986" s="42"/>
      <c r="N986" s="41"/>
      <c r="O986" s="41"/>
      <c r="P986" s="41"/>
    </row>
    <row r="987" spans="1:16" ht="15.75" customHeight="1" x14ac:dyDescent="0.25">
      <c r="A987" s="37"/>
      <c r="B987" s="38"/>
      <c r="C987" s="39"/>
      <c r="D987" s="38"/>
      <c r="E987" s="39"/>
      <c r="F987" s="40"/>
      <c r="G987" s="38"/>
      <c r="H987" s="39"/>
      <c r="I987" s="41"/>
      <c r="J987" s="41"/>
      <c r="K987" s="41"/>
      <c r="L987" s="40"/>
      <c r="M987" s="42"/>
      <c r="N987" s="41"/>
      <c r="O987" s="41"/>
      <c r="P987" s="41"/>
    </row>
    <row r="988" spans="1:16" ht="15.75" customHeight="1" x14ac:dyDescent="0.25">
      <c r="A988" s="37"/>
      <c r="B988" s="38"/>
      <c r="C988" s="39"/>
      <c r="D988" s="38"/>
      <c r="E988" s="39"/>
      <c r="F988" s="40"/>
      <c r="G988" s="38"/>
      <c r="H988" s="39"/>
      <c r="I988" s="41"/>
      <c r="J988" s="41"/>
      <c r="K988" s="41"/>
      <c r="L988" s="40"/>
      <c r="M988" s="42"/>
      <c r="N988" s="41"/>
      <c r="O988" s="41"/>
      <c r="P988" s="41"/>
    </row>
    <row r="989" spans="1:16" ht="15.75" customHeight="1" x14ac:dyDescent="0.25">
      <c r="A989" s="37"/>
      <c r="B989" s="38"/>
      <c r="C989" s="39"/>
      <c r="D989" s="38"/>
      <c r="E989" s="39"/>
      <c r="F989" s="40"/>
      <c r="G989" s="38"/>
      <c r="H989" s="39"/>
      <c r="I989" s="41"/>
      <c r="J989" s="41"/>
      <c r="K989" s="41"/>
      <c r="L989" s="40"/>
      <c r="M989" s="42"/>
      <c r="N989" s="41"/>
      <c r="O989" s="41"/>
      <c r="P989" s="41"/>
    </row>
    <row r="990" spans="1:16" ht="15.75" customHeight="1" x14ac:dyDescent="0.25">
      <c r="A990" s="37"/>
      <c r="B990" s="38"/>
      <c r="C990" s="39"/>
      <c r="D990" s="38"/>
      <c r="E990" s="39"/>
      <c r="F990" s="40"/>
      <c r="G990" s="38"/>
      <c r="H990" s="39"/>
      <c r="I990" s="41"/>
      <c r="J990" s="41"/>
      <c r="K990" s="41"/>
      <c r="L990" s="40"/>
      <c r="M990" s="42"/>
      <c r="N990" s="41"/>
      <c r="O990" s="41"/>
      <c r="P990" s="41"/>
    </row>
    <row r="991" spans="1:16" ht="15.75" customHeight="1" x14ac:dyDescent="0.25">
      <c r="A991" s="37"/>
      <c r="B991" s="38"/>
      <c r="C991" s="39"/>
      <c r="D991" s="38"/>
      <c r="E991" s="39"/>
      <c r="F991" s="40"/>
      <c r="G991" s="38"/>
      <c r="H991" s="39"/>
      <c r="I991" s="41"/>
      <c r="J991" s="41"/>
      <c r="K991" s="41"/>
      <c r="L991" s="40"/>
      <c r="M991" s="42"/>
      <c r="N991" s="41"/>
      <c r="O991" s="41"/>
      <c r="P991" s="41"/>
    </row>
    <row r="992" spans="1:16" ht="15.75" customHeight="1" x14ac:dyDescent="0.25">
      <c r="A992" s="37"/>
      <c r="B992" s="38"/>
      <c r="C992" s="39"/>
      <c r="D992" s="38"/>
      <c r="E992" s="39"/>
      <c r="F992" s="40"/>
      <c r="G992" s="38"/>
      <c r="H992" s="39"/>
      <c r="I992" s="41"/>
      <c r="J992" s="41"/>
      <c r="K992" s="41"/>
      <c r="L992" s="40"/>
      <c r="M992" s="42"/>
      <c r="N992" s="41"/>
      <c r="O992" s="41"/>
      <c r="P992" s="41"/>
    </row>
    <row r="993" spans="1:16" ht="15.75" customHeight="1" x14ac:dyDescent="0.25">
      <c r="A993" s="37"/>
      <c r="B993" s="38"/>
      <c r="C993" s="39"/>
      <c r="D993" s="38"/>
      <c r="E993" s="39"/>
      <c r="F993" s="40"/>
      <c r="G993" s="38"/>
      <c r="H993" s="39"/>
      <c r="I993" s="41"/>
      <c r="J993" s="41"/>
      <c r="K993" s="41"/>
      <c r="L993" s="40"/>
      <c r="M993" s="42"/>
      <c r="N993" s="41"/>
      <c r="O993" s="41"/>
      <c r="P993" s="41"/>
    </row>
    <row r="994" spans="1:16" ht="15.75" customHeight="1" x14ac:dyDescent="0.25">
      <c r="A994" s="37"/>
      <c r="B994" s="38"/>
      <c r="C994" s="39"/>
      <c r="D994" s="38"/>
      <c r="E994" s="39"/>
      <c r="F994" s="40"/>
      <c r="G994" s="38"/>
      <c r="H994" s="39"/>
      <c r="I994" s="41"/>
      <c r="J994" s="41"/>
      <c r="K994" s="41"/>
      <c r="L994" s="40"/>
      <c r="M994" s="42"/>
      <c r="N994" s="41"/>
      <c r="O994" s="41"/>
      <c r="P994" s="41"/>
    </row>
  </sheetData>
  <mergeCells count="2">
    <mergeCell ref="P2:P5"/>
    <mergeCell ref="P47:P5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2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 x14ac:dyDescent="0.25">
      <c r="A1" s="43" t="s">
        <v>0</v>
      </c>
      <c r="B1" s="44" t="s">
        <v>1</v>
      </c>
      <c r="C1" s="45" t="s">
        <v>2</v>
      </c>
      <c r="D1" s="44" t="s">
        <v>83</v>
      </c>
      <c r="E1" s="45" t="s">
        <v>84</v>
      </c>
      <c r="F1" s="45" t="s">
        <v>85</v>
      </c>
      <c r="G1" s="5" t="s">
        <v>86</v>
      </c>
      <c r="H1" s="5" t="s">
        <v>13</v>
      </c>
      <c r="I1" s="5" t="s">
        <v>14</v>
      </c>
      <c r="J1" s="7" t="s">
        <v>15</v>
      </c>
    </row>
    <row r="2" spans="1:27" ht="15.75" customHeight="1" x14ac:dyDescent="0.25">
      <c r="A2" s="46" t="s">
        <v>87</v>
      </c>
      <c r="B2" s="19">
        <v>45708</v>
      </c>
      <c r="C2" s="20">
        <v>0.33819444444444446</v>
      </c>
      <c r="D2" s="19">
        <v>45713</v>
      </c>
      <c r="E2" s="20">
        <v>0.4284722222222222</v>
      </c>
      <c r="F2" s="20">
        <v>0.47013888888888888</v>
      </c>
      <c r="G2" s="47" t="s">
        <v>88</v>
      </c>
      <c r="H2" s="48" t="s">
        <v>19</v>
      </c>
      <c r="I2" s="48" t="s">
        <v>20</v>
      </c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75" customHeight="1" x14ac:dyDescent="0.25">
      <c r="A3" s="51" t="s">
        <v>89</v>
      </c>
      <c r="B3" s="19">
        <v>45708</v>
      </c>
      <c r="C3" s="20">
        <v>0.3576388888888889</v>
      </c>
      <c r="D3" s="19">
        <v>45713</v>
      </c>
      <c r="E3" s="20">
        <v>0.42986111111111114</v>
      </c>
      <c r="F3" s="20">
        <v>0.47152777777777777</v>
      </c>
      <c r="G3" s="47" t="s">
        <v>88</v>
      </c>
      <c r="H3" s="48" t="s">
        <v>19</v>
      </c>
      <c r="I3" s="48" t="s">
        <v>20</v>
      </c>
      <c r="J3" s="49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ht="15.75" customHeight="1" x14ac:dyDescent="0.25">
      <c r="A4" s="46" t="s">
        <v>90</v>
      </c>
      <c r="B4" s="19">
        <v>45708</v>
      </c>
      <c r="C4" s="20">
        <v>0.43055555555555558</v>
      </c>
      <c r="D4" s="19">
        <v>45713</v>
      </c>
      <c r="E4" s="20">
        <v>0.43055555555555558</v>
      </c>
      <c r="F4" s="20">
        <v>0.47222222222222221</v>
      </c>
      <c r="G4" s="47" t="s">
        <v>88</v>
      </c>
      <c r="H4" s="48" t="s">
        <v>19</v>
      </c>
      <c r="I4" s="48" t="s">
        <v>20</v>
      </c>
      <c r="J4" s="49"/>
    </row>
    <row r="5" spans="1:27" ht="15.75" customHeight="1" x14ac:dyDescent="0.25">
      <c r="A5" s="52" t="s">
        <v>91</v>
      </c>
      <c r="B5" s="19">
        <v>45708</v>
      </c>
      <c r="C5" s="20">
        <v>0.44583333333333336</v>
      </c>
      <c r="D5" s="19">
        <v>45713</v>
      </c>
      <c r="E5" s="20">
        <v>0.42986111111111114</v>
      </c>
      <c r="F5" s="20">
        <v>0.47152777777777777</v>
      </c>
      <c r="G5" s="47" t="s">
        <v>88</v>
      </c>
      <c r="H5" s="48" t="s">
        <v>19</v>
      </c>
      <c r="I5" s="48" t="s">
        <v>20</v>
      </c>
      <c r="J5" s="49"/>
    </row>
    <row r="6" spans="1:27" ht="15.75" customHeight="1" x14ac:dyDescent="0.25">
      <c r="A6" s="51" t="s">
        <v>92</v>
      </c>
      <c r="B6" s="21">
        <v>45709</v>
      </c>
      <c r="C6" s="20">
        <v>0.32291666666666669</v>
      </c>
      <c r="D6" s="21">
        <v>45709</v>
      </c>
      <c r="E6" s="20">
        <v>0.60416666666666663</v>
      </c>
      <c r="F6" s="20">
        <v>0.64583333333333337</v>
      </c>
      <c r="G6" s="47" t="s">
        <v>88</v>
      </c>
      <c r="H6" s="48" t="s">
        <v>19</v>
      </c>
      <c r="I6" s="48" t="s">
        <v>20</v>
      </c>
      <c r="J6" s="49"/>
    </row>
    <row r="7" spans="1:27" ht="15.75" customHeight="1" x14ac:dyDescent="0.25">
      <c r="A7" s="51" t="s">
        <v>93</v>
      </c>
      <c r="B7" s="21">
        <v>45709</v>
      </c>
      <c r="C7" s="20">
        <v>0.34027777777777779</v>
      </c>
      <c r="D7" s="21">
        <v>45709</v>
      </c>
      <c r="E7" s="20">
        <v>0.60138888888888886</v>
      </c>
      <c r="F7" s="20">
        <v>0.6430555555555556</v>
      </c>
      <c r="G7" s="47" t="s">
        <v>88</v>
      </c>
      <c r="H7" s="48" t="s">
        <v>19</v>
      </c>
      <c r="I7" s="48" t="s">
        <v>20</v>
      </c>
      <c r="J7" s="49"/>
    </row>
    <row r="8" spans="1:27" ht="15.75" customHeight="1" x14ac:dyDescent="0.25">
      <c r="A8" s="51" t="s">
        <v>94</v>
      </c>
      <c r="B8" s="21">
        <v>45709</v>
      </c>
      <c r="C8" s="20">
        <v>0.35833333333333334</v>
      </c>
      <c r="D8" s="21">
        <v>45709</v>
      </c>
      <c r="E8" s="20">
        <v>0.60347222222222219</v>
      </c>
      <c r="F8" s="20">
        <v>0.64513888888888893</v>
      </c>
      <c r="G8" s="47" t="s">
        <v>88</v>
      </c>
      <c r="H8" s="48" t="s">
        <v>19</v>
      </c>
      <c r="I8" s="48" t="s">
        <v>20</v>
      </c>
      <c r="J8" s="49"/>
    </row>
    <row r="9" spans="1:27" ht="15.75" customHeight="1" x14ac:dyDescent="0.25">
      <c r="A9" s="51" t="s">
        <v>95</v>
      </c>
      <c r="B9" s="21">
        <v>45709</v>
      </c>
      <c r="C9" s="20">
        <v>0.40763888888888888</v>
      </c>
      <c r="D9" s="21">
        <v>45709</v>
      </c>
      <c r="E9" s="20">
        <v>0.60347222222222219</v>
      </c>
      <c r="F9" s="20">
        <v>0.64513888888888893</v>
      </c>
      <c r="G9" s="47" t="s">
        <v>88</v>
      </c>
      <c r="H9" s="48" t="s">
        <v>19</v>
      </c>
      <c r="I9" s="48" t="s">
        <v>20</v>
      </c>
      <c r="J9" s="49"/>
    </row>
    <row r="10" spans="1:27" ht="15.75" customHeight="1" x14ac:dyDescent="0.25">
      <c r="A10" s="51" t="s">
        <v>96</v>
      </c>
      <c r="B10" s="21">
        <v>45709</v>
      </c>
      <c r="C10" s="20">
        <v>0.42708333333333331</v>
      </c>
      <c r="D10" s="21">
        <v>45709</v>
      </c>
      <c r="E10" s="20">
        <v>0.64930555555555558</v>
      </c>
      <c r="F10" s="20">
        <v>0.69097222222222221</v>
      </c>
      <c r="G10" s="47" t="s">
        <v>88</v>
      </c>
      <c r="H10" s="48" t="s">
        <v>19</v>
      </c>
      <c r="I10" s="48" t="s">
        <v>20</v>
      </c>
      <c r="J10" s="49"/>
    </row>
    <row r="11" spans="1:27" ht="15.75" customHeight="1" x14ac:dyDescent="0.25">
      <c r="A11" s="51" t="s">
        <v>97</v>
      </c>
      <c r="B11" s="21">
        <v>45709</v>
      </c>
      <c r="C11" s="20">
        <v>0.44097222222222221</v>
      </c>
      <c r="D11" s="21">
        <v>45709</v>
      </c>
      <c r="E11" s="20">
        <v>0.65</v>
      </c>
      <c r="F11" s="20">
        <v>0.69166666666666665</v>
      </c>
      <c r="G11" s="47" t="s">
        <v>88</v>
      </c>
      <c r="H11" s="48" t="s">
        <v>19</v>
      </c>
      <c r="I11" s="48" t="s">
        <v>20</v>
      </c>
      <c r="J11" s="49"/>
    </row>
    <row r="12" spans="1:27" ht="15.75" customHeight="1" x14ac:dyDescent="0.25">
      <c r="A12" s="51" t="s">
        <v>98</v>
      </c>
      <c r="B12" s="21">
        <v>45709</v>
      </c>
      <c r="C12" s="20">
        <v>0.46736111111111112</v>
      </c>
      <c r="D12" s="21">
        <v>45709</v>
      </c>
      <c r="E12" s="20">
        <v>0.60486111111111107</v>
      </c>
      <c r="F12" s="20">
        <v>0.64652777777777781</v>
      </c>
      <c r="G12" s="47" t="s">
        <v>88</v>
      </c>
      <c r="H12" s="48" t="s">
        <v>19</v>
      </c>
      <c r="I12" s="48" t="s">
        <v>20</v>
      </c>
      <c r="J12" s="49"/>
    </row>
    <row r="13" spans="1:27" ht="15.75" customHeight="1" x14ac:dyDescent="0.25">
      <c r="A13" s="51" t="s">
        <v>99</v>
      </c>
      <c r="B13" s="21">
        <v>45709</v>
      </c>
      <c r="C13" s="20">
        <v>0.48402777777777778</v>
      </c>
      <c r="D13" s="21">
        <v>45709</v>
      </c>
      <c r="E13" s="20">
        <v>0.65069444444444446</v>
      </c>
      <c r="F13" s="20">
        <v>0.69236111111111109</v>
      </c>
      <c r="G13" s="47" t="s">
        <v>88</v>
      </c>
      <c r="H13" s="48" t="s">
        <v>19</v>
      </c>
      <c r="I13" s="48" t="s">
        <v>20</v>
      </c>
      <c r="J13" s="49"/>
    </row>
    <row r="14" spans="1:27" ht="15.75" customHeight="1" x14ac:dyDescent="0.25">
      <c r="A14" s="51" t="s">
        <v>100</v>
      </c>
      <c r="B14" s="19">
        <v>45719</v>
      </c>
      <c r="C14" s="20">
        <v>0.36249999999999999</v>
      </c>
      <c r="D14" s="19">
        <v>45720</v>
      </c>
      <c r="E14" s="20">
        <v>0.79652777777777772</v>
      </c>
      <c r="F14" s="20">
        <v>0.83819444444444446</v>
      </c>
      <c r="G14" s="47" t="s">
        <v>88</v>
      </c>
      <c r="H14" s="48" t="s">
        <v>19</v>
      </c>
      <c r="I14" s="48" t="s">
        <v>20</v>
      </c>
      <c r="J14" s="49"/>
    </row>
    <row r="15" spans="1:27" ht="15.75" customHeight="1" x14ac:dyDescent="0.25">
      <c r="A15" s="51" t="s">
        <v>101</v>
      </c>
      <c r="B15" s="19">
        <v>45719</v>
      </c>
      <c r="C15" s="53">
        <v>0.42916666666666664</v>
      </c>
      <c r="D15" s="19">
        <v>45720</v>
      </c>
      <c r="E15" s="20">
        <v>0.79791666666666672</v>
      </c>
      <c r="F15" s="20">
        <v>0.83958333333333335</v>
      </c>
      <c r="G15" s="47" t="s">
        <v>88</v>
      </c>
      <c r="H15" s="48" t="s">
        <v>19</v>
      </c>
      <c r="I15" s="48" t="s">
        <v>20</v>
      </c>
      <c r="J15" s="49"/>
    </row>
    <row r="16" spans="1:27" ht="15.75" customHeight="1" x14ac:dyDescent="0.25">
      <c r="A16" s="51" t="s">
        <v>102</v>
      </c>
      <c r="B16" s="19">
        <v>45719</v>
      </c>
      <c r="C16" s="20">
        <v>0.46458333333333335</v>
      </c>
      <c r="D16" s="19">
        <v>45720</v>
      </c>
      <c r="E16" s="20">
        <v>0.79791666666666672</v>
      </c>
      <c r="F16" s="20">
        <v>0.83958333333333335</v>
      </c>
      <c r="G16" s="47" t="s">
        <v>88</v>
      </c>
      <c r="H16" s="48" t="s">
        <v>19</v>
      </c>
      <c r="I16" s="48" t="s">
        <v>20</v>
      </c>
      <c r="J16" s="49"/>
    </row>
    <row r="17" spans="1:27" ht="15.75" customHeight="1" x14ac:dyDescent="0.25">
      <c r="A17" s="51" t="s">
        <v>103</v>
      </c>
      <c r="B17" s="19">
        <v>45719</v>
      </c>
      <c r="C17" s="53">
        <v>0.51944444444444449</v>
      </c>
      <c r="D17" s="19">
        <v>45720</v>
      </c>
      <c r="E17" s="20">
        <v>0.79861111111111116</v>
      </c>
      <c r="F17" s="20">
        <v>0.84027777777777779</v>
      </c>
      <c r="G17" s="47" t="s">
        <v>88</v>
      </c>
      <c r="H17" s="48" t="s">
        <v>19</v>
      </c>
      <c r="I17" s="48" t="s">
        <v>20</v>
      </c>
      <c r="J17" s="49"/>
    </row>
    <row r="18" spans="1:27" ht="15.75" customHeight="1" x14ac:dyDescent="0.25">
      <c r="A18" s="51" t="s">
        <v>104</v>
      </c>
      <c r="B18" s="19">
        <v>45720</v>
      </c>
      <c r="C18" s="20">
        <v>0.33958333333333335</v>
      </c>
      <c r="D18" s="19">
        <v>45720</v>
      </c>
      <c r="E18" s="20">
        <v>0.7993055555555556</v>
      </c>
      <c r="F18" s="20">
        <v>0.84097222222222223</v>
      </c>
      <c r="G18" s="47" t="s">
        <v>88</v>
      </c>
      <c r="H18" s="48" t="s">
        <v>19</v>
      </c>
      <c r="I18" s="48" t="s">
        <v>20</v>
      </c>
      <c r="J18" s="49"/>
    </row>
    <row r="19" spans="1:27" ht="15.75" customHeight="1" x14ac:dyDescent="0.25">
      <c r="A19" s="51" t="s">
        <v>105</v>
      </c>
      <c r="B19" s="19">
        <v>45720</v>
      </c>
      <c r="C19" s="54">
        <v>0.37152777777777779</v>
      </c>
      <c r="D19" s="19">
        <v>45721</v>
      </c>
      <c r="E19" s="20">
        <v>0.44791666666666669</v>
      </c>
      <c r="F19" s="20">
        <v>0.48958333333333331</v>
      </c>
      <c r="G19" s="47" t="s">
        <v>88</v>
      </c>
      <c r="H19" s="48" t="s">
        <v>19</v>
      </c>
      <c r="I19" s="48" t="s">
        <v>106</v>
      </c>
      <c r="J19" s="49"/>
    </row>
    <row r="20" spans="1:27" ht="15.75" customHeight="1" x14ac:dyDescent="0.25">
      <c r="A20" s="51" t="s">
        <v>107</v>
      </c>
      <c r="B20" s="19">
        <v>45720</v>
      </c>
      <c r="C20" s="54">
        <v>0.39374999999999999</v>
      </c>
      <c r="D20" s="19">
        <v>45721</v>
      </c>
      <c r="E20" s="20">
        <v>0.44861111111111113</v>
      </c>
      <c r="F20" s="20">
        <v>0.49027777777777776</v>
      </c>
      <c r="G20" s="47" t="s">
        <v>88</v>
      </c>
      <c r="H20" s="48" t="s">
        <v>19</v>
      </c>
      <c r="I20" s="48" t="s">
        <v>106</v>
      </c>
      <c r="J20" s="49"/>
    </row>
    <row r="21" spans="1:27" ht="15.75" customHeight="1" x14ac:dyDescent="0.25">
      <c r="A21" s="51" t="s">
        <v>108</v>
      </c>
      <c r="B21" s="19">
        <v>45720</v>
      </c>
      <c r="C21" s="20">
        <v>0.44513888888888886</v>
      </c>
      <c r="D21" s="24">
        <v>45721</v>
      </c>
      <c r="E21" s="20">
        <v>0.44861111111111113</v>
      </c>
      <c r="F21" s="20">
        <v>0.49027777777777776</v>
      </c>
      <c r="G21" s="47" t="s">
        <v>88</v>
      </c>
      <c r="H21" s="48" t="s">
        <v>19</v>
      </c>
      <c r="I21" s="48" t="s">
        <v>106</v>
      </c>
      <c r="J21" s="49"/>
    </row>
    <row r="22" spans="1:27" ht="15.75" customHeight="1" x14ac:dyDescent="0.25">
      <c r="A22" s="51" t="s">
        <v>109</v>
      </c>
      <c r="B22" s="19">
        <v>45720</v>
      </c>
      <c r="C22" s="20">
        <v>0.47430555555555554</v>
      </c>
      <c r="D22" s="24">
        <v>45721</v>
      </c>
      <c r="E22" s="20">
        <v>0.44930555555555557</v>
      </c>
      <c r="F22" s="20">
        <v>0.4909722222222222</v>
      </c>
      <c r="G22" s="47" t="s">
        <v>88</v>
      </c>
      <c r="H22" s="48" t="s">
        <v>19</v>
      </c>
      <c r="I22" s="48" t="s">
        <v>106</v>
      </c>
      <c r="J22" s="49"/>
    </row>
    <row r="23" spans="1:27" ht="15.75" customHeight="1" x14ac:dyDescent="0.25">
      <c r="A23" s="51" t="s">
        <v>110</v>
      </c>
      <c r="B23" s="19">
        <v>45720</v>
      </c>
      <c r="C23" s="20">
        <v>0.50486111111111109</v>
      </c>
      <c r="D23" s="24">
        <v>45721</v>
      </c>
      <c r="E23" s="20">
        <v>0.45</v>
      </c>
      <c r="F23" s="20">
        <v>0.49166666666666664</v>
      </c>
      <c r="G23" s="47" t="s">
        <v>88</v>
      </c>
      <c r="H23" s="48" t="s">
        <v>19</v>
      </c>
      <c r="I23" s="48" t="s">
        <v>106</v>
      </c>
      <c r="J23" s="49"/>
    </row>
    <row r="24" spans="1:27" ht="15.75" x14ac:dyDescent="0.25">
      <c r="A24" s="46" t="s">
        <v>111</v>
      </c>
      <c r="B24" s="24">
        <v>45722</v>
      </c>
      <c r="C24" s="20">
        <v>0.32291666666666669</v>
      </c>
      <c r="D24" s="24">
        <v>45722</v>
      </c>
      <c r="E24" s="20">
        <v>0.6069444444444444</v>
      </c>
      <c r="F24" s="20">
        <v>0.64861111111111114</v>
      </c>
      <c r="G24" s="47" t="s">
        <v>88</v>
      </c>
      <c r="H24" s="48" t="s">
        <v>19</v>
      </c>
      <c r="I24" s="48" t="s">
        <v>20</v>
      </c>
      <c r="J24" s="49"/>
    </row>
    <row r="25" spans="1:27" ht="15.75" customHeight="1" x14ac:dyDescent="0.25">
      <c r="A25" s="46" t="s">
        <v>112</v>
      </c>
      <c r="B25" s="24">
        <v>45722</v>
      </c>
      <c r="C25" s="20">
        <v>0.34930555555555554</v>
      </c>
      <c r="D25" s="24">
        <v>45722</v>
      </c>
      <c r="E25" s="20">
        <v>0.66249999999999998</v>
      </c>
      <c r="F25" s="20">
        <v>0.70416666666666672</v>
      </c>
      <c r="G25" s="47" t="s">
        <v>88</v>
      </c>
      <c r="H25" s="48" t="s">
        <v>19</v>
      </c>
      <c r="I25" s="48" t="s">
        <v>20</v>
      </c>
      <c r="J25" s="49"/>
    </row>
    <row r="26" spans="1:27" ht="15.75" customHeight="1" x14ac:dyDescent="0.25">
      <c r="A26" s="46" t="s">
        <v>113</v>
      </c>
      <c r="B26" s="24">
        <v>45722</v>
      </c>
      <c r="C26" s="20">
        <v>0.39513888888888887</v>
      </c>
      <c r="D26" s="24">
        <v>45722</v>
      </c>
      <c r="E26" s="20">
        <v>0.66249999999999998</v>
      </c>
      <c r="F26" s="20">
        <v>0.70416666666666672</v>
      </c>
      <c r="G26" s="47" t="s">
        <v>88</v>
      </c>
      <c r="H26" s="48" t="s">
        <v>19</v>
      </c>
      <c r="I26" s="48" t="s">
        <v>20</v>
      </c>
      <c r="J26" s="49"/>
    </row>
    <row r="27" spans="1:27" ht="15.75" customHeight="1" x14ac:dyDescent="0.25">
      <c r="A27" s="46" t="s">
        <v>114</v>
      </c>
      <c r="B27" s="24">
        <v>45722</v>
      </c>
      <c r="C27" s="20">
        <v>0.4201388888888889</v>
      </c>
      <c r="D27" s="24">
        <v>45722</v>
      </c>
      <c r="E27" s="20">
        <v>0.60763888888888884</v>
      </c>
      <c r="F27" s="20">
        <v>0.64930555555555558</v>
      </c>
      <c r="G27" s="47" t="s">
        <v>88</v>
      </c>
      <c r="H27" s="48" t="s">
        <v>19</v>
      </c>
      <c r="I27" s="48" t="s">
        <v>20</v>
      </c>
      <c r="J27" s="49"/>
    </row>
    <row r="28" spans="1:27" ht="15.75" x14ac:dyDescent="0.25">
      <c r="A28" s="46" t="s">
        <v>115</v>
      </c>
      <c r="B28" s="24">
        <v>45722</v>
      </c>
      <c r="C28" s="20">
        <v>0.45902777777777776</v>
      </c>
      <c r="D28" s="24">
        <v>45722</v>
      </c>
      <c r="E28" s="20">
        <v>0.60833333333333328</v>
      </c>
      <c r="F28" s="20">
        <v>0.65</v>
      </c>
      <c r="G28" s="47" t="s">
        <v>88</v>
      </c>
      <c r="H28" s="48" t="s">
        <v>19</v>
      </c>
      <c r="I28" s="48" t="s">
        <v>20</v>
      </c>
      <c r="J28" s="55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75" x14ac:dyDescent="0.25">
      <c r="A29" s="46" t="s">
        <v>116</v>
      </c>
      <c r="B29" s="24">
        <v>45722</v>
      </c>
      <c r="C29" s="20">
        <v>0.47430555555555554</v>
      </c>
      <c r="D29" s="24">
        <v>45722</v>
      </c>
      <c r="E29" s="20">
        <v>0.60902777777777772</v>
      </c>
      <c r="F29" s="20">
        <v>0.65069444444444446</v>
      </c>
      <c r="G29" s="47" t="s">
        <v>88</v>
      </c>
      <c r="H29" s="48" t="s">
        <v>19</v>
      </c>
      <c r="I29" s="48" t="s">
        <v>20</v>
      </c>
      <c r="J29" s="55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.75" customHeight="1" x14ac:dyDescent="0.25">
      <c r="A30" s="46" t="s">
        <v>117</v>
      </c>
      <c r="B30" s="24">
        <v>45722</v>
      </c>
      <c r="C30" s="54">
        <v>0.49027777777777776</v>
      </c>
      <c r="D30" s="24">
        <v>45722</v>
      </c>
      <c r="E30" s="20">
        <v>0.60833333333333328</v>
      </c>
      <c r="F30" s="20">
        <v>0.65</v>
      </c>
      <c r="G30" s="47" t="s">
        <v>88</v>
      </c>
      <c r="H30" s="48" t="s">
        <v>19</v>
      </c>
      <c r="I30" s="48" t="s">
        <v>20</v>
      </c>
      <c r="J30" s="55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5.75" customHeight="1" x14ac:dyDescent="0.25">
      <c r="A31" s="56" t="s">
        <v>118</v>
      </c>
      <c r="B31" s="19">
        <v>45726</v>
      </c>
      <c r="C31" s="20">
        <v>0.3</v>
      </c>
      <c r="D31" s="19">
        <v>45726</v>
      </c>
      <c r="E31" s="20">
        <v>0.67708333333333337</v>
      </c>
      <c r="F31" s="20">
        <v>0.71875</v>
      </c>
      <c r="G31" s="47" t="s">
        <v>88</v>
      </c>
      <c r="H31" s="48" t="s">
        <v>19</v>
      </c>
      <c r="I31" s="48" t="s">
        <v>20</v>
      </c>
      <c r="J31" s="55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5.75" customHeight="1" x14ac:dyDescent="0.25">
      <c r="A32" s="56" t="s">
        <v>119</v>
      </c>
      <c r="B32" s="19">
        <v>45726</v>
      </c>
      <c r="C32" s="20">
        <v>0.34513888888888888</v>
      </c>
      <c r="D32" s="19">
        <v>45726</v>
      </c>
      <c r="E32" s="20">
        <v>0.67708333333333337</v>
      </c>
      <c r="F32" s="20">
        <v>0.71875</v>
      </c>
      <c r="G32" s="47" t="s">
        <v>88</v>
      </c>
      <c r="H32" s="48" t="s">
        <v>19</v>
      </c>
      <c r="I32" s="48" t="s">
        <v>20</v>
      </c>
      <c r="J32" s="49"/>
    </row>
    <row r="33" spans="1:10" ht="15.75" customHeight="1" x14ac:dyDescent="0.25">
      <c r="A33" s="56" t="s">
        <v>120</v>
      </c>
      <c r="B33" s="19">
        <v>45726</v>
      </c>
      <c r="C33" s="20">
        <v>0.38055555555555554</v>
      </c>
      <c r="D33" s="19">
        <v>45726</v>
      </c>
      <c r="E33" s="20">
        <v>0.72916666666666663</v>
      </c>
      <c r="F33" s="20">
        <v>0.77083333333333337</v>
      </c>
      <c r="G33" s="47" t="s">
        <v>88</v>
      </c>
      <c r="H33" s="48" t="s">
        <v>19</v>
      </c>
      <c r="I33" s="48" t="s">
        <v>20</v>
      </c>
      <c r="J33" s="49"/>
    </row>
    <row r="34" spans="1:10" ht="15.75" customHeight="1" x14ac:dyDescent="0.25">
      <c r="A34" s="56" t="s">
        <v>121</v>
      </c>
      <c r="B34" s="19">
        <v>45726</v>
      </c>
      <c r="C34" s="20">
        <v>0.39513888888888887</v>
      </c>
      <c r="D34" s="19">
        <v>45726</v>
      </c>
      <c r="E34" s="20">
        <v>0.67847222222222225</v>
      </c>
      <c r="F34" s="20">
        <v>0.72013888888888888</v>
      </c>
      <c r="G34" s="47" t="s">
        <v>88</v>
      </c>
      <c r="H34" s="48" t="s">
        <v>19</v>
      </c>
      <c r="I34" s="48" t="s">
        <v>20</v>
      </c>
      <c r="J34" s="49"/>
    </row>
    <row r="35" spans="1:10" ht="15.75" customHeight="1" x14ac:dyDescent="0.25">
      <c r="A35" s="56" t="s">
        <v>122</v>
      </c>
      <c r="B35" s="19">
        <v>45726</v>
      </c>
      <c r="C35" s="57">
        <v>0.45624999999999999</v>
      </c>
      <c r="D35" s="19">
        <v>45726</v>
      </c>
      <c r="E35" s="20">
        <v>0.67777777777777781</v>
      </c>
      <c r="F35" s="20">
        <v>0.71944444444444444</v>
      </c>
      <c r="G35" s="47" t="s">
        <v>88</v>
      </c>
      <c r="H35" s="48" t="s">
        <v>19</v>
      </c>
      <c r="I35" s="48" t="s">
        <v>20</v>
      </c>
      <c r="J35" s="49"/>
    </row>
    <row r="36" spans="1:10" ht="15.75" customHeight="1" x14ac:dyDescent="0.25">
      <c r="A36" s="56" t="s">
        <v>123</v>
      </c>
      <c r="B36" s="19">
        <v>45726</v>
      </c>
      <c r="C36" s="57">
        <v>0.43402777777777779</v>
      </c>
      <c r="D36" s="19">
        <v>45726</v>
      </c>
      <c r="E36" s="20">
        <v>0.67777777777777781</v>
      </c>
      <c r="F36" s="20">
        <v>0.71944444444444444</v>
      </c>
      <c r="G36" s="47" t="s">
        <v>88</v>
      </c>
      <c r="H36" s="48" t="s">
        <v>19</v>
      </c>
      <c r="I36" s="48" t="s">
        <v>20</v>
      </c>
      <c r="J36" s="49"/>
    </row>
    <row r="37" spans="1:10" ht="15.75" customHeight="1" x14ac:dyDescent="0.25">
      <c r="A37" s="56" t="s">
        <v>124</v>
      </c>
      <c r="B37" s="19">
        <v>45726</v>
      </c>
      <c r="C37" s="57">
        <v>0.45</v>
      </c>
      <c r="D37" s="19">
        <v>45726</v>
      </c>
      <c r="E37" s="20">
        <v>0.6791666666666667</v>
      </c>
      <c r="F37" s="20">
        <v>0.72083333333333333</v>
      </c>
      <c r="G37" s="47" t="s">
        <v>88</v>
      </c>
      <c r="H37" s="48" t="s">
        <v>19</v>
      </c>
      <c r="I37" s="48" t="s">
        <v>20</v>
      </c>
      <c r="J37" s="49"/>
    </row>
    <row r="38" spans="1:10" ht="15.75" customHeight="1" x14ac:dyDescent="0.25">
      <c r="A38" s="56" t="s">
        <v>125</v>
      </c>
      <c r="B38" s="19">
        <v>45726</v>
      </c>
      <c r="C38" s="57">
        <v>0.46944444444444444</v>
      </c>
      <c r="D38" s="19">
        <v>45726</v>
      </c>
      <c r="E38" s="20">
        <v>0.7270833333333333</v>
      </c>
      <c r="F38" s="20">
        <v>0.76875000000000004</v>
      </c>
      <c r="G38" s="47" t="s">
        <v>88</v>
      </c>
      <c r="H38" s="48" t="s">
        <v>19</v>
      </c>
      <c r="I38" s="48" t="s">
        <v>20</v>
      </c>
      <c r="J38" s="49"/>
    </row>
    <row r="39" spans="1:10" ht="15.75" customHeight="1" x14ac:dyDescent="0.25">
      <c r="A39" s="56" t="s">
        <v>126</v>
      </c>
      <c r="B39" s="19">
        <v>45726</v>
      </c>
      <c r="C39" s="57">
        <v>0.49722222222222223</v>
      </c>
      <c r="D39" s="19">
        <v>45726</v>
      </c>
      <c r="E39" s="20">
        <v>0.72291666666666665</v>
      </c>
      <c r="F39" s="20">
        <v>0.76458333333333328</v>
      </c>
      <c r="G39" s="47" t="s">
        <v>88</v>
      </c>
      <c r="H39" s="48" t="s">
        <v>19</v>
      </c>
      <c r="I39" s="48" t="s">
        <v>20</v>
      </c>
      <c r="J39" s="58"/>
    </row>
    <row r="40" spans="1:10" ht="15.75" customHeight="1" x14ac:dyDescent="0.25">
      <c r="A40" s="56" t="s">
        <v>127</v>
      </c>
      <c r="B40" s="19">
        <v>45728</v>
      </c>
      <c r="C40" s="59">
        <v>0.3</v>
      </c>
      <c r="D40" s="19">
        <v>45726</v>
      </c>
      <c r="E40" s="20">
        <v>0.60486111111111107</v>
      </c>
      <c r="F40" s="20">
        <v>0.64652777777777781</v>
      </c>
      <c r="G40" s="47" t="s">
        <v>88</v>
      </c>
      <c r="H40" s="48" t="s">
        <v>19</v>
      </c>
      <c r="I40" s="48" t="s">
        <v>20</v>
      </c>
      <c r="J40" s="58"/>
    </row>
    <row r="41" spans="1:10" ht="15.75" customHeight="1" x14ac:dyDescent="0.25">
      <c r="A41" s="56" t="s">
        <v>128</v>
      </c>
      <c r="B41" s="19">
        <v>45728</v>
      </c>
      <c r="C41" s="59">
        <v>0.32013888888888886</v>
      </c>
      <c r="D41" s="19">
        <v>45728</v>
      </c>
      <c r="E41" s="20">
        <v>0.60555555555555551</v>
      </c>
      <c r="F41" s="20">
        <v>0.64722222222222225</v>
      </c>
      <c r="G41" s="47" t="s">
        <v>88</v>
      </c>
      <c r="H41" s="48" t="s">
        <v>19</v>
      </c>
      <c r="I41" s="48" t="s">
        <v>129</v>
      </c>
      <c r="J41" s="58"/>
    </row>
    <row r="42" spans="1:10" ht="15.75" customHeight="1" x14ac:dyDescent="0.25">
      <c r="A42" s="56" t="s">
        <v>130</v>
      </c>
      <c r="B42" s="19">
        <v>45728</v>
      </c>
      <c r="C42" s="20">
        <v>0.34236111111111112</v>
      </c>
      <c r="D42" s="19">
        <v>45728</v>
      </c>
      <c r="E42" s="20">
        <v>0.60624999999999996</v>
      </c>
      <c r="F42" s="20">
        <v>0.6479166666666667</v>
      </c>
      <c r="G42" s="47" t="s">
        <v>88</v>
      </c>
      <c r="H42" s="48" t="s">
        <v>19</v>
      </c>
      <c r="I42" s="48" t="s">
        <v>129</v>
      </c>
      <c r="J42" s="58"/>
    </row>
    <row r="43" spans="1:10" ht="15.75" customHeight="1" x14ac:dyDescent="0.25">
      <c r="A43" s="56" t="s">
        <v>131</v>
      </c>
      <c r="B43" s="19">
        <v>45728</v>
      </c>
      <c r="C43" s="20">
        <v>0.35972222222222222</v>
      </c>
      <c r="D43" s="19">
        <v>45728</v>
      </c>
      <c r="E43" s="20">
        <v>0.60624999999999996</v>
      </c>
      <c r="F43" s="20">
        <v>0.6479166666666667</v>
      </c>
      <c r="G43" s="47" t="s">
        <v>88</v>
      </c>
      <c r="H43" s="48" t="s">
        <v>19</v>
      </c>
      <c r="I43" s="48" t="s">
        <v>129</v>
      </c>
      <c r="J43" s="58"/>
    </row>
    <row r="44" spans="1:10" ht="15.75" customHeight="1" x14ac:dyDescent="0.25">
      <c r="A44" s="56" t="s">
        <v>132</v>
      </c>
      <c r="B44" s="19">
        <v>45728</v>
      </c>
      <c r="C44" s="59">
        <v>0.37638888888888888</v>
      </c>
      <c r="D44" s="19">
        <v>45728</v>
      </c>
      <c r="E44" s="60">
        <v>0.6069444444444444</v>
      </c>
      <c r="F44" s="60">
        <v>0.64861111111111114</v>
      </c>
      <c r="G44" s="47" t="s">
        <v>88</v>
      </c>
      <c r="H44" s="48" t="s">
        <v>19</v>
      </c>
      <c r="I44" s="48" t="s">
        <v>129</v>
      </c>
      <c r="J44" s="58"/>
    </row>
    <row r="45" spans="1:10" ht="15.75" customHeight="1" x14ac:dyDescent="0.25">
      <c r="A45" s="56" t="s">
        <v>133</v>
      </c>
      <c r="B45" s="19">
        <v>45728</v>
      </c>
      <c r="C45" s="59">
        <v>0.38750000000000001</v>
      </c>
      <c r="D45" s="19">
        <v>45728</v>
      </c>
      <c r="E45" s="60">
        <v>0.64583333333333337</v>
      </c>
      <c r="F45" s="60">
        <v>0.6875</v>
      </c>
      <c r="G45" s="47" t="s">
        <v>88</v>
      </c>
      <c r="H45" s="48" t="s">
        <v>19</v>
      </c>
      <c r="I45" s="48" t="s">
        <v>129</v>
      </c>
      <c r="J45" s="58"/>
    </row>
    <row r="46" spans="1:10" ht="15.75" customHeight="1" x14ac:dyDescent="0.25">
      <c r="A46" s="56" t="s">
        <v>134</v>
      </c>
      <c r="B46" s="19">
        <v>45728</v>
      </c>
      <c r="C46" s="20">
        <v>0.41041666666666665</v>
      </c>
      <c r="D46" s="19">
        <v>45728</v>
      </c>
      <c r="E46" s="60">
        <v>0.64652777777777781</v>
      </c>
      <c r="F46" s="60">
        <v>0.68819444444444444</v>
      </c>
      <c r="G46" s="47" t="s">
        <v>88</v>
      </c>
      <c r="H46" s="48" t="s">
        <v>19</v>
      </c>
      <c r="I46" s="48" t="s">
        <v>129</v>
      </c>
      <c r="J46" s="58"/>
    </row>
    <row r="47" spans="1:10" ht="15.75" customHeight="1" x14ac:dyDescent="0.25">
      <c r="A47" s="56" t="s">
        <v>135</v>
      </c>
      <c r="B47" s="19">
        <v>45728</v>
      </c>
      <c r="C47" s="20">
        <v>0.43402777777777779</v>
      </c>
      <c r="D47" s="19">
        <v>45728</v>
      </c>
      <c r="E47" s="60">
        <v>0.64652777777777781</v>
      </c>
      <c r="F47" s="60">
        <v>0.68819444444444444</v>
      </c>
      <c r="G47" s="47" t="s">
        <v>88</v>
      </c>
      <c r="H47" s="48" t="s">
        <v>19</v>
      </c>
      <c r="I47" s="48" t="s">
        <v>129</v>
      </c>
      <c r="J47" s="58"/>
    </row>
    <row r="48" spans="1:10" ht="15.75" customHeight="1" x14ac:dyDescent="0.25">
      <c r="A48" s="56" t="s">
        <v>136</v>
      </c>
      <c r="B48" s="19">
        <v>45728</v>
      </c>
      <c r="C48" s="20">
        <v>0.44930555555555557</v>
      </c>
      <c r="D48" s="19">
        <v>45728</v>
      </c>
      <c r="E48" s="60">
        <v>0.77222222222222225</v>
      </c>
      <c r="F48" s="60">
        <v>0.81388888888888888</v>
      </c>
      <c r="G48" s="47" t="s">
        <v>88</v>
      </c>
      <c r="H48" s="48" t="s">
        <v>19</v>
      </c>
      <c r="I48" s="48" t="s">
        <v>129</v>
      </c>
      <c r="J48" s="58"/>
    </row>
    <row r="49" spans="1:10" ht="15.75" customHeight="1" x14ac:dyDescent="0.25">
      <c r="A49" s="56" t="s">
        <v>137</v>
      </c>
      <c r="B49" s="24">
        <v>45755</v>
      </c>
      <c r="C49" s="20">
        <v>0.34027777777777779</v>
      </c>
      <c r="D49" s="24">
        <v>45755</v>
      </c>
      <c r="E49" s="60">
        <v>0.77500000000000002</v>
      </c>
      <c r="F49" s="60">
        <v>0.81666666666666665</v>
      </c>
      <c r="G49" s="47" t="s">
        <v>88</v>
      </c>
      <c r="H49" s="48" t="s">
        <v>19</v>
      </c>
      <c r="I49" s="61" t="s">
        <v>138</v>
      </c>
      <c r="J49" s="58"/>
    </row>
    <row r="50" spans="1:10" ht="15.75" customHeight="1" x14ac:dyDescent="0.25">
      <c r="A50" s="56" t="s">
        <v>139</v>
      </c>
      <c r="B50" s="24">
        <v>45755</v>
      </c>
      <c r="C50" s="20">
        <v>0.35625000000000001</v>
      </c>
      <c r="D50" s="24">
        <v>45755</v>
      </c>
      <c r="E50" s="60">
        <v>0.77500000000000002</v>
      </c>
      <c r="F50" s="60">
        <v>0.81666666666666665</v>
      </c>
      <c r="G50" s="47" t="s">
        <v>88</v>
      </c>
      <c r="H50" s="48" t="s">
        <v>19</v>
      </c>
      <c r="I50" s="61" t="s">
        <v>138</v>
      </c>
      <c r="J50" s="58"/>
    </row>
    <row r="51" spans="1:10" ht="15.75" customHeight="1" x14ac:dyDescent="0.25">
      <c r="A51" s="56" t="s">
        <v>140</v>
      </c>
      <c r="B51" s="24">
        <v>45755</v>
      </c>
      <c r="C51" s="20">
        <v>0.48541666666666666</v>
      </c>
      <c r="D51" s="24">
        <v>45755</v>
      </c>
      <c r="E51" s="60">
        <v>0.77569444444444446</v>
      </c>
      <c r="F51" s="60">
        <v>0.81736111111111109</v>
      </c>
      <c r="G51" s="47" t="s">
        <v>88</v>
      </c>
      <c r="H51" s="48" t="s">
        <v>19</v>
      </c>
      <c r="I51" s="61" t="s">
        <v>138</v>
      </c>
      <c r="J51" s="58"/>
    </row>
    <row r="52" spans="1:10" ht="15.75" customHeight="1" x14ac:dyDescent="0.25">
      <c r="A52" s="56" t="s">
        <v>141</v>
      </c>
      <c r="B52" s="24">
        <v>45755</v>
      </c>
      <c r="C52" s="20">
        <v>0.51249999999999996</v>
      </c>
      <c r="D52" s="24">
        <v>45755</v>
      </c>
      <c r="E52" s="60">
        <v>0.77569444444444446</v>
      </c>
      <c r="F52" s="60">
        <v>0.81736111111111109</v>
      </c>
      <c r="G52" s="47" t="s">
        <v>88</v>
      </c>
      <c r="H52" s="48" t="s">
        <v>19</v>
      </c>
      <c r="I52" s="61" t="s">
        <v>138</v>
      </c>
      <c r="J52" s="58"/>
    </row>
    <row r="53" spans="1:10" ht="15.75" customHeight="1" x14ac:dyDescent="0.25">
      <c r="B53" s="62"/>
      <c r="C53" s="63"/>
      <c r="D53" s="64"/>
      <c r="E53" s="63"/>
      <c r="F53" s="63"/>
      <c r="G53" s="65"/>
      <c r="H53" s="65"/>
      <c r="I53" s="65"/>
      <c r="J53" s="50"/>
    </row>
    <row r="54" spans="1:10" ht="15.75" customHeight="1" x14ac:dyDescent="0.25">
      <c r="B54" s="62"/>
      <c r="C54" s="63"/>
      <c r="D54" s="64"/>
      <c r="E54" s="63"/>
      <c r="F54" s="63"/>
      <c r="G54" s="65"/>
      <c r="H54" s="65"/>
      <c r="I54" s="65"/>
      <c r="J54" s="50"/>
    </row>
    <row r="55" spans="1:10" ht="15.75" customHeight="1" x14ac:dyDescent="0.25">
      <c r="B55" s="62"/>
      <c r="C55" s="63"/>
      <c r="D55" s="64"/>
      <c r="E55" s="63"/>
      <c r="F55" s="63"/>
      <c r="G55" s="65"/>
      <c r="H55" s="65"/>
      <c r="I55" s="65"/>
      <c r="J55" s="50"/>
    </row>
    <row r="56" spans="1:10" ht="15.75" customHeight="1" x14ac:dyDescent="0.25">
      <c r="B56" s="62"/>
      <c r="C56" s="63"/>
      <c r="D56" s="64"/>
      <c r="E56" s="63"/>
      <c r="F56" s="63"/>
      <c r="G56" s="65"/>
      <c r="H56" s="65"/>
      <c r="I56" s="65"/>
      <c r="J56" s="50"/>
    </row>
    <row r="57" spans="1:10" ht="15.75" customHeight="1" x14ac:dyDescent="0.25">
      <c r="B57" s="62"/>
      <c r="C57" s="63"/>
      <c r="D57" s="64"/>
      <c r="E57" s="63"/>
      <c r="F57" s="63"/>
      <c r="G57" s="65"/>
      <c r="H57" s="65"/>
      <c r="I57" s="65"/>
      <c r="J57" s="50"/>
    </row>
    <row r="58" spans="1:10" ht="15.75" customHeight="1" x14ac:dyDescent="0.25">
      <c r="B58" s="62"/>
      <c r="C58" s="63"/>
      <c r="D58" s="64"/>
      <c r="E58" s="63"/>
      <c r="F58" s="63"/>
      <c r="G58" s="65"/>
      <c r="H58" s="65"/>
      <c r="I58" s="65"/>
      <c r="J58" s="50"/>
    </row>
    <row r="59" spans="1:10" ht="15.75" customHeight="1" x14ac:dyDescent="0.25">
      <c r="B59" s="62"/>
      <c r="C59" s="63"/>
      <c r="D59" s="64"/>
      <c r="E59" s="63"/>
      <c r="F59" s="63"/>
      <c r="G59" s="65"/>
      <c r="H59" s="65"/>
      <c r="I59" s="65"/>
      <c r="J59" s="50"/>
    </row>
    <row r="60" spans="1:10" ht="15.75" customHeight="1" x14ac:dyDescent="0.25">
      <c r="B60" s="62"/>
      <c r="C60" s="63"/>
      <c r="D60" s="64"/>
      <c r="E60" s="63"/>
      <c r="F60" s="63"/>
      <c r="G60" s="65"/>
      <c r="H60" s="65"/>
      <c r="I60" s="65"/>
      <c r="J60" s="50"/>
    </row>
    <row r="61" spans="1:10" ht="15.75" customHeight="1" x14ac:dyDescent="0.25">
      <c r="B61" s="62"/>
      <c r="C61" s="63"/>
      <c r="D61" s="64"/>
      <c r="E61" s="63"/>
      <c r="F61" s="63"/>
      <c r="G61" s="65"/>
      <c r="H61" s="65"/>
      <c r="I61" s="65"/>
      <c r="J61" s="50"/>
    </row>
    <row r="62" spans="1:10" ht="15.75" customHeight="1" x14ac:dyDescent="0.25">
      <c r="B62" s="62"/>
      <c r="C62" s="63"/>
      <c r="D62" s="64"/>
      <c r="E62" s="63"/>
      <c r="F62" s="63"/>
      <c r="G62" s="65"/>
      <c r="H62" s="65"/>
      <c r="I62" s="65"/>
      <c r="J62" s="50"/>
    </row>
    <row r="63" spans="1:10" ht="15.75" customHeight="1" x14ac:dyDescent="0.25">
      <c r="B63" s="62"/>
      <c r="C63" s="63"/>
      <c r="D63" s="64"/>
      <c r="E63" s="63"/>
      <c r="F63" s="63"/>
      <c r="G63" s="65"/>
      <c r="H63" s="65"/>
      <c r="I63" s="65"/>
      <c r="J63" s="50"/>
    </row>
    <row r="64" spans="1:10" ht="15.75" customHeight="1" x14ac:dyDescent="0.25">
      <c r="B64" s="62"/>
      <c r="C64" s="63"/>
      <c r="D64" s="64"/>
      <c r="E64" s="63"/>
      <c r="F64" s="63"/>
      <c r="G64" s="65"/>
      <c r="H64" s="65"/>
      <c r="I64" s="65"/>
      <c r="J64" s="50"/>
    </row>
    <row r="65" spans="2:10" ht="15.75" customHeight="1" x14ac:dyDescent="0.25">
      <c r="B65" s="62"/>
      <c r="C65" s="63"/>
      <c r="D65" s="64"/>
      <c r="E65" s="63"/>
      <c r="F65" s="63"/>
      <c r="G65" s="65"/>
      <c r="H65" s="65"/>
      <c r="I65" s="65"/>
      <c r="J65" s="50"/>
    </row>
    <row r="66" spans="2:10" ht="15.75" customHeight="1" x14ac:dyDescent="0.25">
      <c r="B66" s="62"/>
      <c r="C66" s="63"/>
      <c r="D66" s="64"/>
      <c r="E66" s="63"/>
      <c r="F66" s="63"/>
      <c r="G66" s="65"/>
      <c r="H66" s="65"/>
      <c r="I66" s="65"/>
      <c r="J66" s="50"/>
    </row>
    <row r="67" spans="2:10" ht="15.75" customHeight="1" x14ac:dyDescent="0.25">
      <c r="B67" s="62"/>
      <c r="C67" s="63"/>
      <c r="D67" s="64"/>
      <c r="E67" s="63"/>
      <c r="F67" s="63"/>
      <c r="G67" s="65"/>
      <c r="H67" s="65"/>
      <c r="I67" s="65"/>
      <c r="J67" s="50"/>
    </row>
    <row r="68" spans="2:10" ht="15.75" customHeight="1" x14ac:dyDescent="0.25">
      <c r="B68" s="62"/>
      <c r="C68" s="63"/>
      <c r="D68" s="64"/>
      <c r="E68" s="63"/>
      <c r="F68" s="63"/>
      <c r="G68" s="65"/>
      <c r="H68" s="65"/>
      <c r="I68" s="65"/>
      <c r="J68" s="50"/>
    </row>
    <row r="69" spans="2:10" ht="15.75" customHeight="1" x14ac:dyDescent="0.25">
      <c r="B69" s="62"/>
      <c r="C69" s="63"/>
      <c r="D69" s="64"/>
      <c r="E69" s="63"/>
      <c r="F69" s="63"/>
      <c r="G69" s="65"/>
      <c r="H69" s="65"/>
      <c r="I69" s="65"/>
      <c r="J69" s="50"/>
    </row>
    <row r="70" spans="2:10" ht="15.75" customHeight="1" x14ac:dyDescent="0.25">
      <c r="B70" s="62"/>
      <c r="C70" s="63"/>
      <c r="D70" s="64"/>
      <c r="E70" s="63"/>
      <c r="F70" s="63"/>
      <c r="G70" s="65"/>
      <c r="H70" s="65"/>
      <c r="I70" s="65"/>
      <c r="J70" s="50"/>
    </row>
    <row r="71" spans="2:10" ht="15.75" customHeight="1" x14ac:dyDescent="0.25">
      <c r="B71" s="62"/>
      <c r="C71" s="63"/>
      <c r="D71" s="64"/>
      <c r="E71" s="63"/>
      <c r="F71" s="63"/>
      <c r="G71" s="65"/>
      <c r="H71" s="65"/>
      <c r="I71" s="65"/>
      <c r="J71" s="50"/>
    </row>
    <row r="72" spans="2:10" ht="15.75" customHeight="1" x14ac:dyDescent="0.25">
      <c r="B72" s="62"/>
      <c r="C72" s="63"/>
      <c r="D72" s="64"/>
      <c r="E72" s="63"/>
      <c r="F72" s="63"/>
      <c r="G72" s="65"/>
      <c r="H72" s="65"/>
      <c r="I72" s="65"/>
      <c r="J72" s="50"/>
    </row>
    <row r="73" spans="2:10" ht="15.75" customHeight="1" x14ac:dyDescent="0.25">
      <c r="B73" s="62"/>
      <c r="C73" s="63"/>
      <c r="D73" s="64"/>
      <c r="E73" s="63"/>
      <c r="F73" s="63"/>
      <c r="G73" s="65"/>
      <c r="H73" s="65"/>
      <c r="I73" s="65"/>
      <c r="J73" s="50"/>
    </row>
    <row r="74" spans="2:10" ht="15.75" customHeight="1" x14ac:dyDescent="0.25">
      <c r="B74" s="62"/>
      <c r="C74" s="63"/>
      <c r="D74" s="64"/>
      <c r="E74" s="63"/>
      <c r="F74" s="63"/>
      <c r="G74" s="65"/>
      <c r="H74" s="65"/>
      <c r="I74" s="65"/>
      <c r="J74" s="50"/>
    </row>
    <row r="75" spans="2:10" ht="15.75" customHeight="1" x14ac:dyDescent="0.25">
      <c r="B75" s="62"/>
      <c r="C75" s="63"/>
      <c r="D75" s="64"/>
      <c r="E75" s="63"/>
      <c r="F75" s="63"/>
      <c r="G75" s="65"/>
      <c r="H75" s="65"/>
      <c r="I75" s="65"/>
      <c r="J75" s="50"/>
    </row>
    <row r="76" spans="2:10" ht="15.75" customHeight="1" x14ac:dyDescent="0.25">
      <c r="B76" s="62"/>
      <c r="C76" s="63"/>
      <c r="D76" s="64"/>
      <c r="E76" s="63"/>
      <c r="F76" s="63"/>
      <c r="G76" s="65"/>
      <c r="H76" s="65"/>
      <c r="I76" s="65"/>
      <c r="J76" s="50"/>
    </row>
    <row r="77" spans="2:10" ht="15.75" customHeight="1" x14ac:dyDescent="0.25">
      <c r="B77" s="62"/>
      <c r="C77" s="63"/>
      <c r="D77" s="64"/>
      <c r="E77" s="63"/>
      <c r="F77" s="63"/>
      <c r="G77" s="65"/>
      <c r="H77" s="65"/>
      <c r="I77" s="65"/>
      <c r="J77" s="50"/>
    </row>
    <row r="78" spans="2:10" ht="15.75" customHeight="1" x14ac:dyDescent="0.25">
      <c r="B78" s="62"/>
      <c r="C78" s="63"/>
      <c r="D78" s="64"/>
      <c r="E78" s="63"/>
      <c r="F78" s="63"/>
      <c r="G78" s="65"/>
      <c r="H78" s="65"/>
      <c r="I78" s="65"/>
      <c r="J78" s="50"/>
    </row>
    <row r="79" spans="2:10" ht="15.75" customHeight="1" x14ac:dyDescent="0.25">
      <c r="B79" s="62"/>
      <c r="C79" s="63"/>
      <c r="D79" s="64"/>
      <c r="E79" s="63"/>
      <c r="F79" s="63"/>
      <c r="G79" s="65"/>
      <c r="H79" s="65"/>
      <c r="I79" s="65"/>
      <c r="J79" s="50"/>
    </row>
    <row r="80" spans="2:10" ht="15.75" customHeight="1" x14ac:dyDescent="0.25">
      <c r="B80" s="62"/>
      <c r="C80" s="63"/>
      <c r="D80" s="64"/>
      <c r="E80" s="63"/>
      <c r="F80" s="63"/>
      <c r="G80" s="65"/>
      <c r="H80" s="65"/>
      <c r="I80" s="65"/>
      <c r="J80" s="50"/>
    </row>
    <row r="81" spans="2:10" ht="15.75" customHeight="1" x14ac:dyDescent="0.25">
      <c r="B81" s="62"/>
      <c r="C81" s="63"/>
      <c r="D81" s="64"/>
      <c r="E81" s="63"/>
      <c r="F81" s="63"/>
      <c r="G81" s="65"/>
      <c r="H81" s="65"/>
      <c r="I81" s="65"/>
      <c r="J81" s="50"/>
    </row>
    <row r="82" spans="2:10" ht="15.75" customHeight="1" x14ac:dyDescent="0.25">
      <c r="B82" s="62"/>
      <c r="C82" s="63"/>
      <c r="D82" s="64"/>
      <c r="E82" s="63"/>
      <c r="F82" s="63"/>
      <c r="G82" s="65"/>
      <c r="H82" s="65"/>
      <c r="I82" s="65"/>
      <c r="J82" s="50"/>
    </row>
    <row r="83" spans="2:10" ht="15.75" customHeight="1" x14ac:dyDescent="0.25">
      <c r="B83" s="62"/>
      <c r="C83" s="63"/>
      <c r="D83" s="64"/>
      <c r="E83" s="63"/>
      <c r="F83" s="63"/>
      <c r="G83" s="65"/>
      <c r="H83" s="65"/>
      <c r="I83" s="65"/>
      <c r="J83" s="50"/>
    </row>
    <row r="84" spans="2:10" ht="15.75" customHeight="1" x14ac:dyDescent="0.25">
      <c r="B84" s="62"/>
      <c r="C84" s="63"/>
      <c r="D84" s="64"/>
      <c r="E84" s="63"/>
      <c r="F84" s="63"/>
      <c r="G84" s="65"/>
      <c r="H84" s="65"/>
      <c r="I84" s="65"/>
      <c r="J84" s="50"/>
    </row>
    <row r="85" spans="2:10" ht="15.75" customHeight="1" x14ac:dyDescent="0.25">
      <c r="B85" s="62"/>
      <c r="C85" s="63"/>
      <c r="D85" s="64"/>
      <c r="E85" s="63"/>
      <c r="F85" s="63"/>
      <c r="G85" s="65"/>
      <c r="H85" s="65"/>
      <c r="I85" s="65"/>
      <c r="J85" s="50"/>
    </row>
    <row r="86" spans="2:10" ht="15.75" customHeight="1" x14ac:dyDescent="0.25">
      <c r="B86" s="62"/>
      <c r="C86" s="63"/>
      <c r="D86" s="64"/>
      <c r="E86" s="63"/>
      <c r="F86" s="63"/>
      <c r="G86" s="65"/>
      <c r="H86" s="65"/>
      <c r="I86" s="65"/>
      <c r="J86" s="50"/>
    </row>
    <row r="87" spans="2:10" ht="15.75" customHeight="1" x14ac:dyDescent="0.25">
      <c r="B87" s="62"/>
      <c r="C87" s="63"/>
      <c r="D87" s="64"/>
      <c r="E87" s="63"/>
      <c r="F87" s="63"/>
      <c r="G87" s="65"/>
      <c r="H87" s="65"/>
      <c r="I87" s="65"/>
      <c r="J87" s="50"/>
    </row>
    <row r="88" spans="2:10" ht="15.75" customHeight="1" x14ac:dyDescent="0.25">
      <c r="B88" s="62"/>
      <c r="C88" s="63"/>
      <c r="D88" s="64"/>
      <c r="E88" s="63"/>
      <c r="F88" s="63"/>
      <c r="G88" s="65"/>
      <c r="H88" s="65"/>
      <c r="I88" s="65"/>
      <c r="J88" s="50"/>
    </row>
    <row r="89" spans="2:10" ht="15.75" customHeight="1" x14ac:dyDescent="0.25">
      <c r="B89" s="62"/>
      <c r="C89" s="63"/>
      <c r="D89" s="64"/>
      <c r="E89" s="63"/>
      <c r="F89" s="63"/>
      <c r="G89" s="65"/>
      <c r="H89" s="65"/>
      <c r="I89" s="65"/>
      <c r="J89" s="50"/>
    </row>
    <row r="90" spans="2:10" ht="15.75" customHeight="1" x14ac:dyDescent="0.25">
      <c r="B90" s="62"/>
      <c r="C90" s="63"/>
      <c r="D90" s="64"/>
      <c r="E90" s="63"/>
      <c r="F90" s="63"/>
      <c r="G90" s="65"/>
      <c r="H90" s="65"/>
      <c r="I90" s="65"/>
      <c r="J90" s="50"/>
    </row>
    <row r="91" spans="2:10" ht="15.75" customHeight="1" x14ac:dyDescent="0.25">
      <c r="B91" s="62"/>
      <c r="C91" s="63"/>
      <c r="D91" s="64"/>
      <c r="E91" s="63"/>
      <c r="F91" s="63"/>
      <c r="G91" s="65"/>
      <c r="H91" s="65"/>
      <c r="I91" s="65"/>
      <c r="J91" s="50"/>
    </row>
    <row r="92" spans="2:10" ht="15.75" customHeight="1" x14ac:dyDescent="0.25">
      <c r="B92" s="62"/>
      <c r="C92" s="63"/>
      <c r="D92" s="64"/>
      <c r="E92" s="63"/>
      <c r="F92" s="63"/>
      <c r="G92" s="65"/>
      <c r="H92" s="65"/>
      <c r="I92" s="65"/>
      <c r="J92" s="50"/>
    </row>
    <row r="93" spans="2:10" ht="15.75" customHeight="1" x14ac:dyDescent="0.25">
      <c r="B93" s="62"/>
      <c r="C93" s="63"/>
      <c r="D93" s="64"/>
      <c r="E93" s="63"/>
      <c r="F93" s="63"/>
      <c r="G93" s="65"/>
      <c r="H93" s="65"/>
      <c r="I93" s="65"/>
      <c r="J93" s="50"/>
    </row>
    <row r="94" spans="2:10" ht="15.75" customHeight="1" x14ac:dyDescent="0.25">
      <c r="B94" s="62"/>
      <c r="C94" s="63"/>
      <c r="D94" s="64"/>
      <c r="E94" s="63"/>
      <c r="F94" s="63"/>
      <c r="G94" s="65"/>
      <c r="H94" s="65"/>
      <c r="I94" s="65"/>
      <c r="J94" s="50"/>
    </row>
    <row r="95" spans="2:10" ht="15.75" customHeight="1" x14ac:dyDescent="0.25">
      <c r="B95" s="62"/>
      <c r="C95" s="63"/>
      <c r="D95" s="64"/>
      <c r="E95" s="63"/>
      <c r="F95" s="63"/>
      <c r="G95" s="65"/>
      <c r="H95" s="65"/>
      <c r="I95" s="65"/>
      <c r="J95" s="50"/>
    </row>
    <row r="96" spans="2:10" ht="15.75" customHeight="1" x14ac:dyDescent="0.25">
      <c r="B96" s="62"/>
      <c r="C96" s="63"/>
      <c r="D96" s="64"/>
      <c r="E96" s="63"/>
      <c r="F96" s="63"/>
      <c r="G96" s="65"/>
      <c r="H96" s="65"/>
      <c r="I96" s="65"/>
      <c r="J96" s="50"/>
    </row>
    <row r="97" spans="2:10" ht="15.75" customHeight="1" x14ac:dyDescent="0.25">
      <c r="B97" s="62"/>
      <c r="C97" s="63"/>
      <c r="D97" s="64"/>
      <c r="E97" s="63"/>
      <c r="F97" s="63"/>
      <c r="G97" s="65"/>
      <c r="H97" s="65"/>
      <c r="I97" s="65"/>
      <c r="J97" s="50"/>
    </row>
    <row r="98" spans="2:10" ht="15.75" customHeight="1" x14ac:dyDescent="0.25">
      <c r="B98" s="62"/>
      <c r="C98" s="63"/>
      <c r="D98" s="64"/>
      <c r="E98" s="63"/>
      <c r="F98" s="63"/>
      <c r="G98" s="65"/>
      <c r="H98" s="65"/>
      <c r="I98" s="65"/>
      <c r="J98" s="50"/>
    </row>
    <row r="99" spans="2:10" ht="15.75" customHeight="1" x14ac:dyDescent="0.25">
      <c r="B99" s="62"/>
      <c r="C99" s="63"/>
      <c r="D99" s="64"/>
      <c r="E99" s="63"/>
      <c r="F99" s="63"/>
      <c r="G99" s="65"/>
      <c r="H99" s="65"/>
      <c r="I99" s="65"/>
      <c r="J99" s="50"/>
    </row>
    <row r="100" spans="2:10" ht="15.75" customHeight="1" x14ac:dyDescent="0.25">
      <c r="B100" s="62"/>
      <c r="C100" s="63"/>
      <c r="D100" s="64"/>
      <c r="E100" s="63"/>
      <c r="F100" s="63"/>
      <c r="G100" s="65"/>
      <c r="H100" s="65"/>
      <c r="I100" s="65"/>
      <c r="J100" s="50"/>
    </row>
    <row r="101" spans="2:10" ht="15.75" customHeight="1" x14ac:dyDescent="0.25">
      <c r="B101" s="62"/>
      <c r="C101" s="63"/>
      <c r="D101" s="64"/>
      <c r="E101" s="63"/>
      <c r="F101" s="63"/>
      <c r="G101" s="65"/>
      <c r="H101" s="65"/>
      <c r="I101" s="65"/>
      <c r="J101" s="50"/>
    </row>
    <row r="102" spans="2:10" ht="15.75" customHeight="1" x14ac:dyDescent="0.25">
      <c r="B102" s="62"/>
      <c r="C102" s="63"/>
      <c r="D102" s="64"/>
      <c r="E102" s="63"/>
      <c r="F102" s="63"/>
      <c r="G102" s="65"/>
      <c r="H102" s="65"/>
      <c r="I102" s="65"/>
      <c r="J102" s="50"/>
    </row>
    <row r="103" spans="2:10" ht="15.75" customHeight="1" x14ac:dyDescent="0.25">
      <c r="B103" s="62"/>
      <c r="C103" s="63"/>
      <c r="D103" s="64"/>
      <c r="E103" s="63"/>
      <c r="F103" s="63"/>
      <c r="G103" s="65"/>
      <c r="H103" s="65"/>
      <c r="I103" s="65"/>
      <c r="J103" s="50"/>
    </row>
    <row r="104" spans="2:10" ht="15.75" customHeight="1" x14ac:dyDescent="0.25">
      <c r="B104" s="62"/>
      <c r="C104" s="63"/>
      <c r="D104" s="64"/>
      <c r="E104" s="63"/>
      <c r="F104" s="63"/>
      <c r="G104" s="65"/>
      <c r="H104" s="65"/>
      <c r="I104" s="65"/>
      <c r="J104" s="50"/>
    </row>
    <row r="105" spans="2:10" ht="15.75" customHeight="1" x14ac:dyDescent="0.25">
      <c r="B105" s="62"/>
      <c r="C105" s="63"/>
      <c r="D105" s="64"/>
      <c r="E105" s="63"/>
      <c r="F105" s="63"/>
      <c r="G105" s="65"/>
      <c r="H105" s="65"/>
      <c r="I105" s="65"/>
      <c r="J105" s="50"/>
    </row>
    <row r="106" spans="2:10" ht="15.75" customHeight="1" x14ac:dyDescent="0.25">
      <c r="B106" s="62"/>
      <c r="C106" s="63"/>
      <c r="D106" s="64"/>
      <c r="E106" s="63"/>
      <c r="F106" s="63"/>
      <c r="G106" s="65"/>
      <c r="H106" s="65"/>
      <c r="I106" s="65"/>
      <c r="J106" s="50"/>
    </row>
    <row r="107" spans="2:10" ht="15.75" customHeight="1" x14ac:dyDescent="0.25">
      <c r="B107" s="62"/>
      <c r="C107" s="63"/>
      <c r="D107" s="64"/>
      <c r="E107" s="63"/>
      <c r="F107" s="63"/>
      <c r="G107" s="65"/>
      <c r="H107" s="65"/>
      <c r="I107" s="65"/>
      <c r="J107" s="50"/>
    </row>
    <row r="108" spans="2:10" ht="15.75" customHeight="1" x14ac:dyDescent="0.25">
      <c r="B108" s="62"/>
      <c r="C108" s="63"/>
      <c r="D108" s="64"/>
      <c r="E108" s="63"/>
      <c r="F108" s="63"/>
      <c r="G108" s="65"/>
      <c r="H108" s="65"/>
      <c r="I108" s="65"/>
      <c r="J108" s="50"/>
    </row>
    <row r="109" spans="2:10" ht="15.75" customHeight="1" x14ac:dyDescent="0.25">
      <c r="B109" s="62"/>
      <c r="C109" s="63"/>
      <c r="D109" s="64"/>
      <c r="E109" s="63"/>
      <c r="F109" s="63"/>
      <c r="G109" s="65"/>
      <c r="H109" s="65"/>
      <c r="I109" s="65"/>
      <c r="J109" s="50"/>
    </row>
    <row r="110" spans="2:10" ht="15.75" customHeight="1" x14ac:dyDescent="0.25">
      <c r="B110" s="62"/>
      <c r="C110" s="63"/>
      <c r="D110" s="64"/>
      <c r="E110" s="63"/>
      <c r="F110" s="63"/>
      <c r="G110" s="65"/>
      <c r="H110" s="65"/>
      <c r="I110" s="65"/>
      <c r="J110" s="50"/>
    </row>
    <row r="111" spans="2:10" ht="15.75" customHeight="1" x14ac:dyDescent="0.25">
      <c r="B111" s="62"/>
      <c r="C111" s="63"/>
      <c r="D111" s="64"/>
      <c r="E111" s="63"/>
      <c r="F111" s="63"/>
      <c r="G111" s="65"/>
      <c r="H111" s="65"/>
      <c r="I111" s="65"/>
      <c r="J111" s="50"/>
    </row>
    <row r="112" spans="2:10" ht="15.75" customHeight="1" x14ac:dyDescent="0.25">
      <c r="B112" s="62"/>
      <c r="C112" s="63"/>
      <c r="D112" s="64"/>
      <c r="E112" s="63"/>
      <c r="F112" s="63"/>
      <c r="G112" s="65"/>
      <c r="H112" s="65"/>
      <c r="I112" s="65"/>
      <c r="J112" s="50"/>
    </row>
    <row r="113" spans="2:10" ht="15.75" customHeight="1" x14ac:dyDescent="0.25">
      <c r="B113" s="62"/>
      <c r="C113" s="63"/>
      <c r="D113" s="64"/>
      <c r="E113" s="63"/>
      <c r="F113" s="63"/>
      <c r="G113" s="65"/>
      <c r="H113" s="65"/>
      <c r="I113" s="65"/>
      <c r="J113" s="50"/>
    </row>
    <row r="114" spans="2:10" ht="15.75" customHeight="1" x14ac:dyDescent="0.25">
      <c r="B114" s="62"/>
      <c r="C114" s="63"/>
      <c r="D114" s="64"/>
      <c r="E114" s="63"/>
      <c r="F114" s="63"/>
      <c r="G114" s="65"/>
      <c r="H114" s="65"/>
      <c r="I114" s="65"/>
      <c r="J114" s="50"/>
    </row>
    <row r="115" spans="2:10" ht="15.75" customHeight="1" x14ac:dyDescent="0.25">
      <c r="B115" s="62"/>
      <c r="C115" s="63"/>
      <c r="D115" s="64"/>
      <c r="E115" s="63"/>
      <c r="F115" s="63"/>
      <c r="G115" s="65"/>
      <c r="H115" s="65"/>
      <c r="I115" s="65"/>
      <c r="J115" s="50"/>
    </row>
    <row r="116" spans="2:10" ht="15.75" customHeight="1" x14ac:dyDescent="0.25">
      <c r="B116" s="62"/>
      <c r="C116" s="63"/>
      <c r="D116" s="64"/>
      <c r="E116" s="63"/>
      <c r="F116" s="63"/>
      <c r="G116" s="65"/>
      <c r="H116" s="65"/>
      <c r="I116" s="65"/>
      <c r="J116" s="50"/>
    </row>
    <row r="117" spans="2:10" ht="15.75" customHeight="1" x14ac:dyDescent="0.25">
      <c r="B117" s="62"/>
      <c r="C117" s="63"/>
      <c r="D117" s="64"/>
      <c r="E117" s="63"/>
      <c r="F117" s="63"/>
      <c r="G117" s="65"/>
      <c r="H117" s="65"/>
      <c r="I117" s="65"/>
      <c r="J117" s="50"/>
    </row>
    <row r="118" spans="2:10" ht="15.75" customHeight="1" x14ac:dyDescent="0.25">
      <c r="B118" s="62"/>
      <c r="C118" s="63"/>
      <c r="D118" s="64"/>
      <c r="E118" s="63"/>
      <c r="F118" s="63"/>
      <c r="G118" s="65"/>
      <c r="H118" s="65"/>
      <c r="I118" s="65"/>
      <c r="J118" s="50"/>
    </row>
    <row r="119" spans="2:10" ht="15.75" customHeight="1" x14ac:dyDescent="0.25">
      <c r="B119" s="62"/>
      <c r="C119" s="63"/>
      <c r="D119" s="64"/>
      <c r="E119" s="63"/>
      <c r="F119" s="63"/>
      <c r="G119" s="65"/>
      <c r="H119" s="65"/>
      <c r="I119" s="65"/>
      <c r="J119" s="50"/>
    </row>
    <row r="120" spans="2:10" ht="15.75" customHeight="1" x14ac:dyDescent="0.25">
      <c r="B120" s="62"/>
      <c r="C120" s="63"/>
      <c r="D120" s="64"/>
      <c r="E120" s="63"/>
      <c r="F120" s="63"/>
      <c r="G120" s="65"/>
      <c r="H120" s="65"/>
      <c r="I120" s="65"/>
      <c r="J120" s="50"/>
    </row>
    <row r="121" spans="2:10" ht="15.75" customHeight="1" x14ac:dyDescent="0.25">
      <c r="B121" s="62"/>
      <c r="C121" s="63"/>
      <c r="D121" s="64"/>
      <c r="E121" s="63"/>
      <c r="F121" s="63"/>
      <c r="G121" s="65"/>
      <c r="H121" s="65"/>
      <c r="I121" s="65"/>
      <c r="J121" s="50"/>
    </row>
    <row r="122" spans="2:10" ht="15.75" customHeight="1" x14ac:dyDescent="0.25">
      <c r="B122" s="62"/>
      <c r="C122" s="63"/>
      <c r="D122" s="64"/>
      <c r="E122" s="63"/>
      <c r="F122" s="63"/>
      <c r="G122" s="65"/>
      <c r="H122" s="65"/>
      <c r="I122" s="65"/>
      <c r="J122" s="50"/>
    </row>
    <row r="123" spans="2:10" ht="15.75" customHeight="1" x14ac:dyDescent="0.25">
      <c r="B123" s="62"/>
      <c r="C123" s="63"/>
      <c r="D123" s="64"/>
      <c r="E123" s="63"/>
      <c r="F123" s="63"/>
      <c r="G123" s="65"/>
      <c r="H123" s="65"/>
      <c r="I123" s="65"/>
      <c r="J123" s="50"/>
    </row>
    <row r="124" spans="2:10" ht="15.75" customHeight="1" x14ac:dyDescent="0.25">
      <c r="B124" s="62"/>
      <c r="C124" s="63"/>
      <c r="D124" s="64"/>
      <c r="E124" s="63"/>
      <c r="F124" s="63"/>
      <c r="G124" s="65"/>
      <c r="H124" s="65"/>
      <c r="I124" s="65"/>
      <c r="J124" s="50"/>
    </row>
    <row r="125" spans="2:10" ht="15.75" customHeight="1" x14ac:dyDescent="0.25">
      <c r="B125" s="62"/>
      <c r="C125" s="63"/>
      <c r="D125" s="64"/>
      <c r="E125" s="63"/>
      <c r="F125" s="63"/>
      <c r="G125" s="65"/>
      <c r="H125" s="65"/>
      <c r="I125" s="65"/>
      <c r="J125" s="50"/>
    </row>
    <row r="126" spans="2:10" ht="15.75" customHeight="1" x14ac:dyDescent="0.25">
      <c r="B126" s="62"/>
      <c r="C126" s="63"/>
      <c r="D126" s="64"/>
      <c r="E126" s="63"/>
      <c r="F126" s="63"/>
      <c r="G126" s="65"/>
      <c r="H126" s="65"/>
      <c r="I126" s="65"/>
      <c r="J126" s="50"/>
    </row>
    <row r="127" spans="2:10" ht="15.75" customHeight="1" x14ac:dyDescent="0.25">
      <c r="B127" s="62"/>
      <c r="C127" s="63"/>
      <c r="D127" s="64"/>
      <c r="E127" s="63"/>
      <c r="F127" s="63"/>
      <c r="G127" s="65"/>
      <c r="H127" s="65"/>
      <c r="I127" s="65"/>
      <c r="J127" s="50"/>
    </row>
    <row r="128" spans="2:10" ht="15.75" customHeight="1" x14ac:dyDescent="0.25">
      <c r="B128" s="62"/>
      <c r="C128" s="63"/>
      <c r="D128" s="64"/>
      <c r="E128" s="63"/>
      <c r="F128" s="63"/>
      <c r="G128" s="65"/>
      <c r="H128" s="65"/>
      <c r="I128" s="65"/>
      <c r="J128" s="50"/>
    </row>
    <row r="129" spans="2:10" ht="15.75" customHeight="1" x14ac:dyDescent="0.25">
      <c r="B129" s="62"/>
      <c r="C129" s="63"/>
      <c r="D129" s="64"/>
      <c r="E129" s="63"/>
      <c r="F129" s="63"/>
      <c r="G129" s="65"/>
      <c r="H129" s="65"/>
      <c r="I129" s="65"/>
      <c r="J129" s="50"/>
    </row>
    <row r="130" spans="2:10" ht="15.75" customHeight="1" x14ac:dyDescent="0.25">
      <c r="B130" s="62"/>
      <c r="C130" s="63"/>
      <c r="D130" s="64"/>
      <c r="E130" s="63"/>
      <c r="F130" s="63"/>
      <c r="G130" s="65"/>
      <c r="H130" s="65"/>
      <c r="I130" s="65"/>
      <c r="J130" s="50"/>
    </row>
    <row r="131" spans="2:10" ht="15.75" customHeight="1" x14ac:dyDescent="0.25">
      <c r="B131" s="62"/>
      <c r="C131" s="63"/>
      <c r="D131" s="64"/>
      <c r="E131" s="63"/>
      <c r="F131" s="63"/>
      <c r="G131" s="65"/>
      <c r="H131" s="65"/>
      <c r="I131" s="65"/>
      <c r="J131" s="50"/>
    </row>
    <row r="132" spans="2:10" ht="15.75" customHeight="1" x14ac:dyDescent="0.25">
      <c r="B132" s="62"/>
      <c r="C132" s="63"/>
      <c r="D132" s="64"/>
      <c r="E132" s="63"/>
      <c r="F132" s="63"/>
      <c r="G132" s="65"/>
      <c r="H132" s="65"/>
      <c r="I132" s="65"/>
      <c r="J132" s="50"/>
    </row>
    <row r="133" spans="2:10" ht="15.75" customHeight="1" x14ac:dyDescent="0.25">
      <c r="B133" s="62"/>
      <c r="C133" s="63"/>
      <c r="D133" s="64"/>
      <c r="E133" s="63"/>
      <c r="F133" s="63"/>
      <c r="G133" s="65"/>
      <c r="H133" s="65"/>
      <c r="I133" s="65"/>
      <c r="J133" s="50"/>
    </row>
    <row r="134" spans="2:10" ht="15.75" customHeight="1" x14ac:dyDescent="0.25">
      <c r="B134" s="62"/>
      <c r="C134" s="63"/>
      <c r="D134" s="64"/>
      <c r="E134" s="63"/>
      <c r="F134" s="63"/>
      <c r="G134" s="65"/>
      <c r="H134" s="65"/>
      <c r="I134" s="65"/>
      <c r="J134" s="50"/>
    </row>
    <row r="135" spans="2:10" ht="15.75" customHeight="1" x14ac:dyDescent="0.25">
      <c r="B135" s="62"/>
      <c r="C135" s="63"/>
      <c r="D135" s="64"/>
      <c r="E135" s="63"/>
      <c r="F135" s="63"/>
      <c r="G135" s="65"/>
      <c r="H135" s="65"/>
      <c r="I135" s="65"/>
      <c r="J135" s="50"/>
    </row>
    <row r="136" spans="2:10" ht="15.75" customHeight="1" x14ac:dyDescent="0.25">
      <c r="B136" s="62"/>
      <c r="C136" s="63"/>
      <c r="D136" s="64"/>
      <c r="E136" s="63"/>
      <c r="F136" s="63"/>
      <c r="G136" s="65"/>
      <c r="H136" s="65"/>
      <c r="I136" s="65"/>
      <c r="J136" s="50"/>
    </row>
    <row r="137" spans="2:10" ht="15.75" customHeight="1" x14ac:dyDescent="0.25">
      <c r="B137" s="62"/>
      <c r="C137" s="63"/>
      <c r="D137" s="64"/>
      <c r="E137" s="63"/>
      <c r="F137" s="63"/>
      <c r="G137" s="65"/>
      <c r="H137" s="65"/>
      <c r="I137" s="65"/>
      <c r="J137" s="50"/>
    </row>
    <row r="138" spans="2:10" ht="15.75" customHeight="1" x14ac:dyDescent="0.25">
      <c r="B138" s="62"/>
      <c r="C138" s="63"/>
      <c r="D138" s="64"/>
      <c r="E138" s="63"/>
      <c r="F138" s="63"/>
      <c r="G138" s="65"/>
      <c r="H138" s="65"/>
      <c r="I138" s="65"/>
      <c r="J138" s="50"/>
    </row>
    <row r="139" spans="2:10" ht="15.75" customHeight="1" x14ac:dyDescent="0.25">
      <c r="B139" s="62"/>
      <c r="C139" s="63"/>
      <c r="D139" s="64"/>
      <c r="E139" s="63"/>
      <c r="F139" s="63"/>
      <c r="G139" s="65"/>
      <c r="H139" s="65"/>
      <c r="I139" s="65"/>
      <c r="J139" s="50"/>
    </row>
    <row r="140" spans="2:10" ht="15.75" customHeight="1" x14ac:dyDescent="0.25">
      <c r="B140" s="62"/>
      <c r="C140" s="63"/>
      <c r="D140" s="64"/>
      <c r="E140" s="63"/>
      <c r="F140" s="63"/>
      <c r="G140" s="65"/>
      <c r="H140" s="65"/>
      <c r="I140" s="65"/>
      <c r="J140" s="50"/>
    </row>
    <row r="141" spans="2:10" ht="15.75" customHeight="1" x14ac:dyDescent="0.25">
      <c r="B141" s="62"/>
      <c r="C141" s="63"/>
      <c r="D141" s="64"/>
      <c r="E141" s="63"/>
      <c r="F141" s="63"/>
      <c r="G141" s="65"/>
      <c r="H141" s="65"/>
      <c r="I141" s="65"/>
      <c r="J141" s="50"/>
    </row>
    <row r="142" spans="2:10" ht="15.75" customHeight="1" x14ac:dyDescent="0.25">
      <c r="B142" s="62"/>
      <c r="C142" s="63"/>
      <c r="D142" s="64"/>
      <c r="E142" s="63"/>
      <c r="F142" s="63"/>
      <c r="G142" s="65"/>
      <c r="H142" s="65"/>
      <c r="I142" s="65"/>
      <c r="J142" s="50"/>
    </row>
    <row r="143" spans="2:10" ht="15.75" customHeight="1" x14ac:dyDescent="0.25">
      <c r="B143" s="62"/>
      <c r="C143" s="63"/>
      <c r="D143" s="64"/>
      <c r="E143" s="63"/>
      <c r="F143" s="63"/>
      <c r="G143" s="65"/>
      <c r="H143" s="65"/>
      <c r="I143" s="65"/>
      <c r="J143" s="50"/>
    </row>
    <row r="144" spans="2:10" ht="15.75" customHeight="1" x14ac:dyDescent="0.25">
      <c r="B144" s="62"/>
      <c r="C144" s="63"/>
      <c r="D144" s="64"/>
      <c r="E144" s="63"/>
      <c r="F144" s="63"/>
      <c r="G144" s="65"/>
      <c r="H144" s="65"/>
      <c r="I144" s="65"/>
      <c r="J144" s="50"/>
    </row>
    <row r="145" spans="2:10" ht="15.75" customHeight="1" x14ac:dyDescent="0.25">
      <c r="B145" s="62"/>
      <c r="C145" s="63"/>
      <c r="D145" s="64"/>
      <c r="E145" s="63"/>
      <c r="F145" s="63"/>
      <c r="G145" s="65"/>
      <c r="H145" s="65"/>
      <c r="I145" s="65"/>
      <c r="J145" s="50"/>
    </row>
    <row r="146" spans="2:10" ht="15.75" customHeight="1" x14ac:dyDescent="0.25">
      <c r="B146" s="62"/>
      <c r="C146" s="63"/>
      <c r="D146" s="64"/>
      <c r="E146" s="63"/>
      <c r="F146" s="63"/>
      <c r="G146" s="65"/>
      <c r="H146" s="65"/>
      <c r="I146" s="65"/>
      <c r="J146" s="50"/>
    </row>
    <row r="147" spans="2:10" ht="15.75" customHeight="1" x14ac:dyDescent="0.25">
      <c r="B147" s="62"/>
      <c r="C147" s="63"/>
      <c r="D147" s="64"/>
      <c r="E147" s="63"/>
      <c r="F147" s="63"/>
      <c r="G147" s="65"/>
      <c r="H147" s="65"/>
      <c r="I147" s="65"/>
      <c r="J147" s="50"/>
    </row>
    <row r="148" spans="2:10" ht="15.75" customHeight="1" x14ac:dyDescent="0.25">
      <c r="B148" s="62"/>
      <c r="C148" s="63"/>
      <c r="D148" s="64"/>
      <c r="E148" s="63"/>
      <c r="F148" s="63"/>
      <c r="G148" s="65"/>
      <c r="H148" s="65"/>
      <c r="I148" s="65"/>
      <c r="J148" s="50"/>
    </row>
    <row r="149" spans="2:10" ht="15.75" customHeight="1" x14ac:dyDescent="0.25">
      <c r="B149" s="62"/>
      <c r="C149" s="63"/>
      <c r="D149" s="64"/>
      <c r="E149" s="63"/>
      <c r="F149" s="63"/>
      <c r="G149" s="65"/>
      <c r="H149" s="65"/>
      <c r="I149" s="65"/>
      <c r="J149" s="50"/>
    </row>
    <row r="150" spans="2:10" ht="15.75" customHeight="1" x14ac:dyDescent="0.25">
      <c r="B150" s="62"/>
      <c r="C150" s="63"/>
      <c r="D150" s="64"/>
      <c r="E150" s="63"/>
      <c r="F150" s="63"/>
      <c r="G150" s="65"/>
      <c r="H150" s="65"/>
      <c r="I150" s="65"/>
      <c r="J150" s="50"/>
    </row>
    <row r="151" spans="2:10" ht="15.75" customHeight="1" x14ac:dyDescent="0.25">
      <c r="B151" s="62"/>
      <c r="C151" s="63"/>
      <c r="D151" s="64"/>
      <c r="E151" s="63"/>
      <c r="F151" s="63"/>
      <c r="G151" s="65"/>
      <c r="H151" s="65"/>
      <c r="I151" s="65"/>
      <c r="J151" s="50"/>
    </row>
    <row r="152" spans="2:10" ht="15.75" customHeight="1" x14ac:dyDescent="0.25">
      <c r="B152" s="62"/>
      <c r="C152" s="63"/>
      <c r="D152" s="64"/>
      <c r="E152" s="63"/>
      <c r="F152" s="63"/>
      <c r="G152" s="65"/>
      <c r="H152" s="65"/>
      <c r="I152" s="65"/>
      <c r="J152" s="50"/>
    </row>
    <row r="153" spans="2:10" ht="15.75" customHeight="1" x14ac:dyDescent="0.25">
      <c r="B153" s="62"/>
      <c r="C153" s="63"/>
      <c r="D153" s="64"/>
      <c r="E153" s="63"/>
      <c r="F153" s="63"/>
      <c r="G153" s="65"/>
      <c r="H153" s="65"/>
      <c r="I153" s="65"/>
      <c r="J153" s="50"/>
    </row>
    <row r="154" spans="2:10" ht="15.75" customHeight="1" x14ac:dyDescent="0.25">
      <c r="B154" s="62"/>
      <c r="C154" s="63"/>
      <c r="D154" s="64"/>
      <c r="E154" s="63"/>
      <c r="F154" s="63"/>
      <c r="G154" s="65"/>
      <c r="H154" s="65"/>
      <c r="I154" s="65"/>
      <c r="J154" s="50"/>
    </row>
    <row r="155" spans="2:10" ht="15.75" customHeight="1" x14ac:dyDescent="0.25">
      <c r="B155" s="62"/>
      <c r="C155" s="63"/>
      <c r="D155" s="64"/>
      <c r="E155" s="63"/>
      <c r="F155" s="63"/>
      <c r="G155" s="65"/>
      <c r="H155" s="65"/>
      <c r="I155" s="65"/>
      <c r="J155" s="50"/>
    </row>
    <row r="156" spans="2:10" ht="15.75" customHeight="1" x14ac:dyDescent="0.25">
      <c r="B156" s="62"/>
      <c r="C156" s="63"/>
      <c r="D156" s="64"/>
      <c r="E156" s="63"/>
      <c r="F156" s="63"/>
      <c r="G156" s="65"/>
      <c r="H156" s="65"/>
      <c r="I156" s="65"/>
      <c r="J156" s="50"/>
    </row>
    <row r="157" spans="2:10" ht="15.75" customHeight="1" x14ac:dyDescent="0.25">
      <c r="B157" s="62"/>
      <c r="C157" s="63"/>
      <c r="D157" s="64"/>
      <c r="E157" s="63"/>
      <c r="F157" s="63"/>
      <c r="G157" s="65"/>
      <c r="H157" s="65"/>
      <c r="I157" s="65"/>
      <c r="J157" s="50"/>
    </row>
    <row r="158" spans="2:10" ht="15.75" customHeight="1" x14ac:dyDescent="0.25">
      <c r="B158" s="62"/>
      <c r="C158" s="63"/>
      <c r="D158" s="64"/>
      <c r="E158" s="63"/>
      <c r="F158" s="63"/>
      <c r="G158" s="65"/>
      <c r="H158" s="65"/>
      <c r="I158" s="65"/>
      <c r="J158" s="50"/>
    </row>
    <row r="159" spans="2:10" ht="15.75" customHeight="1" x14ac:dyDescent="0.25">
      <c r="B159" s="62"/>
      <c r="C159" s="63"/>
      <c r="D159" s="64"/>
      <c r="E159" s="63"/>
      <c r="F159" s="63"/>
      <c r="G159" s="65"/>
      <c r="H159" s="65"/>
      <c r="I159" s="65"/>
      <c r="J159" s="50"/>
    </row>
    <row r="160" spans="2:10" ht="15.75" customHeight="1" x14ac:dyDescent="0.25">
      <c r="B160" s="62"/>
      <c r="C160" s="63"/>
      <c r="D160" s="64"/>
      <c r="E160" s="63"/>
      <c r="F160" s="63"/>
      <c r="G160" s="65"/>
      <c r="H160" s="65"/>
      <c r="I160" s="65"/>
      <c r="J160" s="50"/>
    </row>
    <row r="161" spans="2:10" ht="15.75" customHeight="1" x14ac:dyDescent="0.25">
      <c r="B161" s="62"/>
      <c r="C161" s="63"/>
      <c r="D161" s="64"/>
      <c r="E161" s="63"/>
      <c r="F161" s="63"/>
      <c r="G161" s="65"/>
      <c r="H161" s="65"/>
      <c r="I161" s="65"/>
      <c r="J161" s="50"/>
    </row>
    <row r="162" spans="2:10" ht="15.75" customHeight="1" x14ac:dyDescent="0.25">
      <c r="B162" s="62"/>
      <c r="C162" s="63"/>
      <c r="D162" s="64"/>
      <c r="E162" s="63"/>
      <c r="F162" s="63"/>
      <c r="G162" s="65"/>
      <c r="H162" s="65"/>
      <c r="I162" s="65"/>
      <c r="J162" s="50"/>
    </row>
    <row r="163" spans="2:10" ht="15.75" customHeight="1" x14ac:dyDescent="0.25">
      <c r="B163" s="62"/>
      <c r="C163" s="63"/>
      <c r="D163" s="64"/>
      <c r="E163" s="63"/>
      <c r="F163" s="63"/>
      <c r="G163" s="65"/>
      <c r="H163" s="65"/>
      <c r="I163" s="65"/>
      <c r="J163" s="50"/>
    </row>
    <row r="164" spans="2:10" ht="15.75" customHeight="1" x14ac:dyDescent="0.25">
      <c r="B164" s="62"/>
      <c r="C164" s="63"/>
      <c r="D164" s="64"/>
      <c r="E164" s="63"/>
      <c r="F164" s="63"/>
      <c r="G164" s="65"/>
      <c r="H164" s="65"/>
      <c r="I164" s="65"/>
      <c r="J164" s="50"/>
    </row>
    <row r="165" spans="2:10" ht="15.75" customHeight="1" x14ac:dyDescent="0.25">
      <c r="B165" s="62"/>
      <c r="C165" s="63"/>
      <c r="D165" s="64"/>
      <c r="E165" s="63"/>
      <c r="F165" s="63"/>
      <c r="G165" s="65"/>
      <c r="H165" s="65"/>
      <c r="I165" s="65"/>
      <c r="J165" s="50"/>
    </row>
    <row r="166" spans="2:10" ht="15.75" customHeight="1" x14ac:dyDescent="0.25">
      <c r="B166" s="62"/>
      <c r="C166" s="63"/>
      <c r="D166" s="64"/>
      <c r="E166" s="63"/>
      <c r="F166" s="63"/>
      <c r="G166" s="65"/>
      <c r="H166" s="65"/>
      <c r="I166" s="65"/>
      <c r="J166" s="50"/>
    </row>
    <row r="167" spans="2:10" ht="15.75" customHeight="1" x14ac:dyDescent="0.25">
      <c r="B167" s="62"/>
      <c r="C167" s="63"/>
      <c r="D167" s="64"/>
      <c r="E167" s="63"/>
      <c r="F167" s="63"/>
      <c r="G167" s="65"/>
      <c r="H167" s="65"/>
      <c r="I167" s="65"/>
      <c r="J167" s="50"/>
    </row>
    <row r="168" spans="2:10" ht="15.75" customHeight="1" x14ac:dyDescent="0.25">
      <c r="B168" s="62"/>
      <c r="C168" s="63"/>
      <c r="D168" s="64"/>
      <c r="E168" s="63"/>
      <c r="F168" s="63"/>
      <c r="G168" s="65"/>
      <c r="H168" s="65"/>
      <c r="I168" s="65"/>
      <c r="J168" s="50"/>
    </row>
    <row r="169" spans="2:10" ht="15.75" customHeight="1" x14ac:dyDescent="0.25">
      <c r="B169" s="62"/>
      <c r="C169" s="63"/>
      <c r="D169" s="64"/>
      <c r="E169" s="63"/>
      <c r="F169" s="63"/>
      <c r="G169" s="65"/>
      <c r="H169" s="65"/>
      <c r="I169" s="65"/>
      <c r="J169" s="50"/>
    </row>
    <row r="170" spans="2:10" ht="15.75" customHeight="1" x14ac:dyDescent="0.25">
      <c r="B170" s="62"/>
      <c r="C170" s="63"/>
      <c r="D170" s="64"/>
      <c r="E170" s="63"/>
      <c r="F170" s="63"/>
      <c r="G170" s="65"/>
      <c r="H170" s="65"/>
      <c r="I170" s="65"/>
      <c r="J170" s="50"/>
    </row>
    <row r="171" spans="2:10" ht="15.75" customHeight="1" x14ac:dyDescent="0.25">
      <c r="B171" s="62"/>
      <c r="C171" s="63"/>
      <c r="D171" s="64"/>
      <c r="E171" s="63"/>
      <c r="F171" s="63"/>
      <c r="G171" s="65"/>
      <c r="H171" s="65"/>
      <c r="I171" s="65"/>
      <c r="J171" s="50"/>
    </row>
    <row r="172" spans="2:10" ht="15.75" customHeight="1" x14ac:dyDescent="0.25">
      <c r="B172" s="62"/>
      <c r="C172" s="63"/>
      <c r="D172" s="64"/>
      <c r="E172" s="63"/>
      <c r="F172" s="63"/>
      <c r="G172" s="65"/>
      <c r="H172" s="65"/>
      <c r="I172" s="65"/>
      <c r="J172" s="50"/>
    </row>
    <row r="173" spans="2:10" ht="15.75" customHeight="1" x14ac:dyDescent="0.25">
      <c r="B173" s="62"/>
      <c r="C173" s="63"/>
      <c r="D173" s="64"/>
      <c r="E173" s="63"/>
      <c r="F173" s="63"/>
      <c r="G173" s="65"/>
      <c r="H173" s="65"/>
      <c r="I173" s="65"/>
      <c r="J173" s="50"/>
    </row>
    <row r="174" spans="2:10" ht="15.75" customHeight="1" x14ac:dyDescent="0.25">
      <c r="B174" s="62"/>
      <c r="C174" s="63"/>
      <c r="D174" s="64"/>
      <c r="E174" s="63"/>
      <c r="F174" s="63"/>
      <c r="G174" s="65"/>
      <c r="H174" s="65"/>
      <c r="I174" s="65"/>
      <c r="J174" s="50"/>
    </row>
    <row r="175" spans="2:10" ht="15.75" customHeight="1" x14ac:dyDescent="0.25">
      <c r="B175" s="62"/>
      <c r="C175" s="63"/>
      <c r="D175" s="64"/>
      <c r="E175" s="63"/>
      <c r="F175" s="63"/>
      <c r="G175" s="65"/>
      <c r="H175" s="65"/>
      <c r="I175" s="65"/>
      <c r="J175" s="50"/>
    </row>
    <row r="176" spans="2:10" ht="15.75" customHeight="1" x14ac:dyDescent="0.25">
      <c r="B176" s="62"/>
      <c r="C176" s="63"/>
      <c r="D176" s="64"/>
      <c r="E176" s="63"/>
      <c r="F176" s="63"/>
      <c r="G176" s="65"/>
      <c r="H176" s="65"/>
      <c r="I176" s="65"/>
      <c r="J176" s="50"/>
    </row>
    <row r="177" spans="2:10" ht="15.75" customHeight="1" x14ac:dyDescent="0.25">
      <c r="B177" s="62"/>
      <c r="C177" s="63"/>
      <c r="D177" s="64"/>
      <c r="E177" s="63"/>
      <c r="F177" s="63"/>
      <c r="G177" s="65"/>
      <c r="H177" s="65"/>
      <c r="I177" s="65"/>
      <c r="J177" s="50"/>
    </row>
    <row r="178" spans="2:10" ht="15.75" customHeight="1" x14ac:dyDescent="0.25">
      <c r="B178" s="62"/>
      <c r="C178" s="63"/>
      <c r="D178" s="64"/>
      <c r="E178" s="63"/>
      <c r="F178" s="63"/>
      <c r="G178" s="65"/>
      <c r="H178" s="65"/>
      <c r="I178" s="65"/>
      <c r="J178" s="50"/>
    </row>
    <row r="179" spans="2:10" ht="15.75" customHeight="1" x14ac:dyDescent="0.25">
      <c r="B179" s="62"/>
      <c r="C179" s="63"/>
      <c r="D179" s="64"/>
      <c r="E179" s="63"/>
      <c r="F179" s="63"/>
      <c r="G179" s="65"/>
      <c r="H179" s="65"/>
      <c r="I179" s="65"/>
      <c r="J179" s="50"/>
    </row>
    <row r="180" spans="2:10" ht="15.75" customHeight="1" x14ac:dyDescent="0.25">
      <c r="B180" s="62"/>
      <c r="C180" s="63"/>
      <c r="D180" s="64"/>
      <c r="E180" s="63"/>
      <c r="F180" s="63"/>
      <c r="G180" s="65"/>
      <c r="H180" s="65"/>
      <c r="I180" s="65"/>
      <c r="J180" s="50"/>
    </row>
    <row r="181" spans="2:10" ht="15.75" customHeight="1" x14ac:dyDescent="0.25">
      <c r="B181" s="62"/>
      <c r="C181" s="63"/>
      <c r="D181" s="64"/>
      <c r="E181" s="63"/>
      <c r="F181" s="63"/>
      <c r="G181" s="65"/>
      <c r="H181" s="65"/>
      <c r="I181" s="65"/>
      <c r="J181" s="50"/>
    </row>
    <row r="182" spans="2:10" ht="15.75" customHeight="1" x14ac:dyDescent="0.25">
      <c r="B182" s="62"/>
      <c r="C182" s="63"/>
      <c r="D182" s="64"/>
      <c r="E182" s="63"/>
      <c r="F182" s="63"/>
      <c r="G182" s="65"/>
      <c r="H182" s="65"/>
      <c r="I182" s="65"/>
      <c r="J182" s="50"/>
    </row>
    <row r="183" spans="2:10" ht="15.75" customHeight="1" x14ac:dyDescent="0.25">
      <c r="B183" s="62"/>
      <c r="C183" s="63"/>
      <c r="D183" s="64"/>
      <c r="E183" s="63"/>
      <c r="F183" s="63"/>
      <c r="G183" s="65"/>
      <c r="H183" s="65"/>
      <c r="I183" s="65"/>
      <c r="J183" s="50"/>
    </row>
    <row r="184" spans="2:10" ht="15.75" customHeight="1" x14ac:dyDescent="0.25">
      <c r="B184" s="62"/>
      <c r="C184" s="63"/>
      <c r="D184" s="64"/>
      <c r="E184" s="63"/>
      <c r="F184" s="63"/>
      <c r="G184" s="65"/>
      <c r="H184" s="65"/>
      <c r="I184" s="65"/>
      <c r="J184" s="50"/>
    </row>
    <row r="185" spans="2:10" ht="15.75" customHeight="1" x14ac:dyDescent="0.25">
      <c r="B185" s="62"/>
      <c r="C185" s="63"/>
      <c r="D185" s="64"/>
      <c r="E185" s="63"/>
      <c r="F185" s="63"/>
      <c r="G185" s="65"/>
      <c r="H185" s="65"/>
      <c r="I185" s="65"/>
      <c r="J185" s="50"/>
    </row>
    <row r="186" spans="2:10" ht="15.75" customHeight="1" x14ac:dyDescent="0.25">
      <c r="B186" s="62"/>
      <c r="C186" s="63"/>
      <c r="D186" s="64"/>
      <c r="E186" s="63"/>
      <c r="F186" s="63"/>
      <c r="G186" s="65"/>
      <c r="H186" s="65"/>
      <c r="I186" s="65"/>
      <c r="J186" s="50"/>
    </row>
    <row r="187" spans="2:10" ht="15.75" customHeight="1" x14ac:dyDescent="0.25">
      <c r="B187" s="62"/>
      <c r="C187" s="63"/>
      <c r="D187" s="64"/>
      <c r="E187" s="63"/>
      <c r="F187" s="63"/>
      <c r="G187" s="65"/>
      <c r="H187" s="65"/>
      <c r="I187" s="65"/>
      <c r="J187" s="50"/>
    </row>
    <row r="188" spans="2:10" ht="15.75" customHeight="1" x14ac:dyDescent="0.25">
      <c r="B188" s="62"/>
      <c r="C188" s="63"/>
      <c r="D188" s="64"/>
      <c r="E188" s="63"/>
      <c r="F188" s="63"/>
      <c r="G188" s="65"/>
      <c r="H188" s="65"/>
      <c r="I188" s="65"/>
      <c r="J188" s="50"/>
    </row>
    <row r="189" spans="2:10" ht="15.75" customHeight="1" x14ac:dyDescent="0.25">
      <c r="B189" s="62"/>
      <c r="C189" s="63"/>
      <c r="D189" s="64"/>
      <c r="E189" s="63"/>
      <c r="F189" s="63"/>
      <c r="G189" s="65"/>
      <c r="H189" s="65"/>
      <c r="I189" s="65"/>
      <c r="J189" s="50"/>
    </row>
    <row r="190" spans="2:10" ht="15.75" customHeight="1" x14ac:dyDescent="0.25">
      <c r="B190" s="62"/>
      <c r="C190" s="63"/>
      <c r="D190" s="64"/>
      <c r="E190" s="63"/>
      <c r="F190" s="63"/>
      <c r="G190" s="65"/>
      <c r="H190" s="65"/>
      <c r="I190" s="65"/>
      <c r="J190" s="50"/>
    </row>
    <row r="191" spans="2:10" ht="15.75" customHeight="1" x14ac:dyDescent="0.25">
      <c r="B191" s="62"/>
      <c r="C191" s="63"/>
      <c r="D191" s="64"/>
      <c r="E191" s="63"/>
      <c r="F191" s="63"/>
      <c r="G191" s="65"/>
      <c r="H191" s="65"/>
      <c r="I191" s="65"/>
      <c r="J191" s="50"/>
    </row>
    <row r="192" spans="2:10" ht="15.75" customHeight="1" x14ac:dyDescent="0.25">
      <c r="B192" s="62"/>
      <c r="C192" s="63"/>
      <c r="D192" s="64"/>
      <c r="E192" s="63"/>
      <c r="F192" s="63"/>
      <c r="G192" s="65"/>
      <c r="H192" s="65"/>
      <c r="I192" s="65"/>
      <c r="J192" s="50"/>
    </row>
    <row r="193" spans="2:10" ht="15.75" customHeight="1" x14ac:dyDescent="0.25">
      <c r="B193" s="62"/>
      <c r="C193" s="63"/>
      <c r="D193" s="64"/>
      <c r="E193" s="63"/>
      <c r="F193" s="63"/>
      <c r="G193" s="65"/>
      <c r="H193" s="65"/>
      <c r="I193" s="65"/>
      <c r="J193" s="50"/>
    </row>
    <row r="194" spans="2:10" ht="15.75" customHeight="1" x14ac:dyDescent="0.25">
      <c r="B194" s="62"/>
      <c r="C194" s="63"/>
      <c r="D194" s="64"/>
      <c r="E194" s="63"/>
      <c r="F194" s="63"/>
      <c r="G194" s="65"/>
      <c r="H194" s="65"/>
      <c r="I194" s="65"/>
      <c r="J194" s="50"/>
    </row>
    <row r="195" spans="2:10" ht="15.75" customHeight="1" x14ac:dyDescent="0.25">
      <c r="B195" s="62"/>
      <c r="C195" s="63"/>
      <c r="D195" s="64"/>
      <c r="E195" s="63"/>
      <c r="F195" s="63"/>
      <c r="G195" s="65"/>
      <c r="H195" s="65"/>
      <c r="I195" s="65"/>
      <c r="J195" s="50"/>
    </row>
    <row r="196" spans="2:10" ht="15.75" customHeight="1" x14ac:dyDescent="0.25">
      <c r="B196" s="62"/>
      <c r="C196" s="63"/>
      <c r="D196" s="64"/>
      <c r="E196" s="63"/>
      <c r="F196" s="63"/>
      <c r="G196" s="65"/>
      <c r="H196" s="65"/>
      <c r="I196" s="65"/>
      <c r="J196" s="50"/>
    </row>
    <row r="197" spans="2:10" ht="15.75" customHeight="1" x14ac:dyDescent="0.25">
      <c r="B197" s="62"/>
      <c r="C197" s="63"/>
      <c r="D197" s="64"/>
      <c r="E197" s="63"/>
      <c r="F197" s="63"/>
      <c r="G197" s="65"/>
      <c r="H197" s="65"/>
      <c r="I197" s="65"/>
      <c r="J197" s="50"/>
    </row>
    <row r="198" spans="2:10" ht="15.75" customHeight="1" x14ac:dyDescent="0.25">
      <c r="B198" s="62"/>
      <c r="C198" s="63"/>
      <c r="D198" s="64"/>
      <c r="E198" s="63"/>
      <c r="F198" s="63"/>
      <c r="G198" s="65"/>
      <c r="H198" s="65"/>
      <c r="I198" s="65"/>
      <c r="J198" s="50"/>
    </row>
    <row r="199" spans="2:10" ht="15.75" customHeight="1" x14ac:dyDescent="0.25">
      <c r="B199" s="62"/>
      <c r="C199" s="63"/>
      <c r="D199" s="64"/>
      <c r="E199" s="63"/>
      <c r="F199" s="63"/>
      <c r="G199" s="65"/>
      <c r="H199" s="65"/>
      <c r="I199" s="65"/>
      <c r="J199" s="50"/>
    </row>
    <row r="200" spans="2:10" ht="15.75" customHeight="1" x14ac:dyDescent="0.25">
      <c r="B200" s="62"/>
      <c r="C200" s="63"/>
      <c r="D200" s="64"/>
      <c r="E200" s="63"/>
      <c r="F200" s="63"/>
      <c r="G200" s="65"/>
      <c r="H200" s="65"/>
      <c r="I200" s="65"/>
      <c r="J200" s="50"/>
    </row>
    <row r="201" spans="2:10" ht="15.75" customHeight="1" x14ac:dyDescent="0.25">
      <c r="B201" s="62"/>
      <c r="C201" s="63"/>
      <c r="D201" s="64"/>
      <c r="E201" s="63"/>
      <c r="F201" s="63"/>
      <c r="G201" s="65"/>
      <c r="H201" s="65"/>
      <c r="I201" s="65"/>
      <c r="J201" s="50"/>
    </row>
    <row r="202" spans="2:10" ht="15.75" customHeight="1" x14ac:dyDescent="0.25">
      <c r="B202" s="62"/>
      <c r="C202" s="63"/>
      <c r="D202" s="64"/>
      <c r="E202" s="63"/>
      <c r="F202" s="63"/>
      <c r="G202" s="65"/>
      <c r="H202" s="65"/>
      <c r="I202" s="65"/>
      <c r="J202" s="50"/>
    </row>
    <row r="203" spans="2:10" ht="15.75" customHeight="1" x14ac:dyDescent="0.25">
      <c r="B203" s="62"/>
      <c r="C203" s="63"/>
      <c r="D203" s="64"/>
      <c r="E203" s="63"/>
      <c r="F203" s="63"/>
      <c r="G203" s="65"/>
      <c r="H203" s="65"/>
      <c r="I203" s="65"/>
      <c r="J203" s="50"/>
    </row>
    <row r="204" spans="2:10" ht="15.75" customHeight="1" x14ac:dyDescent="0.25">
      <c r="B204" s="62"/>
      <c r="C204" s="63"/>
      <c r="D204" s="64"/>
      <c r="E204" s="63"/>
      <c r="F204" s="63"/>
      <c r="G204" s="65"/>
      <c r="H204" s="65"/>
      <c r="I204" s="65"/>
      <c r="J204" s="50"/>
    </row>
    <row r="205" spans="2:10" ht="15.75" customHeight="1" x14ac:dyDescent="0.25">
      <c r="B205" s="62"/>
      <c r="C205" s="63"/>
      <c r="D205" s="64"/>
      <c r="E205" s="63"/>
      <c r="F205" s="63"/>
      <c r="G205" s="65"/>
      <c r="H205" s="65"/>
      <c r="I205" s="65"/>
      <c r="J205" s="50"/>
    </row>
    <row r="206" spans="2:10" ht="15.75" customHeight="1" x14ac:dyDescent="0.25">
      <c r="B206" s="62"/>
      <c r="C206" s="63"/>
      <c r="D206" s="64"/>
      <c r="E206" s="63"/>
      <c r="F206" s="63"/>
      <c r="G206" s="65"/>
      <c r="H206" s="65"/>
      <c r="I206" s="65"/>
      <c r="J206" s="50"/>
    </row>
    <row r="207" spans="2:10" ht="15.75" customHeight="1" x14ac:dyDescent="0.25">
      <c r="B207" s="62"/>
      <c r="C207" s="63"/>
      <c r="D207" s="64"/>
      <c r="E207" s="63"/>
      <c r="F207" s="63"/>
      <c r="G207" s="65"/>
      <c r="H207" s="65"/>
      <c r="I207" s="65"/>
      <c r="J207" s="50"/>
    </row>
    <row r="208" spans="2:10" ht="15.75" customHeight="1" x14ac:dyDescent="0.25">
      <c r="B208" s="62"/>
      <c r="C208" s="63"/>
      <c r="D208" s="64"/>
      <c r="E208" s="63"/>
      <c r="F208" s="63"/>
      <c r="G208" s="65"/>
      <c r="H208" s="65"/>
      <c r="I208" s="65"/>
      <c r="J208" s="50"/>
    </row>
    <row r="209" spans="2:10" ht="15.75" customHeight="1" x14ac:dyDescent="0.25">
      <c r="B209" s="62"/>
      <c r="C209" s="63"/>
      <c r="D209" s="64"/>
      <c r="E209" s="63"/>
      <c r="F209" s="63"/>
      <c r="G209" s="65"/>
      <c r="H209" s="65"/>
      <c r="I209" s="65"/>
      <c r="J209" s="50"/>
    </row>
    <row r="210" spans="2:10" ht="15.75" customHeight="1" x14ac:dyDescent="0.25">
      <c r="B210" s="62"/>
      <c r="C210" s="63"/>
      <c r="D210" s="64"/>
      <c r="E210" s="63"/>
      <c r="F210" s="63"/>
      <c r="G210" s="65"/>
      <c r="H210" s="65"/>
      <c r="I210" s="65"/>
      <c r="J210" s="50"/>
    </row>
    <row r="211" spans="2:10" ht="15.75" customHeight="1" x14ac:dyDescent="0.25">
      <c r="B211" s="62"/>
      <c r="C211" s="63"/>
      <c r="D211" s="64"/>
      <c r="E211" s="63"/>
      <c r="F211" s="63"/>
      <c r="G211" s="65"/>
      <c r="H211" s="65"/>
      <c r="I211" s="65"/>
      <c r="J211" s="50"/>
    </row>
    <row r="212" spans="2:10" ht="15.75" customHeight="1" x14ac:dyDescent="0.25">
      <c r="B212" s="62"/>
      <c r="C212" s="63"/>
      <c r="D212" s="64"/>
      <c r="E212" s="63"/>
      <c r="F212" s="63"/>
      <c r="G212" s="65"/>
      <c r="H212" s="65"/>
      <c r="I212" s="65"/>
      <c r="J212" s="50"/>
    </row>
    <row r="213" spans="2:10" ht="15.75" customHeight="1" x14ac:dyDescent="0.25">
      <c r="B213" s="62"/>
      <c r="C213" s="63"/>
      <c r="D213" s="64"/>
      <c r="E213" s="63"/>
      <c r="F213" s="63"/>
      <c r="G213" s="65"/>
      <c r="H213" s="65"/>
      <c r="I213" s="65"/>
      <c r="J213" s="50"/>
    </row>
    <row r="214" spans="2:10" ht="15.75" customHeight="1" x14ac:dyDescent="0.25">
      <c r="B214" s="62"/>
      <c r="C214" s="63"/>
      <c r="D214" s="64"/>
      <c r="E214" s="63"/>
      <c r="F214" s="63"/>
      <c r="G214" s="65"/>
      <c r="H214" s="65"/>
      <c r="I214" s="65"/>
      <c r="J214" s="50"/>
    </row>
    <row r="215" spans="2:10" ht="15.75" customHeight="1" x14ac:dyDescent="0.25">
      <c r="B215" s="62"/>
      <c r="C215" s="63"/>
      <c r="D215" s="64"/>
      <c r="E215" s="63"/>
      <c r="F215" s="63"/>
      <c r="G215" s="65"/>
      <c r="H215" s="65"/>
      <c r="I215" s="65"/>
      <c r="J215" s="50"/>
    </row>
    <row r="216" spans="2:10" ht="15.75" customHeight="1" x14ac:dyDescent="0.25">
      <c r="B216" s="62"/>
      <c r="C216" s="63"/>
      <c r="D216" s="64"/>
      <c r="E216" s="63"/>
      <c r="F216" s="63"/>
      <c r="G216" s="65"/>
      <c r="H216" s="65"/>
      <c r="I216" s="65"/>
      <c r="J216" s="50"/>
    </row>
    <row r="217" spans="2:10" ht="15.75" customHeight="1" x14ac:dyDescent="0.25">
      <c r="B217" s="62"/>
      <c r="C217" s="63"/>
      <c r="D217" s="64"/>
      <c r="E217" s="63"/>
      <c r="F217" s="63"/>
      <c r="G217" s="65"/>
      <c r="H217" s="65"/>
      <c r="I217" s="65"/>
      <c r="J217" s="50"/>
    </row>
    <row r="218" spans="2:10" ht="15.75" customHeight="1" x14ac:dyDescent="0.25">
      <c r="B218" s="62"/>
      <c r="C218" s="63"/>
      <c r="D218" s="64"/>
      <c r="E218" s="63"/>
      <c r="F218" s="63"/>
      <c r="G218" s="65"/>
      <c r="H218" s="65"/>
      <c r="I218" s="65"/>
      <c r="J218" s="50"/>
    </row>
    <row r="219" spans="2:10" ht="15.75" customHeight="1" x14ac:dyDescent="0.25">
      <c r="B219" s="62"/>
      <c r="C219" s="63"/>
      <c r="D219" s="64"/>
      <c r="E219" s="63"/>
      <c r="F219" s="63"/>
      <c r="G219" s="65"/>
      <c r="H219" s="65"/>
      <c r="I219" s="65"/>
      <c r="J219" s="50"/>
    </row>
    <row r="220" spans="2:10" ht="15.75" customHeight="1" x14ac:dyDescent="0.25">
      <c r="B220" s="62"/>
      <c r="C220" s="63"/>
      <c r="D220" s="64"/>
      <c r="E220" s="63"/>
      <c r="F220" s="63"/>
      <c r="G220" s="65"/>
      <c r="H220" s="65"/>
      <c r="I220" s="65"/>
      <c r="J220" s="50"/>
    </row>
    <row r="221" spans="2:10" ht="15.75" customHeight="1" x14ac:dyDescent="0.25">
      <c r="B221" s="62"/>
      <c r="C221" s="63"/>
      <c r="D221" s="64"/>
      <c r="E221" s="63"/>
      <c r="F221" s="63"/>
      <c r="G221" s="65"/>
      <c r="H221" s="65"/>
      <c r="I221" s="65"/>
      <c r="J221" s="50"/>
    </row>
    <row r="222" spans="2:10" ht="15.75" customHeight="1" x14ac:dyDescent="0.25">
      <c r="B222" s="62"/>
      <c r="C222" s="63"/>
      <c r="D222" s="64"/>
      <c r="E222" s="63"/>
      <c r="F222" s="63"/>
      <c r="G222" s="65"/>
      <c r="H222" s="65"/>
      <c r="I222" s="65"/>
      <c r="J222" s="50"/>
    </row>
    <row r="223" spans="2:10" ht="15.75" customHeight="1" x14ac:dyDescent="0.25">
      <c r="B223" s="62"/>
      <c r="C223" s="63"/>
      <c r="D223" s="64"/>
      <c r="E223" s="63"/>
      <c r="F223" s="63"/>
      <c r="G223" s="65"/>
      <c r="H223" s="65"/>
      <c r="I223" s="65"/>
      <c r="J223" s="50"/>
    </row>
    <row r="224" spans="2:10" ht="15.75" customHeight="1" x14ac:dyDescent="0.25">
      <c r="B224" s="62"/>
      <c r="C224" s="63"/>
      <c r="D224" s="64"/>
      <c r="E224" s="63"/>
      <c r="F224" s="63"/>
      <c r="G224" s="65"/>
      <c r="H224" s="65"/>
      <c r="I224" s="65"/>
      <c r="J224" s="50"/>
    </row>
    <row r="225" spans="2:10" ht="15.75" customHeight="1" x14ac:dyDescent="0.25">
      <c r="B225" s="62"/>
      <c r="C225" s="63"/>
      <c r="D225" s="64"/>
      <c r="E225" s="63"/>
      <c r="F225" s="63"/>
      <c r="G225" s="65"/>
      <c r="H225" s="65"/>
      <c r="I225" s="65"/>
      <c r="J225" s="50"/>
    </row>
    <row r="226" spans="2:10" ht="15.75" customHeight="1" x14ac:dyDescent="0.25">
      <c r="B226" s="62"/>
      <c r="C226" s="63"/>
      <c r="D226" s="64"/>
      <c r="E226" s="63"/>
      <c r="F226" s="63"/>
      <c r="G226" s="65"/>
      <c r="H226" s="65"/>
      <c r="I226" s="65"/>
      <c r="J226" s="50"/>
    </row>
    <row r="227" spans="2:10" ht="15.75" customHeight="1" x14ac:dyDescent="0.25">
      <c r="B227" s="62"/>
      <c r="C227" s="63"/>
      <c r="D227" s="64"/>
      <c r="E227" s="63"/>
      <c r="F227" s="63"/>
      <c r="G227" s="65"/>
      <c r="H227" s="65"/>
      <c r="I227" s="65"/>
      <c r="J227" s="50"/>
    </row>
    <row r="228" spans="2:10" ht="15.75" customHeight="1" x14ac:dyDescent="0.25">
      <c r="B228" s="62"/>
      <c r="C228" s="63"/>
      <c r="D228" s="64"/>
      <c r="E228" s="63"/>
      <c r="F228" s="63"/>
      <c r="G228" s="65"/>
      <c r="H228" s="65"/>
      <c r="I228" s="65"/>
      <c r="J228" s="50"/>
    </row>
    <row r="229" spans="2:10" ht="15.75" customHeight="1" x14ac:dyDescent="0.25">
      <c r="B229" s="62"/>
      <c r="C229" s="63"/>
      <c r="D229" s="64"/>
      <c r="E229" s="63"/>
      <c r="F229" s="63"/>
      <c r="G229" s="65"/>
      <c r="H229" s="65"/>
      <c r="I229" s="65"/>
      <c r="J229" s="50"/>
    </row>
    <row r="230" spans="2:10" ht="15.75" customHeight="1" x14ac:dyDescent="0.25">
      <c r="B230" s="62"/>
      <c r="C230" s="63"/>
      <c r="D230" s="64"/>
      <c r="E230" s="63"/>
      <c r="F230" s="63"/>
      <c r="G230" s="65"/>
      <c r="H230" s="65"/>
      <c r="I230" s="65"/>
      <c r="J230" s="50"/>
    </row>
    <row r="231" spans="2:10" ht="15.75" customHeight="1" x14ac:dyDescent="0.25">
      <c r="B231" s="62"/>
      <c r="C231" s="63"/>
      <c r="D231" s="64"/>
      <c r="E231" s="63"/>
      <c r="F231" s="63"/>
      <c r="G231" s="65"/>
      <c r="H231" s="65"/>
      <c r="I231" s="65"/>
      <c r="J231" s="50"/>
    </row>
    <row r="232" spans="2:10" ht="15.75" customHeight="1" x14ac:dyDescent="0.25">
      <c r="B232" s="62"/>
      <c r="C232" s="63"/>
      <c r="D232" s="64"/>
      <c r="E232" s="63"/>
      <c r="F232" s="63"/>
      <c r="G232" s="65"/>
      <c r="H232" s="65"/>
      <c r="I232" s="65"/>
      <c r="J232" s="50"/>
    </row>
    <row r="233" spans="2:10" ht="15.75" customHeight="1" x14ac:dyDescent="0.25">
      <c r="B233" s="62"/>
      <c r="C233" s="63"/>
      <c r="D233" s="64"/>
      <c r="E233" s="63"/>
      <c r="F233" s="63"/>
      <c r="G233" s="65"/>
      <c r="H233" s="65"/>
      <c r="I233" s="65"/>
      <c r="J233" s="50"/>
    </row>
    <row r="234" spans="2:10" ht="15.75" customHeight="1" x14ac:dyDescent="0.25">
      <c r="B234" s="62"/>
      <c r="C234" s="63"/>
      <c r="D234" s="64"/>
      <c r="E234" s="63"/>
      <c r="F234" s="63"/>
      <c r="G234" s="65"/>
      <c r="H234" s="65"/>
      <c r="I234" s="65"/>
      <c r="J234" s="50"/>
    </row>
    <row r="235" spans="2:10" ht="15.75" customHeight="1" x14ac:dyDescent="0.25">
      <c r="B235" s="62"/>
      <c r="C235" s="63"/>
      <c r="D235" s="64"/>
      <c r="E235" s="63"/>
      <c r="F235" s="63"/>
      <c r="G235" s="65"/>
      <c r="H235" s="65"/>
      <c r="I235" s="65"/>
      <c r="J235" s="50"/>
    </row>
    <row r="236" spans="2:10" ht="15.75" customHeight="1" x14ac:dyDescent="0.25">
      <c r="B236" s="62"/>
      <c r="C236" s="63"/>
      <c r="D236" s="64"/>
      <c r="E236" s="63"/>
      <c r="F236" s="63"/>
      <c r="G236" s="65"/>
      <c r="H236" s="65"/>
      <c r="I236" s="65"/>
      <c r="J236" s="50"/>
    </row>
    <row r="237" spans="2:10" ht="15.75" customHeight="1" x14ac:dyDescent="0.25">
      <c r="B237" s="62"/>
      <c r="C237" s="63"/>
      <c r="D237" s="64"/>
      <c r="E237" s="63"/>
      <c r="F237" s="63"/>
      <c r="G237" s="65"/>
      <c r="H237" s="65"/>
      <c r="I237" s="65"/>
      <c r="J237" s="50"/>
    </row>
    <row r="238" spans="2:10" ht="15.75" customHeight="1" x14ac:dyDescent="0.25">
      <c r="B238" s="62"/>
      <c r="C238" s="63"/>
      <c r="D238" s="64"/>
      <c r="E238" s="63"/>
      <c r="F238" s="63"/>
      <c r="G238" s="65"/>
      <c r="H238" s="65"/>
      <c r="I238" s="65"/>
      <c r="J238" s="50"/>
    </row>
    <row r="239" spans="2:10" ht="15.75" customHeight="1" x14ac:dyDescent="0.25">
      <c r="B239" s="62"/>
      <c r="C239" s="63"/>
      <c r="D239" s="64"/>
      <c r="E239" s="63"/>
      <c r="F239" s="63"/>
      <c r="G239" s="65"/>
      <c r="H239" s="65"/>
      <c r="I239" s="65"/>
      <c r="J239" s="50"/>
    </row>
    <row r="240" spans="2:10" ht="15.75" customHeight="1" x14ac:dyDescent="0.25">
      <c r="B240" s="62"/>
      <c r="C240" s="63"/>
      <c r="D240" s="64"/>
      <c r="E240" s="63"/>
      <c r="F240" s="63"/>
      <c r="G240" s="65"/>
      <c r="H240" s="65"/>
      <c r="I240" s="65"/>
      <c r="J240" s="50"/>
    </row>
    <row r="241" spans="2:10" ht="15.75" customHeight="1" x14ac:dyDescent="0.25">
      <c r="B241" s="62"/>
      <c r="C241" s="63"/>
      <c r="D241" s="64"/>
      <c r="E241" s="63"/>
      <c r="F241" s="63"/>
      <c r="G241" s="65"/>
      <c r="H241" s="65"/>
      <c r="I241" s="65"/>
      <c r="J241" s="50"/>
    </row>
    <row r="242" spans="2:10" ht="15.75" customHeight="1" x14ac:dyDescent="0.25">
      <c r="B242" s="62"/>
      <c r="C242" s="63"/>
      <c r="D242" s="64"/>
      <c r="E242" s="63"/>
      <c r="F242" s="63"/>
      <c r="G242" s="65"/>
      <c r="H242" s="65"/>
      <c r="I242" s="65"/>
      <c r="J242" s="50"/>
    </row>
    <row r="243" spans="2:10" ht="15.75" customHeight="1" x14ac:dyDescent="0.25">
      <c r="B243" s="62"/>
      <c r="C243" s="63"/>
      <c r="D243" s="64"/>
      <c r="E243" s="63"/>
      <c r="F243" s="63"/>
      <c r="G243" s="65"/>
      <c r="H243" s="65"/>
      <c r="I243" s="65"/>
      <c r="J243" s="50"/>
    </row>
    <row r="244" spans="2:10" ht="15.75" customHeight="1" x14ac:dyDescent="0.25">
      <c r="B244" s="62"/>
      <c r="C244" s="63"/>
      <c r="D244" s="64"/>
      <c r="E244" s="63"/>
      <c r="F244" s="63"/>
      <c r="G244" s="65"/>
      <c r="H244" s="65"/>
      <c r="I244" s="65"/>
      <c r="J244" s="50"/>
    </row>
    <row r="245" spans="2:10" ht="15.75" customHeight="1" x14ac:dyDescent="0.25">
      <c r="B245" s="62"/>
      <c r="C245" s="63"/>
      <c r="D245" s="64"/>
      <c r="E245" s="63"/>
      <c r="F245" s="63"/>
      <c r="G245" s="65"/>
      <c r="H245" s="65"/>
      <c r="I245" s="65"/>
      <c r="J245" s="50"/>
    </row>
    <row r="246" spans="2:10" ht="15.75" customHeight="1" x14ac:dyDescent="0.25">
      <c r="B246" s="62"/>
      <c r="C246" s="63"/>
      <c r="D246" s="64"/>
      <c r="E246" s="63"/>
      <c r="F246" s="63"/>
      <c r="G246" s="65"/>
      <c r="H246" s="65"/>
      <c r="I246" s="65"/>
      <c r="J246" s="50"/>
    </row>
    <row r="247" spans="2:10" ht="15.75" customHeight="1" x14ac:dyDescent="0.25">
      <c r="B247" s="62"/>
      <c r="C247" s="63"/>
      <c r="D247" s="64"/>
      <c r="E247" s="63"/>
      <c r="F247" s="63"/>
      <c r="G247" s="65"/>
      <c r="H247" s="65"/>
      <c r="I247" s="65"/>
      <c r="J247" s="50"/>
    </row>
    <row r="248" spans="2:10" ht="15.75" customHeight="1" x14ac:dyDescent="0.25">
      <c r="B248" s="62"/>
      <c r="C248" s="63"/>
      <c r="D248" s="64"/>
      <c r="E248" s="63"/>
      <c r="F248" s="63"/>
      <c r="G248" s="65"/>
      <c r="H248" s="65"/>
      <c r="I248" s="65"/>
      <c r="J248" s="50"/>
    </row>
    <row r="249" spans="2:10" ht="15.75" customHeight="1" x14ac:dyDescent="0.25">
      <c r="B249" s="62"/>
      <c r="C249" s="63"/>
      <c r="D249" s="64"/>
      <c r="E249" s="63"/>
      <c r="F249" s="63"/>
      <c r="G249" s="65"/>
      <c r="H249" s="65"/>
      <c r="I249" s="65"/>
      <c r="J249" s="50"/>
    </row>
    <row r="250" spans="2:10" ht="15.75" customHeight="1" x14ac:dyDescent="0.25">
      <c r="B250" s="62"/>
      <c r="C250" s="63"/>
      <c r="D250" s="64"/>
      <c r="E250" s="63"/>
      <c r="F250" s="63"/>
      <c r="G250" s="65"/>
      <c r="H250" s="65"/>
      <c r="I250" s="65"/>
      <c r="J250" s="50"/>
    </row>
    <row r="251" spans="2:10" ht="15.75" customHeight="1" x14ac:dyDescent="0.25">
      <c r="B251" s="62"/>
      <c r="C251" s="63"/>
      <c r="D251" s="64"/>
      <c r="E251" s="63"/>
      <c r="F251" s="63"/>
      <c r="G251" s="65"/>
      <c r="H251" s="65"/>
      <c r="I251" s="65"/>
      <c r="J251" s="50"/>
    </row>
    <row r="252" spans="2:10" ht="15.75" customHeight="1" x14ac:dyDescent="0.25">
      <c r="B252" s="62"/>
      <c r="C252" s="63"/>
      <c r="D252" s="64"/>
      <c r="E252" s="63"/>
      <c r="F252" s="63"/>
      <c r="G252" s="65"/>
      <c r="H252" s="65"/>
      <c r="I252" s="65"/>
      <c r="J252" s="50"/>
    </row>
    <row r="253" spans="2:10" ht="15.75" customHeight="1" x14ac:dyDescent="0.25">
      <c r="B253" s="62"/>
      <c r="C253" s="63"/>
      <c r="D253" s="64"/>
      <c r="E253" s="63"/>
      <c r="F253" s="63"/>
      <c r="G253" s="65"/>
      <c r="H253" s="65"/>
      <c r="I253" s="65"/>
      <c r="J253" s="50"/>
    </row>
    <row r="254" spans="2:10" ht="15.75" customHeight="1" x14ac:dyDescent="0.25">
      <c r="B254" s="62"/>
      <c r="C254" s="63"/>
      <c r="D254" s="64"/>
      <c r="E254" s="63"/>
      <c r="F254" s="63"/>
      <c r="G254" s="65"/>
      <c r="H254" s="65"/>
      <c r="I254" s="65"/>
      <c r="J254" s="50"/>
    </row>
    <row r="255" spans="2:10" ht="15.75" customHeight="1" x14ac:dyDescent="0.25">
      <c r="B255" s="62"/>
      <c r="C255" s="63"/>
      <c r="D255" s="64"/>
      <c r="E255" s="63"/>
      <c r="F255" s="63"/>
      <c r="G255" s="65"/>
      <c r="H255" s="65"/>
      <c r="I255" s="65"/>
      <c r="J255" s="50"/>
    </row>
    <row r="256" spans="2:10" ht="15.75" customHeight="1" x14ac:dyDescent="0.25">
      <c r="B256" s="62"/>
      <c r="C256" s="63"/>
      <c r="D256" s="64"/>
      <c r="E256" s="63"/>
      <c r="F256" s="63"/>
      <c r="G256" s="65"/>
      <c r="H256" s="65"/>
      <c r="I256" s="65"/>
      <c r="J256" s="50"/>
    </row>
    <row r="257" spans="2:10" ht="15.75" customHeight="1" x14ac:dyDescent="0.25">
      <c r="B257" s="62"/>
      <c r="C257" s="63"/>
      <c r="D257" s="64"/>
      <c r="E257" s="63"/>
      <c r="F257" s="63"/>
      <c r="G257" s="65"/>
      <c r="H257" s="65"/>
      <c r="I257" s="65"/>
      <c r="J257" s="50"/>
    </row>
    <row r="258" spans="2:10" ht="15.75" customHeight="1" x14ac:dyDescent="0.25">
      <c r="B258" s="62"/>
      <c r="C258" s="63"/>
      <c r="D258" s="64"/>
      <c r="E258" s="63"/>
      <c r="F258" s="63"/>
      <c r="G258" s="65"/>
      <c r="H258" s="65"/>
      <c r="I258" s="65"/>
      <c r="J258" s="50"/>
    </row>
    <row r="259" spans="2:10" ht="15.75" customHeight="1" x14ac:dyDescent="0.25">
      <c r="B259" s="62"/>
      <c r="C259" s="63"/>
      <c r="D259" s="64"/>
      <c r="E259" s="63"/>
      <c r="F259" s="63"/>
      <c r="G259" s="65"/>
      <c r="H259" s="65"/>
      <c r="I259" s="65"/>
      <c r="J259" s="50"/>
    </row>
    <row r="260" spans="2:10" ht="15.75" customHeight="1" x14ac:dyDescent="0.25">
      <c r="B260" s="62"/>
      <c r="C260" s="63"/>
      <c r="D260" s="64"/>
      <c r="E260" s="63"/>
      <c r="F260" s="63"/>
      <c r="G260" s="65"/>
      <c r="H260" s="65"/>
      <c r="I260" s="65"/>
      <c r="J260" s="50"/>
    </row>
    <row r="261" spans="2:10" ht="15.75" customHeight="1" x14ac:dyDescent="0.25">
      <c r="B261" s="62"/>
      <c r="C261" s="63"/>
      <c r="D261" s="64"/>
      <c r="E261" s="63"/>
      <c r="F261" s="63"/>
      <c r="G261" s="65"/>
      <c r="H261" s="65"/>
      <c r="I261" s="65"/>
      <c r="J261" s="50"/>
    </row>
    <row r="262" spans="2:10" ht="15.75" customHeight="1" x14ac:dyDescent="0.25">
      <c r="B262" s="62"/>
      <c r="C262" s="63"/>
      <c r="D262" s="64"/>
      <c r="E262" s="63"/>
      <c r="F262" s="63"/>
      <c r="G262" s="65"/>
      <c r="H262" s="65"/>
      <c r="I262" s="65"/>
      <c r="J262" s="50"/>
    </row>
    <row r="263" spans="2:10" ht="15.75" customHeight="1" x14ac:dyDescent="0.25">
      <c r="B263" s="62"/>
      <c r="C263" s="63"/>
      <c r="D263" s="64"/>
      <c r="E263" s="63"/>
      <c r="F263" s="63"/>
      <c r="G263" s="65"/>
      <c r="H263" s="65"/>
      <c r="I263" s="65"/>
      <c r="J263" s="50"/>
    </row>
    <row r="264" spans="2:10" ht="15.75" customHeight="1" x14ac:dyDescent="0.25">
      <c r="B264" s="62"/>
      <c r="C264" s="63"/>
      <c r="D264" s="64"/>
      <c r="E264" s="63"/>
      <c r="F264" s="63"/>
      <c r="G264" s="65"/>
      <c r="H264" s="65"/>
      <c r="I264" s="65"/>
      <c r="J264" s="50"/>
    </row>
    <row r="265" spans="2:10" ht="15.75" customHeight="1" x14ac:dyDescent="0.25">
      <c r="B265" s="62"/>
      <c r="C265" s="63"/>
      <c r="D265" s="64"/>
      <c r="E265" s="63"/>
      <c r="F265" s="63"/>
      <c r="G265" s="65"/>
      <c r="H265" s="65"/>
      <c r="I265" s="65"/>
      <c r="J265" s="50"/>
    </row>
    <row r="266" spans="2:10" ht="15.75" customHeight="1" x14ac:dyDescent="0.25">
      <c r="B266" s="62"/>
      <c r="C266" s="63"/>
      <c r="D266" s="64"/>
      <c r="E266" s="63"/>
      <c r="F266" s="63"/>
      <c r="G266" s="65"/>
      <c r="H266" s="65"/>
      <c r="I266" s="65"/>
      <c r="J266" s="50"/>
    </row>
    <row r="267" spans="2:10" ht="15.75" customHeight="1" x14ac:dyDescent="0.25">
      <c r="B267" s="62"/>
      <c r="C267" s="63"/>
      <c r="D267" s="64"/>
      <c r="E267" s="63"/>
      <c r="F267" s="63"/>
      <c r="G267" s="65"/>
      <c r="H267" s="65"/>
      <c r="I267" s="65"/>
      <c r="J267" s="50"/>
    </row>
    <row r="268" spans="2:10" ht="15.75" customHeight="1" x14ac:dyDescent="0.25">
      <c r="B268" s="62"/>
      <c r="C268" s="63"/>
      <c r="D268" s="64"/>
      <c r="E268" s="63"/>
      <c r="F268" s="63"/>
      <c r="G268" s="65"/>
      <c r="H268" s="65"/>
      <c r="I268" s="65"/>
      <c r="J268" s="50"/>
    </row>
    <row r="269" spans="2:10" ht="15.75" customHeight="1" x14ac:dyDescent="0.25">
      <c r="B269" s="62"/>
      <c r="C269" s="63"/>
      <c r="D269" s="64"/>
      <c r="E269" s="63"/>
      <c r="F269" s="63"/>
      <c r="G269" s="65"/>
      <c r="H269" s="65"/>
      <c r="I269" s="65"/>
      <c r="J269" s="50"/>
    </row>
    <row r="270" spans="2:10" ht="15.75" customHeight="1" x14ac:dyDescent="0.25">
      <c r="B270" s="62"/>
      <c r="C270" s="63"/>
      <c r="D270" s="64"/>
      <c r="E270" s="63"/>
      <c r="F270" s="63"/>
      <c r="G270" s="65"/>
      <c r="H270" s="65"/>
      <c r="I270" s="65"/>
      <c r="J270" s="50"/>
    </row>
    <row r="271" spans="2:10" ht="15.75" customHeight="1" x14ac:dyDescent="0.25">
      <c r="B271" s="62"/>
      <c r="C271" s="63"/>
      <c r="D271" s="64"/>
      <c r="E271" s="63"/>
      <c r="F271" s="63"/>
      <c r="G271" s="65"/>
      <c r="H271" s="65"/>
      <c r="I271" s="65"/>
      <c r="J271" s="50"/>
    </row>
    <row r="272" spans="2:10" ht="15.75" customHeight="1" x14ac:dyDescent="0.25">
      <c r="B272" s="62"/>
      <c r="C272" s="63"/>
      <c r="D272" s="64"/>
      <c r="E272" s="63"/>
      <c r="F272" s="63"/>
      <c r="G272" s="65"/>
      <c r="H272" s="65"/>
      <c r="I272" s="65"/>
      <c r="J272" s="50"/>
    </row>
    <row r="273" spans="2:10" ht="15.75" customHeight="1" x14ac:dyDescent="0.25">
      <c r="B273" s="62"/>
      <c r="C273" s="63"/>
      <c r="D273" s="64"/>
      <c r="E273" s="63"/>
      <c r="F273" s="63"/>
      <c r="G273" s="65"/>
      <c r="H273" s="65"/>
      <c r="I273" s="65"/>
      <c r="J273" s="50"/>
    </row>
    <row r="274" spans="2:10" ht="15.75" customHeight="1" x14ac:dyDescent="0.25">
      <c r="B274" s="62"/>
      <c r="C274" s="63"/>
      <c r="D274" s="64"/>
      <c r="E274" s="63"/>
      <c r="F274" s="63"/>
      <c r="G274" s="65"/>
      <c r="H274" s="65"/>
      <c r="I274" s="65"/>
      <c r="J274" s="50"/>
    </row>
    <row r="275" spans="2:10" ht="15.75" customHeight="1" x14ac:dyDescent="0.25">
      <c r="B275" s="62"/>
      <c r="C275" s="63"/>
      <c r="D275" s="64"/>
      <c r="E275" s="63"/>
      <c r="F275" s="63"/>
      <c r="G275" s="65"/>
      <c r="H275" s="65"/>
      <c r="I275" s="65"/>
      <c r="J275" s="50"/>
    </row>
    <row r="276" spans="2:10" ht="15.75" customHeight="1" x14ac:dyDescent="0.25">
      <c r="B276" s="62"/>
      <c r="C276" s="63"/>
      <c r="D276" s="64"/>
      <c r="E276" s="63"/>
      <c r="F276" s="63"/>
      <c r="G276" s="65"/>
      <c r="H276" s="65"/>
      <c r="I276" s="65"/>
      <c r="J276" s="50"/>
    </row>
    <row r="277" spans="2:10" ht="15.75" customHeight="1" x14ac:dyDescent="0.25">
      <c r="B277" s="62"/>
      <c r="C277" s="63"/>
      <c r="D277" s="64"/>
      <c r="E277" s="63"/>
      <c r="F277" s="63"/>
      <c r="G277" s="65"/>
      <c r="H277" s="65"/>
      <c r="I277" s="65"/>
      <c r="J277" s="50"/>
    </row>
    <row r="278" spans="2:10" ht="15.75" customHeight="1" x14ac:dyDescent="0.25">
      <c r="B278" s="62"/>
      <c r="C278" s="63"/>
      <c r="D278" s="64"/>
      <c r="E278" s="63"/>
      <c r="F278" s="63"/>
      <c r="G278" s="65"/>
      <c r="H278" s="65"/>
      <c r="I278" s="65"/>
      <c r="J278" s="50"/>
    </row>
    <row r="279" spans="2:10" ht="15.75" customHeight="1" x14ac:dyDescent="0.25">
      <c r="B279" s="62"/>
      <c r="C279" s="63"/>
      <c r="D279" s="64"/>
      <c r="E279" s="63"/>
      <c r="F279" s="63"/>
      <c r="G279" s="65"/>
      <c r="H279" s="65"/>
      <c r="I279" s="65"/>
      <c r="J279" s="50"/>
    </row>
    <row r="280" spans="2:10" ht="15.75" customHeight="1" x14ac:dyDescent="0.25">
      <c r="B280" s="62"/>
      <c r="C280" s="63"/>
      <c r="D280" s="64"/>
      <c r="E280" s="63"/>
      <c r="F280" s="63"/>
      <c r="G280" s="65"/>
      <c r="H280" s="65"/>
      <c r="I280" s="65"/>
      <c r="J280" s="50"/>
    </row>
    <row r="281" spans="2:10" ht="15.75" customHeight="1" x14ac:dyDescent="0.25">
      <c r="B281" s="62"/>
      <c r="C281" s="63"/>
      <c r="D281" s="64"/>
      <c r="E281" s="63"/>
      <c r="F281" s="63"/>
      <c r="G281" s="65"/>
      <c r="H281" s="65"/>
      <c r="I281" s="65"/>
      <c r="J281" s="50"/>
    </row>
    <row r="282" spans="2:10" ht="15.75" customHeight="1" x14ac:dyDescent="0.25">
      <c r="B282" s="62"/>
      <c r="C282" s="63"/>
      <c r="D282" s="64"/>
      <c r="E282" s="63"/>
      <c r="F282" s="63"/>
      <c r="G282" s="65"/>
      <c r="H282" s="65"/>
      <c r="I282" s="65"/>
      <c r="J282" s="50"/>
    </row>
    <row r="283" spans="2:10" ht="15.75" customHeight="1" x14ac:dyDescent="0.25">
      <c r="B283" s="62"/>
      <c r="C283" s="63"/>
      <c r="D283" s="64"/>
      <c r="E283" s="63"/>
      <c r="F283" s="63"/>
      <c r="G283" s="65"/>
      <c r="H283" s="65"/>
      <c r="I283" s="65"/>
      <c r="J283" s="50"/>
    </row>
    <row r="284" spans="2:10" ht="15.75" customHeight="1" x14ac:dyDescent="0.25">
      <c r="B284" s="62"/>
      <c r="C284" s="63"/>
      <c r="D284" s="64"/>
      <c r="E284" s="63"/>
      <c r="F284" s="63"/>
      <c r="G284" s="65"/>
      <c r="H284" s="65"/>
      <c r="I284" s="65"/>
      <c r="J284" s="50"/>
    </row>
    <row r="285" spans="2:10" ht="15.75" customHeight="1" x14ac:dyDescent="0.25">
      <c r="B285" s="62"/>
      <c r="C285" s="63"/>
      <c r="D285" s="64"/>
      <c r="E285" s="63"/>
      <c r="F285" s="63"/>
      <c r="G285" s="65"/>
      <c r="H285" s="65"/>
      <c r="I285" s="65"/>
      <c r="J285" s="50"/>
    </row>
    <row r="286" spans="2:10" ht="15.75" customHeight="1" x14ac:dyDescent="0.25">
      <c r="B286" s="62"/>
      <c r="C286" s="63"/>
      <c r="D286" s="64"/>
      <c r="E286" s="63"/>
      <c r="F286" s="63"/>
      <c r="G286" s="65"/>
      <c r="H286" s="65"/>
      <c r="I286" s="65"/>
      <c r="J286" s="50"/>
    </row>
    <row r="287" spans="2:10" ht="15.75" customHeight="1" x14ac:dyDescent="0.25">
      <c r="B287" s="62"/>
      <c r="C287" s="63"/>
      <c r="D287" s="64"/>
      <c r="E287" s="63"/>
      <c r="F287" s="63"/>
      <c r="G287" s="65"/>
      <c r="H287" s="65"/>
      <c r="I287" s="65"/>
      <c r="J287" s="50"/>
    </row>
    <row r="288" spans="2:10" ht="15.75" customHeight="1" x14ac:dyDescent="0.25">
      <c r="B288" s="62"/>
      <c r="C288" s="63"/>
      <c r="D288" s="64"/>
      <c r="E288" s="63"/>
      <c r="F288" s="63"/>
      <c r="G288" s="65"/>
      <c r="H288" s="65"/>
      <c r="I288" s="65"/>
      <c r="J288" s="50"/>
    </row>
    <row r="289" spans="2:10" ht="15.75" customHeight="1" x14ac:dyDescent="0.25">
      <c r="B289" s="62"/>
      <c r="C289" s="63"/>
      <c r="D289" s="64"/>
      <c r="E289" s="63"/>
      <c r="F289" s="63"/>
      <c r="G289" s="65"/>
      <c r="H289" s="65"/>
      <c r="I289" s="65"/>
      <c r="J289" s="50"/>
    </row>
    <row r="290" spans="2:10" ht="15.75" customHeight="1" x14ac:dyDescent="0.25">
      <c r="B290" s="62"/>
      <c r="C290" s="63"/>
      <c r="D290" s="64"/>
      <c r="E290" s="63"/>
      <c r="F290" s="63"/>
      <c r="G290" s="65"/>
      <c r="H290" s="65"/>
      <c r="I290" s="65"/>
      <c r="J290" s="50"/>
    </row>
    <row r="291" spans="2:10" ht="15.75" customHeight="1" x14ac:dyDescent="0.25">
      <c r="B291" s="62"/>
      <c r="C291" s="63"/>
      <c r="D291" s="64"/>
      <c r="E291" s="63"/>
      <c r="F291" s="63"/>
      <c r="G291" s="65"/>
      <c r="H291" s="65"/>
      <c r="I291" s="65"/>
      <c r="J291" s="50"/>
    </row>
    <row r="292" spans="2:10" ht="15.75" customHeight="1" x14ac:dyDescent="0.25">
      <c r="B292" s="62"/>
      <c r="C292" s="63"/>
      <c r="D292" s="64"/>
      <c r="E292" s="63"/>
      <c r="F292" s="63"/>
      <c r="G292" s="65"/>
      <c r="H292" s="65"/>
      <c r="I292" s="65"/>
      <c r="J292" s="50"/>
    </row>
    <row r="293" spans="2:10" ht="15.75" customHeight="1" x14ac:dyDescent="0.25">
      <c r="B293" s="62"/>
      <c r="C293" s="63"/>
      <c r="D293" s="64"/>
      <c r="E293" s="63"/>
      <c r="F293" s="63"/>
      <c r="G293" s="65"/>
      <c r="H293" s="65"/>
      <c r="I293" s="65"/>
      <c r="J293" s="50"/>
    </row>
    <row r="294" spans="2:10" ht="15.75" customHeight="1" x14ac:dyDescent="0.25">
      <c r="B294" s="62"/>
      <c r="C294" s="63"/>
      <c r="D294" s="64"/>
      <c r="E294" s="63"/>
      <c r="F294" s="63"/>
      <c r="G294" s="65"/>
      <c r="H294" s="65"/>
      <c r="I294" s="65"/>
      <c r="J294" s="50"/>
    </row>
    <row r="295" spans="2:10" ht="15.75" customHeight="1" x14ac:dyDescent="0.25">
      <c r="B295" s="62"/>
      <c r="C295" s="63"/>
      <c r="D295" s="64"/>
      <c r="E295" s="63"/>
      <c r="F295" s="63"/>
      <c r="G295" s="65"/>
      <c r="H295" s="65"/>
      <c r="I295" s="65"/>
      <c r="J295" s="50"/>
    </row>
    <row r="296" spans="2:10" ht="15.75" customHeight="1" x14ac:dyDescent="0.25">
      <c r="B296" s="62"/>
      <c r="C296" s="63"/>
      <c r="D296" s="64"/>
      <c r="E296" s="63"/>
      <c r="F296" s="63"/>
      <c r="G296" s="65"/>
      <c r="H296" s="65"/>
      <c r="I296" s="65"/>
      <c r="J296" s="50"/>
    </row>
    <row r="297" spans="2:10" ht="15.75" customHeight="1" x14ac:dyDescent="0.25">
      <c r="B297" s="62"/>
      <c r="C297" s="63"/>
      <c r="D297" s="64"/>
      <c r="E297" s="63"/>
      <c r="F297" s="63"/>
      <c r="G297" s="65"/>
      <c r="H297" s="65"/>
      <c r="I297" s="65"/>
      <c r="J297" s="50"/>
    </row>
    <row r="298" spans="2:10" ht="15.75" customHeight="1" x14ac:dyDescent="0.25">
      <c r="B298" s="62"/>
      <c r="C298" s="63"/>
      <c r="D298" s="64"/>
      <c r="E298" s="63"/>
      <c r="F298" s="63"/>
      <c r="G298" s="65"/>
      <c r="H298" s="65"/>
      <c r="I298" s="65"/>
      <c r="J298" s="50"/>
    </row>
    <row r="299" spans="2:10" ht="15.75" customHeight="1" x14ac:dyDescent="0.25">
      <c r="B299" s="62"/>
      <c r="C299" s="63"/>
      <c r="D299" s="64"/>
      <c r="E299" s="63"/>
      <c r="F299" s="63"/>
      <c r="G299" s="65"/>
      <c r="H299" s="65"/>
      <c r="I299" s="65"/>
      <c r="J299" s="50"/>
    </row>
    <row r="300" spans="2:10" ht="15.75" customHeight="1" x14ac:dyDescent="0.25">
      <c r="B300" s="62"/>
      <c r="C300" s="63"/>
      <c r="D300" s="64"/>
      <c r="E300" s="63"/>
      <c r="F300" s="63"/>
      <c r="G300" s="65"/>
      <c r="H300" s="65"/>
      <c r="I300" s="65"/>
      <c r="J300" s="50"/>
    </row>
    <row r="301" spans="2:10" ht="15.75" customHeight="1" x14ac:dyDescent="0.25">
      <c r="B301" s="62"/>
      <c r="C301" s="63"/>
      <c r="D301" s="64"/>
      <c r="E301" s="63"/>
      <c r="F301" s="63"/>
      <c r="G301" s="65"/>
      <c r="H301" s="65"/>
      <c r="I301" s="65"/>
      <c r="J301" s="50"/>
    </row>
    <row r="302" spans="2:10" ht="15.75" customHeight="1" x14ac:dyDescent="0.25">
      <c r="B302" s="62"/>
      <c r="C302" s="63"/>
      <c r="D302" s="64"/>
      <c r="E302" s="63"/>
      <c r="F302" s="63"/>
      <c r="G302" s="65"/>
      <c r="H302" s="65"/>
      <c r="I302" s="65"/>
      <c r="J302" s="50"/>
    </row>
    <row r="303" spans="2:10" ht="15.75" customHeight="1" x14ac:dyDescent="0.25">
      <c r="B303" s="62"/>
      <c r="C303" s="63"/>
      <c r="D303" s="64"/>
      <c r="E303" s="63"/>
      <c r="F303" s="63"/>
      <c r="G303" s="65"/>
      <c r="H303" s="65"/>
      <c r="I303" s="65"/>
      <c r="J303" s="50"/>
    </row>
    <row r="304" spans="2:10" ht="15.75" customHeight="1" x14ac:dyDescent="0.25">
      <c r="B304" s="62"/>
      <c r="C304" s="63"/>
      <c r="D304" s="64"/>
      <c r="E304" s="63"/>
      <c r="F304" s="63"/>
      <c r="G304" s="65"/>
      <c r="H304" s="65"/>
      <c r="I304" s="65"/>
      <c r="J304" s="50"/>
    </row>
    <row r="305" spans="2:10" ht="15.75" customHeight="1" x14ac:dyDescent="0.25">
      <c r="B305" s="62"/>
      <c r="C305" s="63"/>
      <c r="D305" s="64"/>
      <c r="E305" s="63"/>
      <c r="F305" s="63"/>
      <c r="G305" s="65"/>
      <c r="H305" s="65"/>
      <c r="I305" s="65"/>
      <c r="J305" s="50"/>
    </row>
    <row r="306" spans="2:10" ht="15.75" customHeight="1" x14ac:dyDescent="0.25">
      <c r="B306" s="62"/>
      <c r="C306" s="63"/>
      <c r="D306" s="64"/>
      <c r="E306" s="63"/>
      <c r="F306" s="63"/>
      <c r="G306" s="65"/>
      <c r="H306" s="65"/>
      <c r="I306" s="65"/>
      <c r="J306" s="50"/>
    </row>
    <row r="307" spans="2:10" ht="15.75" customHeight="1" x14ac:dyDescent="0.25">
      <c r="B307" s="62"/>
      <c r="C307" s="63"/>
      <c r="D307" s="64"/>
      <c r="E307" s="63"/>
      <c r="F307" s="63"/>
      <c r="G307" s="65"/>
      <c r="H307" s="65"/>
      <c r="I307" s="65"/>
      <c r="J307" s="50"/>
    </row>
    <row r="308" spans="2:10" ht="15.75" customHeight="1" x14ac:dyDescent="0.25">
      <c r="B308" s="62"/>
      <c r="C308" s="63"/>
      <c r="D308" s="64"/>
      <c r="E308" s="63"/>
      <c r="F308" s="63"/>
      <c r="G308" s="65"/>
      <c r="H308" s="65"/>
      <c r="I308" s="65"/>
      <c r="J308" s="50"/>
    </row>
    <row r="309" spans="2:10" ht="15.75" customHeight="1" x14ac:dyDescent="0.25">
      <c r="B309" s="62"/>
      <c r="C309" s="63"/>
      <c r="D309" s="64"/>
      <c r="E309" s="63"/>
      <c r="F309" s="63"/>
      <c r="G309" s="65"/>
      <c r="H309" s="65"/>
      <c r="I309" s="65"/>
      <c r="J309" s="50"/>
    </row>
    <row r="310" spans="2:10" ht="15.75" customHeight="1" x14ac:dyDescent="0.25">
      <c r="B310" s="62"/>
      <c r="C310" s="63"/>
      <c r="D310" s="64"/>
      <c r="E310" s="63"/>
      <c r="F310" s="63"/>
      <c r="G310" s="65"/>
      <c r="H310" s="65"/>
      <c r="I310" s="65"/>
      <c r="J310" s="50"/>
    </row>
    <row r="311" spans="2:10" ht="15.75" customHeight="1" x14ac:dyDescent="0.25">
      <c r="B311" s="62"/>
      <c r="C311" s="63"/>
      <c r="D311" s="64"/>
      <c r="E311" s="63"/>
      <c r="F311" s="63"/>
      <c r="G311" s="65"/>
      <c r="H311" s="65"/>
      <c r="I311" s="65"/>
      <c r="J311" s="50"/>
    </row>
    <row r="312" spans="2:10" ht="15.75" customHeight="1" x14ac:dyDescent="0.25">
      <c r="B312" s="62"/>
      <c r="C312" s="63"/>
      <c r="D312" s="64"/>
      <c r="E312" s="63"/>
      <c r="F312" s="63"/>
      <c r="G312" s="65"/>
      <c r="H312" s="65"/>
      <c r="I312" s="65"/>
      <c r="J312" s="50"/>
    </row>
    <row r="313" spans="2:10" ht="15.75" customHeight="1" x14ac:dyDescent="0.25">
      <c r="B313" s="62"/>
      <c r="C313" s="63"/>
      <c r="D313" s="64"/>
      <c r="E313" s="63"/>
      <c r="F313" s="63"/>
      <c r="G313" s="65"/>
      <c r="H313" s="65"/>
      <c r="I313" s="65"/>
      <c r="J313" s="50"/>
    </row>
    <row r="314" spans="2:10" ht="15.75" customHeight="1" x14ac:dyDescent="0.25">
      <c r="B314" s="62"/>
      <c r="C314" s="63"/>
      <c r="D314" s="64"/>
      <c r="E314" s="63"/>
      <c r="F314" s="63"/>
      <c r="G314" s="65"/>
      <c r="H314" s="65"/>
      <c r="I314" s="65"/>
      <c r="J314" s="50"/>
    </row>
    <row r="315" spans="2:10" ht="15.75" customHeight="1" x14ac:dyDescent="0.25">
      <c r="B315" s="62"/>
      <c r="C315" s="63"/>
      <c r="D315" s="64"/>
      <c r="E315" s="63"/>
      <c r="F315" s="63"/>
      <c r="G315" s="65"/>
      <c r="H315" s="65"/>
      <c r="I315" s="65"/>
      <c r="J315" s="50"/>
    </row>
    <row r="316" spans="2:10" ht="15.75" customHeight="1" x14ac:dyDescent="0.25">
      <c r="B316" s="62"/>
      <c r="C316" s="63"/>
      <c r="D316" s="64"/>
      <c r="E316" s="63"/>
      <c r="F316" s="63"/>
      <c r="G316" s="65"/>
      <c r="H316" s="65"/>
      <c r="I316" s="65"/>
      <c r="J316" s="50"/>
    </row>
    <row r="317" spans="2:10" ht="15.75" customHeight="1" x14ac:dyDescent="0.25">
      <c r="B317" s="62"/>
      <c r="C317" s="63"/>
      <c r="D317" s="64"/>
      <c r="E317" s="63"/>
      <c r="F317" s="63"/>
      <c r="G317" s="65"/>
      <c r="H317" s="65"/>
      <c r="I317" s="65"/>
      <c r="J317" s="50"/>
    </row>
    <row r="318" spans="2:10" ht="15.75" customHeight="1" x14ac:dyDescent="0.25">
      <c r="B318" s="62"/>
      <c r="C318" s="63"/>
      <c r="D318" s="64"/>
      <c r="E318" s="63"/>
      <c r="F318" s="63"/>
      <c r="G318" s="65"/>
      <c r="H318" s="65"/>
      <c r="I318" s="65"/>
      <c r="J318" s="50"/>
    </row>
    <row r="319" spans="2:10" ht="15.75" customHeight="1" x14ac:dyDescent="0.25">
      <c r="B319" s="62"/>
      <c r="C319" s="63"/>
      <c r="D319" s="64"/>
      <c r="E319" s="63"/>
      <c r="F319" s="63"/>
      <c r="G319" s="65"/>
      <c r="H319" s="65"/>
      <c r="I319" s="65"/>
      <c r="J319" s="50"/>
    </row>
    <row r="320" spans="2:10" ht="15.75" customHeight="1" x14ac:dyDescent="0.25">
      <c r="B320" s="62"/>
      <c r="C320" s="63"/>
      <c r="D320" s="64"/>
      <c r="E320" s="63"/>
      <c r="F320" s="63"/>
      <c r="G320" s="65"/>
      <c r="H320" s="65"/>
      <c r="I320" s="65"/>
      <c r="J320" s="50"/>
    </row>
    <row r="321" spans="2:10" ht="15.75" customHeight="1" x14ac:dyDescent="0.25">
      <c r="B321" s="62"/>
      <c r="C321" s="63"/>
      <c r="D321" s="64"/>
      <c r="E321" s="63"/>
      <c r="F321" s="63"/>
      <c r="G321" s="65"/>
      <c r="H321" s="65"/>
      <c r="I321" s="65"/>
      <c r="J321" s="50"/>
    </row>
    <row r="322" spans="2:10" ht="15.75" customHeight="1" x14ac:dyDescent="0.25">
      <c r="B322" s="62"/>
      <c r="C322" s="63"/>
      <c r="D322" s="64"/>
      <c r="E322" s="63"/>
      <c r="F322" s="63"/>
      <c r="G322" s="65"/>
      <c r="H322" s="65"/>
      <c r="I322" s="65"/>
      <c r="J322" s="50"/>
    </row>
    <row r="323" spans="2:10" ht="15.75" customHeight="1" x14ac:dyDescent="0.25">
      <c r="B323" s="62"/>
      <c r="C323" s="63"/>
      <c r="D323" s="64"/>
      <c r="E323" s="63"/>
      <c r="F323" s="63"/>
      <c r="G323" s="65"/>
      <c r="H323" s="65"/>
      <c r="I323" s="65"/>
      <c r="J323" s="50"/>
    </row>
    <row r="324" spans="2:10" ht="15.75" customHeight="1" x14ac:dyDescent="0.25">
      <c r="B324" s="62"/>
      <c r="C324" s="63"/>
      <c r="D324" s="64"/>
      <c r="E324" s="63"/>
      <c r="F324" s="63"/>
      <c r="G324" s="65"/>
      <c r="H324" s="65"/>
      <c r="I324" s="65"/>
      <c r="J324" s="50"/>
    </row>
    <row r="325" spans="2:10" ht="15.75" customHeight="1" x14ac:dyDescent="0.25">
      <c r="B325" s="62"/>
      <c r="C325" s="63"/>
      <c r="D325" s="64"/>
      <c r="E325" s="63"/>
      <c r="F325" s="63"/>
      <c r="G325" s="65"/>
      <c r="H325" s="65"/>
      <c r="I325" s="65"/>
      <c r="J325" s="50"/>
    </row>
    <row r="326" spans="2:10" ht="15.75" customHeight="1" x14ac:dyDescent="0.25">
      <c r="B326" s="62"/>
      <c r="C326" s="63"/>
      <c r="D326" s="64"/>
      <c r="E326" s="63"/>
      <c r="F326" s="63"/>
      <c r="G326" s="65"/>
      <c r="H326" s="65"/>
      <c r="I326" s="65"/>
      <c r="J326" s="50"/>
    </row>
    <row r="327" spans="2:10" ht="15.75" customHeight="1" x14ac:dyDescent="0.25">
      <c r="B327" s="62"/>
      <c r="C327" s="63"/>
      <c r="D327" s="64"/>
      <c r="E327" s="63"/>
      <c r="F327" s="63"/>
      <c r="G327" s="65"/>
      <c r="H327" s="65"/>
      <c r="I327" s="65"/>
      <c r="J327" s="50"/>
    </row>
    <row r="328" spans="2:10" ht="15.75" customHeight="1" x14ac:dyDescent="0.25">
      <c r="B328" s="62"/>
      <c r="C328" s="63"/>
      <c r="D328" s="64"/>
      <c r="E328" s="63"/>
      <c r="F328" s="63"/>
      <c r="G328" s="65"/>
      <c r="H328" s="65"/>
      <c r="I328" s="65"/>
      <c r="J328" s="50"/>
    </row>
    <row r="329" spans="2:10" ht="15.75" customHeight="1" x14ac:dyDescent="0.25">
      <c r="B329" s="62"/>
      <c r="C329" s="63"/>
      <c r="D329" s="64"/>
      <c r="E329" s="63"/>
      <c r="F329" s="63"/>
      <c r="G329" s="65"/>
      <c r="H329" s="65"/>
      <c r="I329" s="65"/>
      <c r="J329" s="50"/>
    </row>
    <row r="330" spans="2:10" ht="15.75" customHeight="1" x14ac:dyDescent="0.25">
      <c r="B330" s="62"/>
      <c r="C330" s="63"/>
      <c r="D330" s="64"/>
      <c r="E330" s="63"/>
      <c r="F330" s="63"/>
      <c r="G330" s="65"/>
      <c r="H330" s="65"/>
      <c r="I330" s="65"/>
      <c r="J330" s="50"/>
    </row>
    <row r="331" spans="2:10" ht="15.75" customHeight="1" x14ac:dyDescent="0.25">
      <c r="B331" s="62"/>
      <c r="C331" s="63"/>
      <c r="D331" s="64"/>
      <c r="E331" s="63"/>
      <c r="F331" s="63"/>
      <c r="G331" s="65"/>
      <c r="H331" s="65"/>
      <c r="I331" s="65"/>
      <c r="J331" s="50"/>
    </row>
    <row r="332" spans="2:10" ht="15.75" customHeight="1" x14ac:dyDescent="0.25">
      <c r="B332" s="62"/>
      <c r="C332" s="63"/>
      <c r="D332" s="64"/>
      <c r="E332" s="63"/>
      <c r="F332" s="63"/>
      <c r="G332" s="65"/>
      <c r="H332" s="65"/>
      <c r="I332" s="65"/>
      <c r="J332" s="50"/>
    </row>
    <row r="333" spans="2:10" ht="15.75" customHeight="1" x14ac:dyDescent="0.25">
      <c r="B333" s="62"/>
      <c r="C333" s="63"/>
      <c r="D333" s="64"/>
      <c r="E333" s="63"/>
      <c r="F333" s="63"/>
      <c r="G333" s="65"/>
      <c r="H333" s="65"/>
      <c r="I333" s="65"/>
      <c r="J333" s="50"/>
    </row>
    <row r="334" spans="2:10" ht="15.75" customHeight="1" x14ac:dyDescent="0.25">
      <c r="B334" s="62"/>
      <c r="C334" s="63"/>
      <c r="D334" s="64"/>
      <c r="E334" s="63"/>
      <c r="F334" s="63"/>
      <c r="G334" s="65"/>
      <c r="H334" s="65"/>
      <c r="I334" s="65"/>
      <c r="J334" s="50"/>
    </row>
    <row r="335" spans="2:10" ht="15.75" customHeight="1" x14ac:dyDescent="0.25">
      <c r="B335" s="62"/>
      <c r="C335" s="63"/>
      <c r="D335" s="64"/>
      <c r="E335" s="63"/>
      <c r="F335" s="63"/>
      <c r="G335" s="65"/>
      <c r="H335" s="65"/>
      <c r="I335" s="65"/>
      <c r="J335" s="50"/>
    </row>
    <row r="336" spans="2:10" ht="15.75" customHeight="1" x14ac:dyDescent="0.25">
      <c r="B336" s="62"/>
      <c r="C336" s="63"/>
      <c r="D336" s="64"/>
      <c r="E336" s="63"/>
      <c r="F336" s="63"/>
      <c r="G336" s="65"/>
      <c r="H336" s="65"/>
      <c r="I336" s="65"/>
      <c r="J336" s="50"/>
    </row>
    <row r="337" spans="2:10" ht="15.75" customHeight="1" x14ac:dyDescent="0.25">
      <c r="B337" s="62"/>
      <c r="C337" s="63"/>
      <c r="D337" s="64"/>
      <c r="E337" s="63"/>
      <c r="F337" s="63"/>
      <c r="G337" s="65"/>
      <c r="H337" s="65"/>
      <c r="I337" s="65"/>
      <c r="J337" s="50"/>
    </row>
    <row r="338" spans="2:10" ht="15.75" customHeight="1" x14ac:dyDescent="0.25">
      <c r="B338" s="62"/>
      <c r="C338" s="63"/>
      <c r="D338" s="64"/>
      <c r="E338" s="63"/>
      <c r="F338" s="63"/>
      <c r="G338" s="65"/>
      <c r="H338" s="65"/>
      <c r="I338" s="65"/>
      <c r="J338" s="50"/>
    </row>
    <row r="339" spans="2:10" ht="15.75" customHeight="1" x14ac:dyDescent="0.25">
      <c r="B339" s="62"/>
      <c r="C339" s="63"/>
      <c r="D339" s="64"/>
      <c r="E339" s="63"/>
      <c r="F339" s="63"/>
      <c r="G339" s="65"/>
      <c r="H339" s="65"/>
      <c r="I339" s="65"/>
      <c r="J339" s="50"/>
    </row>
    <row r="340" spans="2:10" ht="15.75" customHeight="1" x14ac:dyDescent="0.25">
      <c r="B340" s="62"/>
      <c r="C340" s="63"/>
      <c r="D340" s="64"/>
      <c r="E340" s="63"/>
      <c r="F340" s="63"/>
      <c r="G340" s="65"/>
      <c r="H340" s="65"/>
      <c r="I340" s="65"/>
      <c r="J340" s="50"/>
    </row>
    <row r="341" spans="2:10" ht="15.75" customHeight="1" x14ac:dyDescent="0.25">
      <c r="B341" s="62"/>
      <c r="C341" s="63"/>
      <c r="D341" s="64"/>
      <c r="E341" s="63"/>
      <c r="F341" s="63"/>
      <c r="G341" s="65"/>
      <c r="H341" s="65"/>
      <c r="I341" s="65"/>
      <c r="J341" s="50"/>
    </row>
    <row r="342" spans="2:10" ht="15.75" customHeight="1" x14ac:dyDescent="0.25">
      <c r="B342" s="62"/>
      <c r="C342" s="63"/>
      <c r="D342" s="64"/>
      <c r="E342" s="63"/>
      <c r="F342" s="63"/>
      <c r="G342" s="65"/>
      <c r="H342" s="65"/>
      <c r="I342" s="65"/>
      <c r="J342" s="50"/>
    </row>
    <row r="343" spans="2:10" ht="15.75" customHeight="1" x14ac:dyDescent="0.25">
      <c r="B343" s="62"/>
      <c r="C343" s="63"/>
      <c r="D343" s="64"/>
      <c r="E343" s="63"/>
      <c r="F343" s="63"/>
      <c r="G343" s="65"/>
      <c r="H343" s="65"/>
      <c r="I343" s="65"/>
      <c r="J343" s="50"/>
    </row>
    <row r="344" spans="2:10" ht="15.75" customHeight="1" x14ac:dyDescent="0.25">
      <c r="B344" s="62"/>
      <c r="C344" s="63"/>
      <c r="D344" s="64"/>
      <c r="E344" s="63"/>
      <c r="F344" s="63"/>
      <c r="G344" s="65"/>
      <c r="H344" s="65"/>
      <c r="I344" s="65"/>
      <c r="J344" s="50"/>
    </row>
    <row r="345" spans="2:10" ht="15.75" customHeight="1" x14ac:dyDescent="0.25">
      <c r="B345" s="62"/>
      <c r="C345" s="63"/>
      <c r="D345" s="64"/>
      <c r="E345" s="63"/>
      <c r="F345" s="63"/>
      <c r="G345" s="65"/>
      <c r="H345" s="65"/>
      <c r="I345" s="65"/>
      <c r="J345" s="50"/>
    </row>
    <row r="346" spans="2:10" ht="15.75" customHeight="1" x14ac:dyDescent="0.25">
      <c r="B346" s="62"/>
      <c r="C346" s="63"/>
      <c r="D346" s="64"/>
      <c r="E346" s="63"/>
      <c r="F346" s="63"/>
      <c r="G346" s="65"/>
      <c r="H346" s="65"/>
      <c r="I346" s="65"/>
      <c r="J346" s="50"/>
    </row>
    <row r="347" spans="2:10" ht="15.75" customHeight="1" x14ac:dyDescent="0.25">
      <c r="B347" s="62"/>
      <c r="C347" s="63"/>
      <c r="D347" s="64"/>
      <c r="E347" s="63"/>
      <c r="F347" s="63"/>
      <c r="G347" s="65"/>
      <c r="H347" s="65"/>
      <c r="I347" s="65"/>
      <c r="J347" s="50"/>
    </row>
    <row r="348" spans="2:10" ht="15.75" customHeight="1" x14ac:dyDescent="0.25">
      <c r="B348" s="62"/>
      <c r="C348" s="63"/>
      <c r="D348" s="64"/>
      <c r="E348" s="63"/>
      <c r="F348" s="63"/>
      <c r="G348" s="65"/>
      <c r="H348" s="65"/>
      <c r="I348" s="65"/>
      <c r="J348" s="50"/>
    </row>
    <row r="349" spans="2:10" ht="15.75" customHeight="1" x14ac:dyDescent="0.25">
      <c r="B349" s="62"/>
      <c r="C349" s="63"/>
      <c r="D349" s="64"/>
      <c r="E349" s="63"/>
      <c r="F349" s="63"/>
      <c r="G349" s="65"/>
      <c r="H349" s="65"/>
      <c r="I349" s="65"/>
      <c r="J349" s="50"/>
    </row>
    <row r="350" spans="2:10" ht="15.75" customHeight="1" x14ac:dyDescent="0.25">
      <c r="B350" s="62"/>
      <c r="C350" s="63"/>
      <c r="D350" s="64"/>
      <c r="E350" s="63"/>
      <c r="F350" s="63"/>
      <c r="G350" s="65"/>
      <c r="H350" s="65"/>
      <c r="I350" s="65"/>
      <c r="J350" s="50"/>
    </row>
    <row r="351" spans="2:10" ht="15.75" customHeight="1" x14ac:dyDescent="0.25">
      <c r="B351" s="62"/>
      <c r="C351" s="63"/>
      <c r="D351" s="64"/>
      <c r="E351" s="63"/>
      <c r="F351" s="63"/>
      <c r="G351" s="65"/>
      <c r="H351" s="65"/>
      <c r="I351" s="65"/>
      <c r="J351" s="50"/>
    </row>
    <row r="352" spans="2:10" ht="15.75" customHeight="1" x14ac:dyDescent="0.25">
      <c r="B352" s="62"/>
      <c r="C352" s="63"/>
      <c r="D352" s="64"/>
      <c r="E352" s="63"/>
      <c r="F352" s="63"/>
      <c r="G352" s="65"/>
      <c r="H352" s="65"/>
      <c r="I352" s="65"/>
      <c r="J352" s="50"/>
    </row>
    <row r="353" spans="2:10" ht="15.75" customHeight="1" x14ac:dyDescent="0.25">
      <c r="B353" s="62"/>
      <c r="C353" s="63"/>
      <c r="D353" s="64"/>
      <c r="E353" s="63"/>
      <c r="F353" s="63"/>
      <c r="G353" s="65"/>
      <c r="H353" s="65"/>
      <c r="I353" s="65"/>
      <c r="J353" s="50"/>
    </row>
    <row r="354" spans="2:10" ht="15.75" customHeight="1" x14ac:dyDescent="0.25">
      <c r="B354" s="62"/>
      <c r="C354" s="63"/>
      <c r="D354" s="64"/>
      <c r="E354" s="63"/>
      <c r="F354" s="63"/>
      <c r="G354" s="65"/>
      <c r="H354" s="65"/>
      <c r="I354" s="65"/>
      <c r="J354" s="50"/>
    </row>
    <row r="355" spans="2:10" ht="15.75" customHeight="1" x14ac:dyDescent="0.25">
      <c r="B355" s="62"/>
      <c r="C355" s="63"/>
      <c r="D355" s="64"/>
      <c r="E355" s="63"/>
      <c r="F355" s="63"/>
      <c r="G355" s="65"/>
      <c r="H355" s="65"/>
      <c r="I355" s="65"/>
      <c r="J355" s="50"/>
    </row>
    <row r="356" spans="2:10" ht="15.75" customHeight="1" x14ac:dyDescent="0.25">
      <c r="B356" s="62"/>
      <c r="C356" s="63"/>
      <c r="D356" s="64"/>
      <c r="E356" s="63"/>
      <c r="F356" s="63"/>
      <c r="G356" s="65"/>
      <c r="H356" s="65"/>
      <c r="I356" s="65"/>
      <c r="J356" s="50"/>
    </row>
    <row r="357" spans="2:10" ht="15.75" customHeight="1" x14ac:dyDescent="0.25">
      <c r="B357" s="62"/>
      <c r="C357" s="63"/>
      <c r="D357" s="64"/>
      <c r="E357" s="63"/>
      <c r="F357" s="63"/>
      <c r="G357" s="65"/>
      <c r="H357" s="65"/>
      <c r="I357" s="65"/>
      <c r="J357" s="50"/>
    </row>
    <row r="358" spans="2:10" ht="15.75" customHeight="1" x14ac:dyDescent="0.25">
      <c r="B358" s="62"/>
      <c r="C358" s="63"/>
      <c r="D358" s="64"/>
      <c r="E358" s="63"/>
      <c r="F358" s="63"/>
      <c r="G358" s="65"/>
      <c r="H358" s="65"/>
      <c r="I358" s="65"/>
      <c r="J358" s="50"/>
    </row>
    <row r="359" spans="2:10" ht="15.75" customHeight="1" x14ac:dyDescent="0.25">
      <c r="B359" s="62"/>
      <c r="C359" s="63"/>
      <c r="D359" s="64"/>
      <c r="E359" s="63"/>
      <c r="F359" s="63"/>
      <c r="G359" s="65"/>
      <c r="H359" s="65"/>
      <c r="I359" s="65"/>
      <c r="J359" s="50"/>
    </row>
    <row r="360" spans="2:10" ht="15.75" customHeight="1" x14ac:dyDescent="0.25">
      <c r="B360" s="62"/>
      <c r="C360" s="63"/>
      <c r="D360" s="64"/>
      <c r="E360" s="63"/>
      <c r="F360" s="63"/>
      <c r="G360" s="65"/>
      <c r="H360" s="65"/>
      <c r="I360" s="65"/>
      <c r="J360" s="50"/>
    </row>
    <row r="361" spans="2:10" ht="15.75" customHeight="1" x14ac:dyDescent="0.25">
      <c r="B361" s="62"/>
      <c r="C361" s="63"/>
      <c r="D361" s="64"/>
      <c r="E361" s="63"/>
      <c r="F361" s="63"/>
      <c r="G361" s="65"/>
      <c r="H361" s="65"/>
      <c r="I361" s="65"/>
      <c r="J361" s="50"/>
    </row>
    <row r="362" spans="2:10" ht="15.75" customHeight="1" x14ac:dyDescent="0.25">
      <c r="B362" s="62"/>
      <c r="C362" s="63"/>
      <c r="D362" s="64"/>
      <c r="E362" s="63"/>
      <c r="F362" s="63"/>
      <c r="G362" s="65"/>
      <c r="H362" s="65"/>
      <c r="I362" s="65"/>
      <c r="J362" s="50"/>
    </row>
    <row r="363" spans="2:10" ht="15.75" customHeight="1" x14ac:dyDescent="0.25">
      <c r="B363" s="62"/>
      <c r="C363" s="63"/>
      <c r="D363" s="64"/>
      <c r="E363" s="63"/>
      <c r="F363" s="63"/>
      <c r="G363" s="65"/>
      <c r="H363" s="65"/>
      <c r="I363" s="65"/>
      <c r="J363" s="50"/>
    </row>
    <row r="364" spans="2:10" ht="15.75" customHeight="1" x14ac:dyDescent="0.25">
      <c r="B364" s="62"/>
      <c r="C364" s="63"/>
      <c r="D364" s="64"/>
      <c r="E364" s="63"/>
      <c r="F364" s="63"/>
      <c r="G364" s="65"/>
      <c r="H364" s="65"/>
      <c r="I364" s="65"/>
      <c r="J364" s="50"/>
    </row>
    <row r="365" spans="2:10" ht="15.75" customHeight="1" x14ac:dyDescent="0.25">
      <c r="B365" s="62"/>
      <c r="C365" s="63"/>
      <c r="D365" s="64"/>
      <c r="E365" s="63"/>
      <c r="F365" s="63"/>
      <c r="G365" s="65"/>
      <c r="H365" s="65"/>
      <c r="I365" s="65"/>
      <c r="J365" s="50"/>
    </row>
    <row r="366" spans="2:10" ht="15.75" customHeight="1" x14ac:dyDescent="0.25">
      <c r="B366" s="62"/>
      <c r="C366" s="63"/>
      <c r="D366" s="64"/>
      <c r="E366" s="63"/>
      <c r="F366" s="63"/>
      <c r="G366" s="65"/>
      <c r="H366" s="65"/>
      <c r="I366" s="65"/>
      <c r="J366" s="50"/>
    </row>
    <row r="367" spans="2:10" ht="15.75" customHeight="1" x14ac:dyDescent="0.25">
      <c r="B367" s="62"/>
      <c r="C367" s="63"/>
      <c r="D367" s="64"/>
      <c r="E367" s="63"/>
      <c r="F367" s="63"/>
      <c r="G367" s="65"/>
      <c r="H367" s="65"/>
      <c r="I367" s="65"/>
      <c r="J367" s="50"/>
    </row>
    <row r="368" spans="2:10" ht="15.75" customHeight="1" x14ac:dyDescent="0.25">
      <c r="B368" s="62"/>
      <c r="C368" s="63"/>
      <c r="D368" s="64"/>
      <c r="E368" s="63"/>
      <c r="F368" s="63"/>
      <c r="G368" s="65"/>
      <c r="H368" s="65"/>
      <c r="I368" s="65"/>
      <c r="J368" s="50"/>
    </row>
    <row r="369" spans="2:10" ht="15.75" customHeight="1" x14ac:dyDescent="0.25">
      <c r="B369" s="62"/>
      <c r="C369" s="63"/>
      <c r="D369" s="64"/>
      <c r="E369" s="63"/>
      <c r="F369" s="63"/>
      <c r="G369" s="65"/>
      <c r="H369" s="65"/>
      <c r="I369" s="65"/>
      <c r="J369" s="50"/>
    </row>
    <row r="370" spans="2:10" ht="15.75" customHeight="1" x14ac:dyDescent="0.25">
      <c r="B370" s="62"/>
      <c r="C370" s="63"/>
      <c r="D370" s="64"/>
      <c r="E370" s="63"/>
      <c r="F370" s="63"/>
      <c r="G370" s="65"/>
      <c r="H370" s="65"/>
      <c r="I370" s="65"/>
      <c r="J370" s="50"/>
    </row>
    <row r="371" spans="2:10" ht="15.75" customHeight="1" x14ac:dyDescent="0.25">
      <c r="B371" s="62"/>
      <c r="C371" s="63"/>
      <c r="D371" s="64"/>
      <c r="E371" s="63"/>
      <c r="F371" s="63"/>
      <c r="G371" s="65"/>
      <c r="H371" s="65"/>
      <c r="I371" s="65"/>
      <c r="J371" s="50"/>
    </row>
    <row r="372" spans="2:10" ht="15.75" customHeight="1" x14ac:dyDescent="0.25">
      <c r="B372" s="62"/>
      <c r="C372" s="63"/>
      <c r="D372" s="64"/>
      <c r="E372" s="63"/>
      <c r="F372" s="63"/>
      <c r="G372" s="65"/>
      <c r="H372" s="65"/>
      <c r="I372" s="65"/>
      <c r="J372" s="50"/>
    </row>
    <row r="373" spans="2:10" ht="15.75" customHeight="1" x14ac:dyDescent="0.25">
      <c r="B373" s="62"/>
      <c r="C373" s="63"/>
      <c r="D373" s="64"/>
      <c r="E373" s="63"/>
      <c r="F373" s="63"/>
      <c r="G373" s="65"/>
      <c r="H373" s="65"/>
      <c r="I373" s="65"/>
      <c r="J373" s="50"/>
    </row>
    <row r="374" spans="2:10" ht="15.75" customHeight="1" x14ac:dyDescent="0.25">
      <c r="B374" s="62"/>
      <c r="C374" s="63"/>
      <c r="D374" s="64"/>
      <c r="E374" s="63"/>
      <c r="F374" s="63"/>
      <c r="G374" s="65"/>
      <c r="H374" s="65"/>
      <c r="I374" s="65"/>
      <c r="J374" s="50"/>
    </row>
    <row r="375" spans="2:10" ht="15.75" customHeight="1" x14ac:dyDescent="0.25">
      <c r="B375" s="62"/>
      <c r="C375" s="63"/>
      <c r="D375" s="64"/>
      <c r="E375" s="63"/>
      <c r="F375" s="63"/>
      <c r="G375" s="65"/>
      <c r="H375" s="65"/>
      <c r="I375" s="65"/>
      <c r="J375" s="50"/>
    </row>
    <row r="376" spans="2:10" ht="15.75" customHeight="1" x14ac:dyDescent="0.25">
      <c r="B376" s="62"/>
      <c r="C376" s="63"/>
      <c r="D376" s="64"/>
      <c r="E376" s="63"/>
      <c r="F376" s="63"/>
      <c r="G376" s="65"/>
      <c r="H376" s="65"/>
      <c r="I376" s="65"/>
      <c r="J376" s="50"/>
    </row>
    <row r="377" spans="2:10" ht="15.75" customHeight="1" x14ac:dyDescent="0.25">
      <c r="B377" s="62"/>
      <c r="C377" s="63"/>
      <c r="D377" s="64"/>
      <c r="E377" s="63"/>
      <c r="F377" s="63"/>
      <c r="G377" s="65"/>
      <c r="H377" s="65"/>
      <c r="I377" s="65"/>
      <c r="J377" s="50"/>
    </row>
    <row r="378" spans="2:10" ht="15.75" customHeight="1" x14ac:dyDescent="0.25">
      <c r="B378" s="62"/>
      <c r="C378" s="63"/>
      <c r="D378" s="64"/>
      <c r="E378" s="63"/>
      <c r="F378" s="63"/>
      <c r="G378" s="65"/>
      <c r="H378" s="65"/>
      <c r="I378" s="65"/>
      <c r="J378" s="50"/>
    </row>
    <row r="379" spans="2:10" ht="15.75" customHeight="1" x14ac:dyDescent="0.25">
      <c r="B379" s="62"/>
      <c r="C379" s="63"/>
      <c r="D379" s="64"/>
      <c r="E379" s="63"/>
      <c r="F379" s="63"/>
      <c r="G379" s="65"/>
      <c r="H379" s="65"/>
      <c r="I379" s="65"/>
      <c r="J379" s="50"/>
    </row>
    <row r="380" spans="2:10" ht="15.75" customHeight="1" x14ac:dyDescent="0.25">
      <c r="B380" s="62"/>
      <c r="C380" s="63"/>
      <c r="D380" s="64"/>
      <c r="E380" s="63"/>
      <c r="F380" s="63"/>
      <c r="G380" s="65"/>
      <c r="H380" s="65"/>
      <c r="I380" s="65"/>
      <c r="J380" s="50"/>
    </row>
    <row r="381" spans="2:10" ht="15.75" customHeight="1" x14ac:dyDescent="0.25">
      <c r="B381" s="62"/>
      <c r="C381" s="63"/>
      <c r="D381" s="64"/>
      <c r="E381" s="63"/>
      <c r="F381" s="63"/>
      <c r="G381" s="65"/>
      <c r="H381" s="65"/>
      <c r="I381" s="65"/>
      <c r="J381" s="50"/>
    </row>
    <row r="382" spans="2:10" ht="15.75" customHeight="1" x14ac:dyDescent="0.25">
      <c r="B382" s="62"/>
      <c r="C382" s="63"/>
      <c r="D382" s="64"/>
      <c r="E382" s="63"/>
      <c r="F382" s="63"/>
      <c r="G382" s="65"/>
      <c r="H382" s="65"/>
      <c r="I382" s="65"/>
      <c r="J382" s="50"/>
    </row>
    <row r="383" spans="2:10" ht="15.75" customHeight="1" x14ac:dyDescent="0.25">
      <c r="B383" s="62"/>
      <c r="C383" s="63"/>
      <c r="D383" s="64"/>
      <c r="E383" s="63"/>
      <c r="F383" s="63"/>
      <c r="G383" s="65"/>
      <c r="H383" s="65"/>
      <c r="I383" s="65"/>
      <c r="J383" s="50"/>
    </row>
    <row r="384" spans="2:10" ht="15.75" customHeight="1" x14ac:dyDescent="0.25">
      <c r="B384" s="62"/>
      <c r="C384" s="63"/>
      <c r="D384" s="64"/>
      <c r="E384" s="63"/>
      <c r="F384" s="63"/>
      <c r="G384" s="65"/>
      <c r="H384" s="65"/>
      <c r="I384" s="65"/>
      <c r="J384" s="50"/>
    </row>
    <row r="385" spans="2:10" ht="15.75" customHeight="1" x14ac:dyDescent="0.25">
      <c r="B385" s="62"/>
      <c r="C385" s="63"/>
      <c r="D385" s="64"/>
      <c r="E385" s="63"/>
      <c r="F385" s="63"/>
      <c r="G385" s="65"/>
      <c r="H385" s="65"/>
      <c r="I385" s="65"/>
      <c r="J385" s="50"/>
    </row>
    <row r="386" spans="2:10" ht="15.75" customHeight="1" x14ac:dyDescent="0.25">
      <c r="B386" s="62"/>
      <c r="C386" s="63"/>
      <c r="D386" s="64"/>
      <c r="E386" s="63"/>
      <c r="F386" s="63"/>
      <c r="G386" s="65"/>
      <c r="H386" s="65"/>
      <c r="I386" s="65"/>
      <c r="J386" s="50"/>
    </row>
    <row r="387" spans="2:10" ht="15.75" customHeight="1" x14ac:dyDescent="0.25">
      <c r="B387" s="62"/>
      <c r="C387" s="63"/>
      <c r="D387" s="64"/>
      <c r="E387" s="63"/>
      <c r="F387" s="63"/>
      <c r="G387" s="65"/>
      <c r="H387" s="65"/>
      <c r="I387" s="65"/>
      <c r="J387" s="50"/>
    </row>
    <row r="388" spans="2:10" ht="15.75" customHeight="1" x14ac:dyDescent="0.25">
      <c r="B388" s="62"/>
      <c r="C388" s="63"/>
      <c r="D388" s="64"/>
      <c r="E388" s="63"/>
      <c r="F388" s="63"/>
      <c r="G388" s="65"/>
      <c r="H388" s="65"/>
      <c r="I388" s="65"/>
      <c r="J388" s="50"/>
    </row>
    <row r="389" spans="2:10" ht="15.75" customHeight="1" x14ac:dyDescent="0.25">
      <c r="B389" s="62"/>
      <c r="C389" s="63"/>
      <c r="D389" s="64"/>
      <c r="E389" s="63"/>
      <c r="F389" s="63"/>
      <c r="G389" s="65"/>
      <c r="H389" s="65"/>
      <c r="I389" s="65"/>
      <c r="J389" s="50"/>
    </row>
    <row r="390" spans="2:10" ht="15.75" customHeight="1" x14ac:dyDescent="0.25">
      <c r="B390" s="62"/>
      <c r="C390" s="63"/>
      <c r="D390" s="64"/>
      <c r="E390" s="63"/>
      <c r="F390" s="63"/>
      <c r="G390" s="65"/>
      <c r="H390" s="65"/>
      <c r="I390" s="65"/>
      <c r="J390" s="50"/>
    </row>
    <row r="391" spans="2:10" ht="15.75" customHeight="1" x14ac:dyDescent="0.25">
      <c r="B391" s="62"/>
      <c r="C391" s="63"/>
      <c r="D391" s="64"/>
      <c r="E391" s="63"/>
      <c r="F391" s="63"/>
      <c r="G391" s="65"/>
      <c r="H391" s="65"/>
      <c r="I391" s="65"/>
      <c r="J391" s="50"/>
    </row>
    <row r="392" spans="2:10" ht="15.75" customHeight="1" x14ac:dyDescent="0.25">
      <c r="B392" s="62"/>
      <c r="C392" s="63"/>
      <c r="D392" s="64"/>
      <c r="E392" s="63"/>
      <c r="F392" s="63"/>
      <c r="G392" s="65"/>
      <c r="H392" s="65"/>
      <c r="I392" s="65"/>
      <c r="J392" s="50"/>
    </row>
    <row r="393" spans="2:10" ht="15.75" customHeight="1" x14ac:dyDescent="0.25">
      <c r="B393" s="62"/>
      <c r="C393" s="63"/>
      <c r="D393" s="64"/>
      <c r="E393" s="63"/>
      <c r="F393" s="63"/>
      <c r="G393" s="65"/>
      <c r="H393" s="65"/>
      <c r="I393" s="65"/>
      <c r="J393" s="50"/>
    </row>
    <row r="394" spans="2:10" ht="15.75" customHeight="1" x14ac:dyDescent="0.25">
      <c r="B394" s="62"/>
      <c r="C394" s="63"/>
      <c r="D394" s="64"/>
      <c r="E394" s="63"/>
      <c r="F394" s="63"/>
      <c r="G394" s="65"/>
      <c r="H394" s="65"/>
      <c r="I394" s="65"/>
      <c r="J394" s="50"/>
    </row>
    <row r="395" spans="2:10" ht="15.75" customHeight="1" x14ac:dyDescent="0.25">
      <c r="B395" s="62"/>
      <c r="C395" s="63"/>
      <c r="D395" s="64"/>
      <c r="E395" s="63"/>
      <c r="F395" s="63"/>
      <c r="G395" s="65"/>
      <c r="H395" s="65"/>
      <c r="I395" s="65"/>
      <c r="J395" s="50"/>
    </row>
    <row r="396" spans="2:10" ht="15.75" customHeight="1" x14ac:dyDescent="0.25">
      <c r="B396" s="62"/>
      <c r="C396" s="63"/>
      <c r="D396" s="64"/>
      <c r="E396" s="63"/>
      <c r="F396" s="63"/>
      <c r="G396" s="65"/>
      <c r="H396" s="65"/>
      <c r="I396" s="65"/>
      <c r="J396" s="50"/>
    </row>
    <row r="397" spans="2:10" ht="15.75" customHeight="1" x14ac:dyDescent="0.25">
      <c r="B397" s="62"/>
      <c r="C397" s="63"/>
      <c r="D397" s="64"/>
      <c r="E397" s="63"/>
      <c r="F397" s="63"/>
      <c r="G397" s="65"/>
      <c r="H397" s="65"/>
      <c r="I397" s="65"/>
      <c r="J397" s="50"/>
    </row>
    <row r="398" spans="2:10" ht="15.75" customHeight="1" x14ac:dyDescent="0.25">
      <c r="B398" s="62"/>
      <c r="C398" s="63"/>
      <c r="D398" s="64"/>
      <c r="E398" s="63"/>
      <c r="F398" s="63"/>
      <c r="G398" s="65"/>
      <c r="H398" s="65"/>
      <c r="I398" s="65"/>
      <c r="J398" s="50"/>
    </row>
    <row r="399" spans="2:10" ht="15.75" customHeight="1" x14ac:dyDescent="0.25">
      <c r="B399" s="62"/>
      <c r="C399" s="63"/>
      <c r="D399" s="64"/>
      <c r="E399" s="63"/>
      <c r="F399" s="63"/>
      <c r="G399" s="65"/>
      <c r="H399" s="65"/>
      <c r="I399" s="65"/>
      <c r="J399" s="50"/>
    </row>
    <row r="400" spans="2:10" ht="15.75" customHeight="1" x14ac:dyDescent="0.25">
      <c r="B400" s="62"/>
      <c r="C400" s="63"/>
      <c r="D400" s="64"/>
      <c r="E400" s="63"/>
      <c r="F400" s="63"/>
      <c r="G400" s="65"/>
      <c r="H400" s="65"/>
      <c r="I400" s="65"/>
      <c r="J400" s="50"/>
    </row>
    <row r="401" spans="2:10" ht="15.75" customHeight="1" x14ac:dyDescent="0.25">
      <c r="B401" s="62"/>
      <c r="C401" s="63"/>
      <c r="D401" s="64"/>
      <c r="E401" s="63"/>
      <c r="F401" s="63"/>
      <c r="G401" s="65"/>
      <c r="H401" s="65"/>
      <c r="I401" s="65"/>
      <c r="J401" s="50"/>
    </row>
    <row r="402" spans="2:10" ht="15.75" customHeight="1" x14ac:dyDescent="0.25">
      <c r="B402" s="62"/>
      <c r="C402" s="63"/>
      <c r="D402" s="64"/>
      <c r="E402" s="63"/>
      <c r="F402" s="63"/>
      <c r="G402" s="65"/>
      <c r="H402" s="65"/>
      <c r="I402" s="65"/>
      <c r="J402" s="50"/>
    </row>
    <row r="403" spans="2:10" ht="15.75" customHeight="1" x14ac:dyDescent="0.25">
      <c r="B403" s="62"/>
      <c r="C403" s="63"/>
      <c r="D403" s="64"/>
      <c r="E403" s="63"/>
      <c r="F403" s="63"/>
      <c r="G403" s="65"/>
      <c r="H403" s="65"/>
      <c r="I403" s="65"/>
      <c r="J403" s="50"/>
    </row>
    <row r="404" spans="2:10" ht="15.75" customHeight="1" x14ac:dyDescent="0.25">
      <c r="B404" s="62"/>
      <c r="C404" s="63"/>
      <c r="D404" s="64"/>
      <c r="E404" s="63"/>
      <c r="F404" s="63"/>
      <c r="G404" s="65"/>
      <c r="H404" s="65"/>
      <c r="I404" s="65"/>
      <c r="J404" s="50"/>
    </row>
    <row r="405" spans="2:10" ht="15.75" customHeight="1" x14ac:dyDescent="0.25">
      <c r="B405" s="62"/>
      <c r="C405" s="63"/>
      <c r="D405" s="64"/>
      <c r="E405" s="63"/>
      <c r="F405" s="63"/>
      <c r="G405" s="65"/>
      <c r="H405" s="65"/>
      <c r="I405" s="65"/>
      <c r="J405" s="50"/>
    </row>
    <row r="406" spans="2:10" ht="15.75" customHeight="1" x14ac:dyDescent="0.25">
      <c r="B406" s="62"/>
      <c r="C406" s="63"/>
      <c r="D406" s="64"/>
      <c r="E406" s="63"/>
      <c r="F406" s="63"/>
      <c r="G406" s="65"/>
      <c r="H406" s="65"/>
      <c r="I406" s="65"/>
      <c r="J406" s="50"/>
    </row>
    <row r="407" spans="2:10" ht="15.75" customHeight="1" x14ac:dyDescent="0.25">
      <c r="B407" s="62"/>
      <c r="C407" s="63"/>
      <c r="D407" s="64"/>
      <c r="E407" s="63"/>
      <c r="F407" s="63"/>
      <c r="G407" s="65"/>
      <c r="H407" s="65"/>
      <c r="I407" s="65"/>
      <c r="J407" s="50"/>
    </row>
    <row r="408" spans="2:10" ht="15.75" customHeight="1" x14ac:dyDescent="0.25">
      <c r="B408" s="62"/>
      <c r="C408" s="63"/>
      <c r="D408" s="64"/>
      <c r="E408" s="63"/>
      <c r="F408" s="63"/>
      <c r="G408" s="65"/>
      <c r="H408" s="65"/>
      <c r="I408" s="65"/>
      <c r="J408" s="50"/>
    </row>
    <row r="409" spans="2:10" ht="15.75" customHeight="1" x14ac:dyDescent="0.25">
      <c r="B409" s="62"/>
      <c r="C409" s="63"/>
      <c r="D409" s="64"/>
      <c r="E409" s="63"/>
      <c r="F409" s="63"/>
      <c r="G409" s="65"/>
      <c r="H409" s="65"/>
      <c r="I409" s="65"/>
      <c r="J409" s="50"/>
    </row>
    <row r="410" spans="2:10" ht="15.75" customHeight="1" x14ac:dyDescent="0.25">
      <c r="B410" s="62"/>
      <c r="C410" s="63"/>
      <c r="D410" s="64"/>
      <c r="E410" s="63"/>
      <c r="F410" s="63"/>
      <c r="G410" s="65"/>
      <c r="H410" s="65"/>
      <c r="I410" s="65"/>
      <c r="J410" s="50"/>
    </row>
    <row r="411" spans="2:10" ht="15.75" customHeight="1" x14ac:dyDescent="0.25">
      <c r="B411" s="62"/>
      <c r="C411" s="63"/>
      <c r="D411" s="64"/>
      <c r="E411" s="63"/>
      <c r="F411" s="63"/>
      <c r="G411" s="65"/>
      <c r="H411" s="65"/>
      <c r="I411" s="65"/>
      <c r="J411" s="50"/>
    </row>
    <row r="412" spans="2:10" ht="15.75" customHeight="1" x14ac:dyDescent="0.25">
      <c r="B412" s="62"/>
      <c r="C412" s="63"/>
      <c r="D412" s="64"/>
      <c r="E412" s="63"/>
      <c r="F412" s="63"/>
      <c r="G412" s="65"/>
      <c r="H412" s="65"/>
      <c r="I412" s="65"/>
      <c r="J412" s="50"/>
    </row>
    <row r="413" spans="2:10" ht="15.75" customHeight="1" x14ac:dyDescent="0.25">
      <c r="B413" s="62"/>
      <c r="C413" s="63"/>
      <c r="D413" s="64"/>
      <c r="E413" s="63"/>
      <c r="F413" s="63"/>
      <c r="G413" s="65"/>
      <c r="H413" s="65"/>
      <c r="I413" s="65"/>
      <c r="J413" s="50"/>
    </row>
    <row r="414" spans="2:10" ht="15.75" customHeight="1" x14ac:dyDescent="0.25">
      <c r="B414" s="62"/>
      <c r="C414" s="63"/>
      <c r="D414" s="64"/>
      <c r="E414" s="63"/>
      <c r="F414" s="63"/>
      <c r="G414" s="65"/>
      <c r="H414" s="65"/>
      <c r="I414" s="65"/>
      <c r="J414" s="50"/>
    </row>
    <row r="415" spans="2:10" ht="15.75" customHeight="1" x14ac:dyDescent="0.25">
      <c r="B415" s="62"/>
      <c r="C415" s="63"/>
      <c r="D415" s="64"/>
      <c r="E415" s="63"/>
      <c r="F415" s="63"/>
      <c r="G415" s="65"/>
      <c r="H415" s="65"/>
      <c r="I415" s="65"/>
      <c r="J415" s="50"/>
    </row>
    <row r="416" spans="2:10" ht="15.75" customHeight="1" x14ac:dyDescent="0.25">
      <c r="B416" s="62"/>
      <c r="C416" s="63"/>
      <c r="D416" s="64"/>
      <c r="E416" s="63"/>
      <c r="F416" s="63"/>
      <c r="G416" s="65"/>
      <c r="H416" s="65"/>
      <c r="I416" s="65"/>
      <c r="J416" s="50"/>
    </row>
    <row r="417" spans="2:10" ht="15.75" customHeight="1" x14ac:dyDescent="0.25">
      <c r="B417" s="62"/>
      <c r="C417" s="63"/>
      <c r="D417" s="64"/>
      <c r="E417" s="63"/>
      <c r="F417" s="63"/>
      <c r="G417" s="65"/>
      <c r="H417" s="65"/>
      <c r="I417" s="65"/>
      <c r="J417" s="50"/>
    </row>
    <row r="418" spans="2:10" ht="15.75" customHeight="1" x14ac:dyDescent="0.25">
      <c r="B418" s="62"/>
      <c r="C418" s="63"/>
      <c r="D418" s="64"/>
      <c r="E418" s="63"/>
      <c r="F418" s="63"/>
      <c r="G418" s="65"/>
      <c r="H418" s="65"/>
      <c r="I418" s="65"/>
      <c r="J418" s="50"/>
    </row>
    <row r="419" spans="2:10" ht="15.75" customHeight="1" x14ac:dyDescent="0.25">
      <c r="B419" s="62"/>
      <c r="C419" s="63"/>
      <c r="D419" s="64"/>
      <c r="E419" s="63"/>
      <c r="F419" s="63"/>
      <c r="G419" s="65"/>
      <c r="H419" s="65"/>
      <c r="I419" s="65"/>
      <c r="J419" s="50"/>
    </row>
    <row r="420" spans="2:10" ht="15.75" customHeight="1" x14ac:dyDescent="0.25">
      <c r="B420" s="62"/>
      <c r="C420" s="63"/>
      <c r="D420" s="64"/>
      <c r="E420" s="63"/>
      <c r="F420" s="63"/>
      <c r="G420" s="65"/>
      <c r="H420" s="65"/>
      <c r="I420" s="65"/>
      <c r="J420" s="50"/>
    </row>
    <row r="421" spans="2:10" ht="15.75" customHeight="1" x14ac:dyDescent="0.25">
      <c r="B421" s="62"/>
      <c r="C421" s="63"/>
      <c r="D421" s="64"/>
      <c r="E421" s="63"/>
      <c r="F421" s="63"/>
      <c r="G421" s="65"/>
      <c r="H421" s="65"/>
      <c r="I421" s="65"/>
      <c r="J421" s="50"/>
    </row>
    <row r="422" spans="2:10" ht="15.75" customHeight="1" x14ac:dyDescent="0.25">
      <c r="B422" s="62"/>
      <c r="C422" s="63"/>
      <c r="D422" s="64"/>
      <c r="E422" s="63"/>
      <c r="F422" s="63"/>
      <c r="G422" s="65"/>
      <c r="H422" s="65"/>
      <c r="I422" s="65"/>
      <c r="J422" s="50"/>
    </row>
    <row r="423" spans="2:10" ht="15.75" customHeight="1" x14ac:dyDescent="0.25">
      <c r="B423" s="62"/>
      <c r="C423" s="63"/>
      <c r="D423" s="64"/>
      <c r="E423" s="63"/>
      <c r="F423" s="63"/>
      <c r="G423" s="65"/>
      <c r="H423" s="65"/>
      <c r="I423" s="65"/>
      <c r="J423" s="50"/>
    </row>
    <row r="424" spans="2:10" ht="15.75" customHeight="1" x14ac:dyDescent="0.25">
      <c r="B424" s="62"/>
      <c r="C424" s="63"/>
      <c r="D424" s="64"/>
      <c r="E424" s="63"/>
      <c r="F424" s="63"/>
      <c r="G424" s="65"/>
      <c r="H424" s="65"/>
      <c r="I424" s="65"/>
      <c r="J424" s="50"/>
    </row>
    <row r="425" spans="2:10" ht="15.75" customHeight="1" x14ac:dyDescent="0.25">
      <c r="B425" s="62"/>
      <c r="C425" s="63"/>
      <c r="D425" s="64"/>
      <c r="E425" s="63"/>
      <c r="F425" s="63"/>
      <c r="G425" s="65"/>
      <c r="H425" s="65"/>
      <c r="I425" s="65"/>
      <c r="J425" s="50"/>
    </row>
    <row r="426" spans="2:10" ht="15.75" customHeight="1" x14ac:dyDescent="0.25">
      <c r="B426" s="62"/>
      <c r="C426" s="63"/>
      <c r="D426" s="64"/>
      <c r="E426" s="63"/>
      <c r="F426" s="63"/>
      <c r="G426" s="65"/>
      <c r="H426" s="65"/>
      <c r="I426" s="65"/>
      <c r="J426" s="50"/>
    </row>
    <row r="427" spans="2:10" ht="15.75" customHeight="1" x14ac:dyDescent="0.25">
      <c r="B427" s="62"/>
      <c r="C427" s="63"/>
      <c r="D427" s="64"/>
      <c r="E427" s="63"/>
      <c r="F427" s="63"/>
      <c r="G427" s="65"/>
      <c r="H427" s="65"/>
      <c r="I427" s="65"/>
      <c r="J427" s="50"/>
    </row>
    <row r="428" spans="2:10" ht="15.75" customHeight="1" x14ac:dyDescent="0.25">
      <c r="B428" s="62"/>
      <c r="C428" s="63"/>
      <c r="D428" s="64"/>
      <c r="E428" s="63"/>
      <c r="F428" s="63"/>
      <c r="G428" s="65"/>
      <c r="H428" s="65"/>
      <c r="I428" s="65"/>
      <c r="J428" s="50"/>
    </row>
    <row r="429" spans="2:10" ht="15.75" customHeight="1" x14ac:dyDescent="0.25">
      <c r="B429" s="62"/>
      <c r="C429" s="63"/>
      <c r="D429" s="64"/>
      <c r="E429" s="63"/>
      <c r="F429" s="63"/>
      <c r="G429" s="65"/>
      <c r="H429" s="65"/>
      <c r="I429" s="65"/>
      <c r="J429" s="50"/>
    </row>
    <row r="430" spans="2:10" ht="15.75" customHeight="1" x14ac:dyDescent="0.25">
      <c r="B430" s="62"/>
      <c r="C430" s="63"/>
      <c r="D430" s="64"/>
      <c r="E430" s="63"/>
      <c r="F430" s="63"/>
      <c r="G430" s="65"/>
      <c r="H430" s="65"/>
      <c r="I430" s="65"/>
      <c r="J430" s="50"/>
    </row>
    <row r="431" spans="2:10" ht="15.75" customHeight="1" x14ac:dyDescent="0.25">
      <c r="B431" s="62"/>
      <c r="C431" s="63"/>
      <c r="D431" s="64"/>
      <c r="E431" s="63"/>
      <c r="F431" s="63"/>
      <c r="G431" s="65"/>
      <c r="H431" s="65"/>
      <c r="I431" s="65"/>
      <c r="J431" s="50"/>
    </row>
    <row r="432" spans="2:10" ht="15.75" customHeight="1" x14ac:dyDescent="0.25">
      <c r="B432" s="62"/>
      <c r="C432" s="63"/>
      <c r="D432" s="64"/>
      <c r="E432" s="63"/>
      <c r="F432" s="63"/>
      <c r="G432" s="65"/>
      <c r="H432" s="65"/>
      <c r="I432" s="65"/>
      <c r="J432" s="50"/>
    </row>
    <row r="433" spans="2:10" ht="15.75" customHeight="1" x14ac:dyDescent="0.25">
      <c r="B433" s="62"/>
      <c r="C433" s="63"/>
      <c r="D433" s="64"/>
      <c r="E433" s="63"/>
      <c r="F433" s="63"/>
      <c r="G433" s="65"/>
      <c r="H433" s="65"/>
      <c r="I433" s="65"/>
      <c r="J433" s="50"/>
    </row>
    <row r="434" spans="2:10" ht="15.75" customHeight="1" x14ac:dyDescent="0.25">
      <c r="B434" s="62"/>
      <c r="C434" s="63"/>
      <c r="D434" s="64"/>
      <c r="E434" s="63"/>
      <c r="F434" s="63"/>
      <c r="G434" s="65"/>
      <c r="H434" s="65"/>
      <c r="I434" s="65"/>
      <c r="J434" s="50"/>
    </row>
    <row r="435" spans="2:10" ht="15.75" customHeight="1" x14ac:dyDescent="0.25">
      <c r="B435" s="62"/>
      <c r="C435" s="63"/>
      <c r="D435" s="64"/>
      <c r="E435" s="63"/>
      <c r="F435" s="63"/>
      <c r="G435" s="65"/>
      <c r="H435" s="65"/>
      <c r="I435" s="65"/>
      <c r="J435" s="50"/>
    </row>
    <row r="436" spans="2:10" ht="15.75" customHeight="1" x14ac:dyDescent="0.25">
      <c r="B436" s="62"/>
      <c r="C436" s="63"/>
      <c r="D436" s="64"/>
      <c r="E436" s="63"/>
      <c r="F436" s="63"/>
      <c r="G436" s="65"/>
      <c r="H436" s="65"/>
      <c r="I436" s="65"/>
      <c r="J436" s="50"/>
    </row>
    <row r="437" spans="2:10" ht="15.75" customHeight="1" x14ac:dyDescent="0.25">
      <c r="B437" s="62"/>
      <c r="C437" s="63"/>
      <c r="D437" s="64"/>
      <c r="E437" s="63"/>
      <c r="F437" s="63"/>
      <c r="G437" s="65"/>
      <c r="H437" s="65"/>
      <c r="I437" s="65"/>
      <c r="J437" s="50"/>
    </row>
    <row r="438" spans="2:10" ht="15.75" customHeight="1" x14ac:dyDescent="0.25">
      <c r="B438" s="62"/>
      <c r="C438" s="63"/>
      <c r="D438" s="64"/>
      <c r="E438" s="63"/>
      <c r="F438" s="63"/>
      <c r="G438" s="65"/>
      <c r="H438" s="65"/>
      <c r="I438" s="65"/>
      <c r="J438" s="50"/>
    </row>
    <row r="439" spans="2:10" ht="15.75" customHeight="1" x14ac:dyDescent="0.25">
      <c r="B439" s="62"/>
      <c r="C439" s="63"/>
      <c r="D439" s="64"/>
      <c r="E439" s="63"/>
      <c r="F439" s="63"/>
      <c r="G439" s="65"/>
      <c r="H439" s="65"/>
      <c r="I439" s="65"/>
      <c r="J439" s="50"/>
    </row>
    <row r="440" spans="2:10" ht="15.75" customHeight="1" x14ac:dyDescent="0.25">
      <c r="B440" s="62"/>
      <c r="C440" s="63"/>
      <c r="D440" s="64"/>
      <c r="E440" s="63"/>
      <c r="F440" s="63"/>
      <c r="G440" s="65"/>
      <c r="H440" s="65"/>
      <c r="I440" s="65"/>
      <c r="J440" s="50"/>
    </row>
    <row r="441" spans="2:10" ht="15.75" customHeight="1" x14ac:dyDescent="0.25">
      <c r="B441" s="62"/>
      <c r="C441" s="63"/>
      <c r="D441" s="64"/>
      <c r="E441" s="63"/>
      <c r="F441" s="63"/>
      <c r="G441" s="65"/>
      <c r="H441" s="65"/>
      <c r="I441" s="65"/>
      <c r="J441" s="50"/>
    </row>
    <row r="442" spans="2:10" ht="15.75" customHeight="1" x14ac:dyDescent="0.25">
      <c r="B442" s="62"/>
      <c r="C442" s="63"/>
      <c r="D442" s="64"/>
      <c r="E442" s="63"/>
      <c r="F442" s="63"/>
      <c r="G442" s="65"/>
      <c r="H442" s="65"/>
      <c r="I442" s="65"/>
      <c r="J442" s="50"/>
    </row>
    <row r="443" spans="2:10" ht="15.75" customHeight="1" x14ac:dyDescent="0.25">
      <c r="B443" s="62"/>
      <c r="C443" s="63"/>
      <c r="D443" s="64"/>
      <c r="E443" s="63"/>
      <c r="F443" s="63"/>
      <c r="G443" s="65"/>
      <c r="H443" s="65"/>
      <c r="I443" s="65"/>
      <c r="J443" s="50"/>
    </row>
    <row r="444" spans="2:10" ht="15.75" customHeight="1" x14ac:dyDescent="0.25">
      <c r="B444" s="62"/>
      <c r="C444" s="63"/>
      <c r="D444" s="64"/>
      <c r="E444" s="63"/>
      <c r="F444" s="63"/>
      <c r="G444" s="65"/>
      <c r="H444" s="65"/>
      <c r="I444" s="65"/>
      <c r="J444" s="50"/>
    </row>
    <row r="445" spans="2:10" ht="15.75" customHeight="1" x14ac:dyDescent="0.25">
      <c r="B445" s="62"/>
      <c r="C445" s="63"/>
      <c r="D445" s="64"/>
      <c r="E445" s="63"/>
      <c r="F445" s="63"/>
      <c r="G445" s="65"/>
      <c r="H445" s="65"/>
      <c r="I445" s="65"/>
      <c r="J445" s="50"/>
    </row>
    <row r="446" spans="2:10" ht="15.75" customHeight="1" x14ac:dyDescent="0.25">
      <c r="B446" s="62"/>
      <c r="C446" s="63"/>
      <c r="D446" s="64"/>
      <c r="E446" s="63"/>
      <c r="F446" s="63"/>
      <c r="G446" s="65"/>
      <c r="H446" s="65"/>
      <c r="I446" s="65"/>
      <c r="J446" s="50"/>
    </row>
    <row r="447" spans="2:10" ht="15.75" customHeight="1" x14ac:dyDescent="0.25">
      <c r="B447" s="62"/>
      <c r="C447" s="63"/>
      <c r="D447" s="64"/>
      <c r="E447" s="63"/>
      <c r="F447" s="63"/>
      <c r="G447" s="65"/>
      <c r="H447" s="65"/>
      <c r="I447" s="65"/>
      <c r="J447" s="50"/>
    </row>
    <row r="448" spans="2:10" ht="15.75" customHeight="1" x14ac:dyDescent="0.25">
      <c r="B448" s="62"/>
      <c r="C448" s="63"/>
      <c r="D448" s="64"/>
      <c r="E448" s="63"/>
      <c r="F448" s="63"/>
      <c r="G448" s="65"/>
      <c r="H448" s="65"/>
      <c r="I448" s="65"/>
      <c r="J448" s="50"/>
    </row>
    <row r="449" spans="2:10" ht="15.75" customHeight="1" x14ac:dyDescent="0.25">
      <c r="B449" s="62"/>
      <c r="C449" s="63"/>
      <c r="D449" s="64"/>
      <c r="E449" s="63"/>
      <c r="F449" s="63"/>
      <c r="G449" s="65"/>
      <c r="H449" s="65"/>
      <c r="I449" s="65"/>
      <c r="J449" s="50"/>
    </row>
    <row r="450" spans="2:10" ht="15.75" customHeight="1" x14ac:dyDescent="0.25">
      <c r="B450" s="62"/>
      <c r="C450" s="63"/>
      <c r="D450" s="64"/>
      <c r="E450" s="63"/>
      <c r="F450" s="63"/>
      <c r="G450" s="65"/>
      <c r="H450" s="65"/>
      <c r="I450" s="65"/>
      <c r="J450" s="50"/>
    </row>
    <row r="451" spans="2:10" ht="15.75" customHeight="1" x14ac:dyDescent="0.25">
      <c r="B451" s="62"/>
      <c r="C451" s="63"/>
      <c r="D451" s="64"/>
      <c r="E451" s="63"/>
      <c r="F451" s="63"/>
      <c r="G451" s="65"/>
      <c r="H451" s="65"/>
      <c r="I451" s="65"/>
      <c r="J451" s="50"/>
    </row>
    <row r="452" spans="2:10" ht="15.75" customHeight="1" x14ac:dyDescent="0.25">
      <c r="B452" s="62"/>
      <c r="C452" s="63"/>
      <c r="D452" s="64"/>
      <c r="E452" s="63"/>
      <c r="F452" s="63"/>
      <c r="G452" s="65"/>
      <c r="H452" s="65"/>
      <c r="I452" s="65"/>
      <c r="J452" s="50"/>
    </row>
    <row r="453" spans="2:10" ht="15.75" customHeight="1" x14ac:dyDescent="0.25">
      <c r="B453" s="62"/>
      <c r="C453" s="63"/>
      <c r="D453" s="64"/>
      <c r="E453" s="63"/>
      <c r="F453" s="63"/>
      <c r="G453" s="65"/>
      <c r="H453" s="65"/>
      <c r="I453" s="65"/>
      <c r="J453" s="50"/>
    </row>
    <row r="454" spans="2:10" ht="15.75" customHeight="1" x14ac:dyDescent="0.25">
      <c r="B454" s="62"/>
      <c r="C454" s="63"/>
      <c r="D454" s="64"/>
      <c r="E454" s="63"/>
      <c r="F454" s="63"/>
      <c r="G454" s="65"/>
      <c r="H454" s="65"/>
      <c r="I454" s="65"/>
      <c r="J454" s="50"/>
    </row>
    <row r="455" spans="2:10" ht="15.75" customHeight="1" x14ac:dyDescent="0.25">
      <c r="B455" s="62"/>
      <c r="C455" s="63"/>
      <c r="D455" s="64"/>
      <c r="E455" s="63"/>
      <c r="F455" s="63"/>
      <c r="G455" s="65"/>
      <c r="H455" s="65"/>
      <c r="I455" s="65"/>
      <c r="J455" s="50"/>
    </row>
    <row r="456" spans="2:10" ht="15.75" customHeight="1" x14ac:dyDescent="0.25">
      <c r="B456" s="62"/>
      <c r="C456" s="63"/>
      <c r="D456" s="64"/>
      <c r="E456" s="63"/>
      <c r="F456" s="63"/>
      <c r="G456" s="65"/>
      <c r="H456" s="65"/>
      <c r="I456" s="65"/>
      <c r="J456" s="50"/>
    </row>
    <row r="457" spans="2:10" ht="15.75" customHeight="1" x14ac:dyDescent="0.25">
      <c r="B457" s="62"/>
      <c r="C457" s="63"/>
      <c r="D457" s="64"/>
      <c r="E457" s="63"/>
      <c r="F457" s="63"/>
      <c r="G457" s="65"/>
      <c r="H457" s="65"/>
      <c r="I457" s="65"/>
      <c r="J457" s="50"/>
    </row>
    <row r="458" spans="2:10" ht="15.75" customHeight="1" x14ac:dyDescent="0.25">
      <c r="B458" s="62"/>
      <c r="C458" s="63"/>
      <c r="D458" s="64"/>
      <c r="E458" s="63"/>
      <c r="F458" s="63"/>
      <c r="G458" s="65"/>
      <c r="H458" s="65"/>
      <c r="I458" s="65"/>
      <c r="J458" s="50"/>
    </row>
    <row r="459" spans="2:10" ht="15.75" customHeight="1" x14ac:dyDescent="0.25">
      <c r="B459" s="62"/>
      <c r="C459" s="63"/>
      <c r="D459" s="64"/>
      <c r="E459" s="63"/>
      <c r="F459" s="63"/>
      <c r="G459" s="65"/>
      <c r="H459" s="65"/>
      <c r="I459" s="65"/>
      <c r="J459" s="50"/>
    </row>
    <row r="460" spans="2:10" ht="15.75" customHeight="1" x14ac:dyDescent="0.25">
      <c r="B460" s="62"/>
      <c r="C460" s="63"/>
      <c r="D460" s="64"/>
      <c r="E460" s="63"/>
      <c r="F460" s="63"/>
      <c r="G460" s="65"/>
      <c r="H460" s="65"/>
      <c r="I460" s="65"/>
      <c r="J460" s="50"/>
    </row>
    <row r="461" spans="2:10" ht="15.75" customHeight="1" x14ac:dyDescent="0.25">
      <c r="B461" s="62"/>
      <c r="C461" s="63"/>
      <c r="D461" s="64"/>
      <c r="E461" s="63"/>
      <c r="F461" s="63"/>
      <c r="G461" s="65"/>
      <c r="H461" s="65"/>
      <c r="I461" s="65"/>
      <c r="J461" s="50"/>
    </row>
    <row r="462" spans="2:10" ht="15.75" customHeight="1" x14ac:dyDescent="0.25">
      <c r="B462" s="62"/>
      <c r="C462" s="63"/>
      <c r="D462" s="64"/>
      <c r="E462" s="63"/>
      <c r="F462" s="63"/>
      <c r="G462" s="65"/>
      <c r="H462" s="65"/>
      <c r="I462" s="65"/>
      <c r="J462" s="50"/>
    </row>
    <row r="463" spans="2:10" ht="15.75" customHeight="1" x14ac:dyDescent="0.25">
      <c r="B463" s="62"/>
      <c r="C463" s="63"/>
      <c r="D463" s="64"/>
      <c r="E463" s="63"/>
      <c r="F463" s="63"/>
      <c r="G463" s="65"/>
      <c r="H463" s="65"/>
      <c r="I463" s="65"/>
      <c r="J463" s="50"/>
    </row>
    <row r="464" spans="2:10" ht="15.75" customHeight="1" x14ac:dyDescent="0.25">
      <c r="B464" s="62"/>
      <c r="C464" s="63"/>
      <c r="D464" s="64"/>
      <c r="E464" s="63"/>
      <c r="F464" s="63"/>
      <c r="G464" s="65"/>
      <c r="H464" s="65"/>
      <c r="I464" s="65"/>
      <c r="J464" s="50"/>
    </row>
    <row r="465" spans="2:10" ht="15.75" customHeight="1" x14ac:dyDescent="0.25">
      <c r="B465" s="62"/>
      <c r="C465" s="63"/>
      <c r="D465" s="64"/>
      <c r="E465" s="63"/>
      <c r="F465" s="63"/>
      <c r="G465" s="65"/>
      <c r="H465" s="65"/>
      <c r="I465" s="65"/>
      <c r="J465" s="50"/>
    </row>
    <row r="466" spans="2:10" ht="15.75" customHeight="1" x14ac:dyDescent="0.25">
      <c r="B466" s="62"/>
      <c r="C466" s="63"/>
      <c r="D466" s="64"/>
      <c r="E466" s="63"/>
      <c r="F466" s="63"/>
      <c r="G466" s="65"/>
      <c r="H466" s="65"/>
      <c r="I466" s="65"/>
      <c r="J466" s="50"/>
    </row>
    <row r="467" spans="2:10" ht="15.75" customHeight="1" x14ac:dyDescent="0.25">
      <c r="B467" s="62"/>
      <c r="C467" s="63"/>
      <c r="D467" s="64"/>
      <c r="E467" s="63"/>
      <c r="F467" s="63"/>
      <c r="G467" s="65"/>
      <c r="H467" s="65"/>
      <c r="I467" s="65"/>
      <c r="J467" s="50"/>
    </row>
    <row r="468" spans="2:10" ht="15.75" customHeight="1" x14ac:dyDescent="0.25">
      <c r="B468" s="62"/>
      <c r="C468" s="63"/>
      <c r="D468" s="64"/>
      <c r="E468" s="63"/>
      <c r="F468" s="63"/>
      <c r="G468" s="65"/>
      <c r="H468" s="65"/>
      <c r="I468" s="65"/>
      <c r="J468" s="50"/>
    </row>
    <row r="469" spans="2:10" ht="15.75" customHeight="1" x14ac:dyDescent="0.25">
      <c r="B469" s="62"/>
      <c r="C469" s="63"/>
      <c r="D469" s="64"/>
      <c r="E469" s="63"/>
      <c r="F469" s="63"/>
      <c r="G469" s="65"/>
      <c r="H469" s="65"/>
      <c r="I469" s="65"/>
      <c r="J469" s="50"/>
    </row>
    <row r="470" spans="2:10" ht="15.75" customHeight="1" x14ac:dyDescent="0.25">
      <c r="B470" s="62"/>
      <c r="C470" s="63"/>
      <c r="D470" s="64"/>
      <c r="E470" s="63"/>
      <c r="F470" s="63"/>
      <c r="G470" s="65"/>
      <c r="H470" s="65"/>
      <c r="I470" s="65"/>
      <c r="J470" s="50"/>
    </row>
    <row r="471" spans="2:10" ht="15.75" customHeight="1" x14ac:dyDescent="0.25">
      <c r="B471" s="62"/>
      <c r="C471" s="63"/>
      <c r="D471" s="64"/>
      <c r="E471" s="63"/>
      <c r="F471" s="63"/>
      <c r="G471" s="65"/>
      <c r="H471" s="65"/>
      <c r="I471" s="65"/>
      <c r="J471" s="50"/>
    </row>
    <row r="472" spans="2:10" ht="15.75" customHeight="1" x14ac:dyDescent="0.25">
      <c r="B472" s="62"/>
      <c r="C472" s="63"/>
      <c r="D472" s="64"/>
      <c r="E472" s="63"/>
      <c r="F472" s="63"/>
      <c r="G472" s="65"/>
      <c r="H472" s="65"/>
      <c r="I472" s="65"/>
      <c r="J472" s="50"/>
    </row>
    <row r="473" spans="2:10" ht="15.75" customHeight="1" x14ac:dyDescent="0.25">
      <c r="B473" s="62"/>
      <c r="C473" s="63"/>
      <c r="D473" s="64"/>
      <c r="E473" s="63"/>
      <c r="F473" s="63"/>
      <c r="G473" s="65"/>
      <c r="H473" s="65"/>
      <c r="I473" s="65"/>
      <c r="J473" s="50"/>
    </row>
    <row r="474" spans="2:10" ht="15.75" customHeight="1" x14ac:dyDescent="0.25">
      <c r="B474" s="62"/>
      <c r="C474" s="63"/>
      <c r="D474" s="64"/>
      <c r="E474" s="63"/>
      <c r="F474" s="63"/>
      <c r="G474" s="65"/>
      <c r="H474" s="65"/>
      <c r="I474" s="65"/>
      <c r="J474" s="50"/>
    </row>
    <row r="475" spans="2:10" ht="15.75" customHeight="1" x14ac:dyDescent="0.25">
      <c r="B475" s="62"/>
      <c r="C475" s="63"/>
      <c r="D475" s="64"/>
      <c r="E475" s="63"/>
      <c r="F475" s="63"/>
      <c r="G475" s="65"/>
      <c r="H475" s="65"/>
      <c r="I475" s="65"/>
      <c r="J475" s="50"/>
    </row>
    <row r="476" spans="2:10" ht="15.75" customHeight="1" x14ac:dyDescent="0.25">
      <c r="B476" s="62"/>
      <c r="C476" s="63"/>
      <c r="D476" s="64"/>
      <c r="E476" s="63"/>
      <c r="F476" s="63"/>
      <c r="G476" s="65"/>
      <c r="H476" s="65"/>
      <c r="I476" s="65"/>
      <c r="J476" s="50"/>
    </row>
    <row r="477" spans="2:10" ht="15.75" customHeight="1" x14ac:dyDescent="0.25">
      <c r="B477" s="62"/>
      <c r="C477" s="63"/>
      <c r="D477" s="64"/>
      <c r="E477" s="63"/>
      <c r="F477" s="63"/>
      <c r="G477" s="65"/>
      <c r="H477" s="65"/>
      <c r="I477" s="65"/>
      <c r="J477" s="50"/>
    </row>
    <row r="478" spans="2:10" ht="15.75" customHeight="1" x14ac:dyDescent="0.25">
      <c r="B478" s="62"/>
      <c r="C478" s="63"/>
      <c r="D478" s="64"/>
      <c r="E478" s="63"/>
      <c r="F478" s="63"/>
      <c r="G478" s="65"/>
      <c r="H478" s="65"/>
      <c r="I478" s="65"/>
      <c r="J478" s="50"/>
    </row>
    <row r="479" spans="2:10" ht="15.75" customHeight="1" x14ac:dyDescent="0.25">
      <c r="B479" s="62"/>
      <c r="C479" s="63"/>
      <c r="D479" s="64"/>
      <c r="E479" s="63"/>
      <c r="F479" s="63"/>
      <c r="G479" s="65"/>
      <c r="H479" s="65"/>
      <c r="I479" s="65"/>
      <c r="J479" s="50"/>
    </row>
    <row r="480" spans="2:10" ht="15.75" customHeight="1" x14ac:dyDescent="0.25">
      <c r="B480" s="62"/>
      <c r="C480" s="63"/>
      <c r="D480" s="64"/>
      <c r="E480" s="63"/>
      <c r="F480" s="63"/>
      <c r="G480" s="65"/>
      <c r="H480" s="65"/>
      <c r="I480" s="65"/>
      <c r="J480" s="50"/>
    </row>
    <row r="481" spans="2:10" ht="15.75" customHeight="1" x14ac:dyDescent="0.25">
      <c r="B481" s="62"/>
      <c r="C481" s="63"/>
      <c r="D481" s="64"/>
      <c r="E481" s="63"/>
      <c r="F481" s="63"/>
      <c r="G481" s="65"/>
      <c r="H481" s="65"/>
      <c r="I481" s="65"/>
      <c r="J481" s="50"/>
    </row>
    <row r="482" spans="2:10" ht="15.75" customHeight="1" x14ac:dyDescent="0.25">
      <c r="B482" s="62"/>
      <c r="C482" s="63"/>
      <c r="D482" s="64"/>
      <c r="E482" s="63"/>
      <c r="F482" s="63"/>
      <c r="G482" s="65"/>
      <c r="H482" s="65"/>
      <c r="I482" s="65"/>
      <c r="J482" s="50"/>
    </row>
    <row r="483" spans="2:10" ht="15.75" customHeight="1" x14ac:dyDescent="0.25">
      <c r="B483" s="62"/>
      <c r="C483" s="63"/>
      <c r="D483" s="64"/>
      <c r="E483" s="63"/>
      <c r="F483" s="63"/>
      <c r="G483" s="65"/>
      <c r="H483" s="65"/>
      <c r="I483" s="65"/>
      <c r="J483" s="50"/>
    </row>
    <row r="484" spans="2:10" ht="15.75" customHeight="1" x14ac:dyDescent="0.25">
      <c r="B484" s="62"/>
      <c r="C484" s="63"/>
      <c r="D484" s="64"/>
      <c r="E484" s="63"/>
      <c r="F484" s="63"/>
      <c r="G484" s="65"/>
      <c r="H484" s="65"/>
      <c r="I484" s="65"/>
      <c r="J484" s="50"/>
    </row>
    <row r="485" spans="2:10" ht="15.75" customHeight="1" x14ac:dyDescent="0.25">
      <c r="B485" s="62"/>
      <c r="C485" s="63"/>
      <c r="D485" s="64"/>
      <c r="E485" s="63"/>
      <c r="F485" s="63"/>
      <c r="G485" s="65"/>
      <c r="H485" s="65"/>
      <c r="I485" s="65"/>
      <c r="J485" s="50"/>
    </row>
    <row r="486" spans="2:10" ht="15.75" customHeight="1" x14ac:dyDescent="0.25">
      <c r="B486" s="62"/>
      <c r="C486" s="63"/>
      <c r="D486" s="64"/>
      <c r="E486" s="63"/>
      <c r="F486" s="63"/>
      <c r="G486" s="65"/>
      <c r="H486" s="65"/>
      <c r="I486" s="65"/>
      <c r="J486" s="50"/>
    </row>
    <row r="487" spans="2:10" ht="15.75" customHeight="1" x14ac:dyDescent="0.25">
      <c r="B487" s="62"/>
      <c r="C487" s="63"/>
      <c r="D487" s="64"/>
      <c r="E487" s="63"/>
      <c r="F487" s="63"/>
      <c r="G487" s="65"/>
      <c r="H487" s="65"/>
      <c r="I487" s="65"/>
      <c r="J487" s="50"/>
    </row>
    <row r="488" spans="2:10" ht="15.75" customHeight="1" x14ac:dyDescent="0.25">
      <c r="B488" s="62"/>
      <c r="C488" s="63"/>
      <c r="D488" s="64"/>
      <c r="E488" s="63"/>
      <c r="F488" s="63"/>
      <c r="G488" s="65"/>
      <c r="H488" s="65"/>
      <c r="I488" s="65"/>
      <c r="J488" s="50"/>
    </row>
    <row r="489" spans="2:10" ht="15.75" customHeight="1" x14ac:dyDescent="0.25">
      <c r="B489" s="62"/>
      <c r="C489" s="63"/>
      <c r="D489" s="64"/>
      <c r="E489" s="63"/>
      <c r="F489" s="63"/>
      <c r="G489" s="65"/>
      <c r="H489" s="65"/>
      <c r="I489" s="65"/>
      <c r="J489" s="50"/>
    </row>
    <row r="490" spans="2:10" ht="15.75" customHeight="1" x14ac:dyDescent="0.25">
      <c r="B490" s="62"/>
      <c r="C490" s="63"/>
      <c r="D490" s="64"/>
      <c r="E490" s="63"/>
      <c r="F490" s="63"/>
      <c r="G490" s="65"/>
      <c r="H490" s="65"/>
      <c r="I490" s="65"/>
      <c r="J490" s="50"/>
    </row>
    <row r="491" spans="2:10" ht="15.75" customHeight="1" x14ac:dyDescent="0.25">
      <c r="B491" s="62"/>
      <c r="C491" s="63"/>
      <c r="D491" s="64"/>
      <c r="E491" s="63"/>
      <c r="F491" s="63"/>
      <c r="G491" s="65"/>
      <c r="H491" s="65"/>
      <c r="I491" s="65"/>
      <c r="J491" s="50"/>
    </row>
    <row r="492" spans="2:10" ht="15.75" customHeight="1" x14ac:dyDescent="0.25">
      <c r="B492" s="62"/>
      <c r="C492" s="63"/>
      <c r="D492" s="64"/>
      <c r="E492" s="63"/>
      <c r="F492" s="63"/>
      <c r="G492" s="65"/>
      <c r="H492" s="65"/>
      <c r="I492" s="65"/>
      <c r="J492" s="50"/>
    </row>
    <row r="493" spans="2:10" ht="15.75" customHeight="1" x14ac:dyDescent="0.25">
      <c r="B493" s="62"/>
      <c r="C493" s="63"/>
      <c r="D493" s="64"/>
      <c r="E493" s="63"/>
      <c r="F493" s="63"/>
      <c r="G493" s="65"/>
      <c r="H493" s="65"/>
      <c r="I493" s="65"/>
      <c r="J493" s="50"/>
    </row>
    <row r="494" spans="2:10" ht="15.75" customHeight="1" x14ac:dyDescent="0.25">
      <c r="B494" s="62"/>
      <c r="C494" s="63"/>
      <c r="D494" s="64"/>
      <c r="E494" s="63"/>
      <c r="F494" s="63"/>
      <c r="G494" s="65"/>
      <c r="H494" s="65"/>
      <c r="I494" s="65"/>
      <c r="J494" s="50"/>
    </row>
    <row r="495" spans="2:10" ht="15.75" customHeight="1" x14ac:dyDescent="0.25">
      <c r="B495" s="62"/>
      <c r="C495" s="63"/>
      <c r="D495" s="64"/>
      <c r="E495" s="63"/>
      <c r="F495" s="63"/>
      <c r="G495" s="65"/>
      <c r="H495" s="65"/>
      <c r="I495" s="65"/>
      <c r="J495" s="50"/>
    </row>
    <row r="496" spans="2:10" ht="15.75" customHeight="1" x14ac:dyDescent="0.25">
      <c r="B496" s="62"/>
      <c r="C496" s="63"/>
      <c r="D496" s="64"/>
      <c r="E496" s="63"/>
      <c r="F496" s="63"/>
      <c r="G496" s="65"/>
      <c r="H496" s="65"/>
      <c r="I496" s="65"/>
      <c r="J496" s="50"/>
    </row>
    <row r="497" spans="2:10" ht="15.75" customHeight="1" x14ac:dyDescent="0.25">
      <c r="B497" s="62"/>
      <c r="C497" s="63"/>
      <c r="D497" s="64"/>
      <c r="E497" s="63"/>
      <c r="F497" s="63"/>
      <c r="G497" s="65"/>
      <c r="H497" s="65"/>
      <c r="I497" s="65"/>
      <c r="J497" s="50"/>
    </row>
    <row r="498" spans="2:10" ht="15.75" customHeight="1" x14ac:dyDescent="0.25">
      <c r="B498" s="62"/>
      <c r="C498" s="63"/>
      <c r="D498" s="64"/>
      <c r="E498" s="63"/>
      <c r="F498" s="63"/>
      <c r="G498" s="65"/>
      <c r="H498" s="65"/>
      <c r="I498" s="65"/>
      <c r="J498" s="50"/>
    </row>
    <row r="499" spans="2:10" ht="15.75" customHeight="1" x14ac:dyDescent="0.25">
      <c r="B499" s="62"/>
      <c r="C499" s="63"/>
      <c r="D499" s="64"/>
      <c r="E499" s="63"/>
      <c r="F499" s="63"/>
      <c r="G499" s="65"/>
      <c r="H499" s="65"/>
      <c r="I499" s="65"/>
      <c r="J499" s="50"/>
    </row>
    <row r="500" spans="2:10" ht="15.75" customHeight="1" x14ac:dyDescent="0.25">
      <c r="B500" s="62"/>
      <c r="C500" s="63"/>
      <c r="D500" s="64"/>
      <c r="E500" s="63"/>
      <c r="F500" s="63"/>
      <c r="G500" s="65"/>
      <c r="H500" s="65"/>
      <c r="I500" s="65"/>
      <c r="J500" s="50"/>
    </row>
    <row r="501" spans="2:10" ht="15.75" customHeight="1" x14ac:dyDescent="0.25">
      <c r="B501" s="62"/>
      <c r="C501" s="63"/>
      <c r="D501" s="64"/>
      <c r="E501" s="63"/>
      <c r="F501" s="63"/>
      <c r="G501" s="65"/>
      <c r="H501" s="65"/>
      <c r="I501" s="65"/>
      <c r="J501" s="50"/>
    </row>
    <row r="502" spans="2:10" ht="15.75" customHeight="1" x14ac:dyDescent="0.25">
      <c r="B502" s="62"/>
      <c r="C502" s="63"/>
      <c r="D502" s="64"/>
      <c r="E502" s="63"/>
      <c r="F502" s="63"/>
      <c r="G502" s="65"/>
      <c r="H502" s="65"/>
      <c r="I502" s="65"/>
      <c r="J502" s="50"/>
    </row>
    <row r="503" spans="2:10" ht="15.75" customHeight="1" x14ac:dyDescent="0.25">
      <c r="B503" s="62"/>
      <c r="C503" s="63"/>
      <c r="D503" s="64"/>
      <c r="E503" s="63"/>
      <c r="F503" s="63"/>
      <c r="G503" s="65"/>
      <c r="H503" s="65"/>
      <c r="I503" s="65"/>
      <c r="J503" s="50"/>
    </row>
    <row r="504" spans="2:10" ht="15.75" customHeight="1" x14ac:dyDescent="0.25">
      <c r="B504" s="62"/>
      <c r="C504" s="63"/>
      <c r="D504" s="64"/>
      <c r="E504" s="63"/>
      <c r="F504" s="63"/>
      <c r="G504" s="65"/>
      <c r="H504" s="65"/>
      <c r="I504" s="65"/>
      <c r="J504" s="50"/>
    </row>
    <row r="505" spans="2:10" ht="15.75" customHeight="1" x14ac:dyDescent="0.25">
      <c r="B505" s="62"/>
      <c r="C505" s="63"/>
      <c r="D505" s="64"/>
      <c r="E505" s="63"/>
      <c r="F505" s="63"/>
      <c r="G505" s="65"/>
      <c r="H505" s="65"/>
      <c r="I505" s="65"/>
      <c r="J505" s="50"/>
    </row>
    <row r="506" spans="2:10" ht="15.75" customHeight="1" x14ac:dyDescent="0.25">
      <c r="B506" s="62"/>
      <c r="C506" s="63"/>
      <c r="D506" s="64"/>
      <c r="E506" s="63"/>
      <c r="F506" s="63"/>
      <c r="G506" s="65"/>
      <c r="H506" s="65"/>
      <c r="I506" s="65"/>
      <c r="J506" s="50"/>
    </row>
    <row r="507" spans="2:10" ht="15.75" customHeight="1" x14ac:dyDescent="0.25">
      <c r="B507" s="62"/>
      <c r="C507" s="63"/>
      <c r="D507" s="64"/>
      <c r="E507" s="63"/>
      <c r="F507" s="63"/>
      <c r="G507" s="65"/>
      <c r="H507" s="65"/>
      <c r="I507" s="65"/>
      <c r="J507" s="50"/>
    </row>
    <row r="508" spans="2:10" ht="15.75" customHeight="1" x14ac:dyDescent="0.25">
      <c r="B508" s="62"/>
      <c r="C508" s="63"/>
      <c r="D508" s="64"/>
      <c r="E508" s="63"/>
      <c r="F508" s="63"/>
      <c r="G508" s="65"/>
      <c r="H508" s="65"/>
      <c r="I508" s="65"/>
      <c r="J508" s="50"/>
    </row>
    <row r="509" spans="2:10" ht="15.75" customHeight="1" x14ac:dyDescent="0.25">
      <c r="B509" s="62"/>
      <c r="C509" s="63"/>
      <c r="D509" s="64"/>
      <c r="E509" s="63"/>
      <c r="F509" s="63"/>
      <c r="G509" s="65"/>
      <c r="H509" s="65"/>
      <c r="I509" s="65"/>
      <c r="J509" s="50"/>
    </row>
    <row r="510" spans="2:10" ht="15.75" customHeight="1" x14ac:dyDescent="0.25">
      <c r="B510" s="62"/>
      <c r="C510" s="63"/>
      <c r="D510" s="64"/>
      <c r="E510" s="63"/>
      <c r="F510" s="63"/>
      <c r="G510" s="65"/>
      <c r="H510" s="65"/>
      <c r="I510" s="65"/>
      <c r="J510" s="50"/>
    </row>
    <row r="511" spans="2:10" ht="15.75" customHeight="1" x14ac:dyDescent="0.25">
      <c r="B511" s="62"/>
      <c r="C511" s="63"/>
      <c r="D511" s="64"/>
      <c r="E511" s="63"/>
      <c r="F511" s="63"/>
      <c r="G511" s="65"/>
      <c r="H511" s="65"/>
      <c r="I511" s="65"/>
      <c r="J511" s="50"/>
    </row>
    <row r="512" spans="2:10" ht="15.75" customHeight="1" x14ac:dyDescent="0.25">
      <c r="B512" s="62"/>
      <c r="C512" s="63"/>
      <c r="D512" s="64"/>
      <c r="E512" s="63"/>
      <c r="F512" s="63"/>
      <c r="G512" s="65"/>
      <c r="H512" s="65"/>
      <c r="I512" s="65"/>
      <c r="J512" s="50"/>
    </row>
    <row r="513" spans="2:10" ht="15.75" customHeight="1" x14ac:dyDescent="0.25">
      <c r="B513" s="62"/>
      <c r="C513" s="63"/>
      <c r="D513" s="64"/>
      <c r="E513" s="63"/>
      <c r="F513" s="63"/>
      <c r="G513" s="65"/>
      <c r="H513" s="65"/>
      <c r="I513" s="65"/>
      <c r="J513" s="50"/>
    </row>
    <row r="514" spans="2:10" ht="15.75" customHeight="1" x14ac:dyDescent="0.25">
      <c r="B514" s="62"/>
      <c r="C514" s="63"/>
      <c r="D514" s="64"/>
      <c r="E514" s="63"/>
      <c r="F514" s="63"/>
      <c r="G514" s="65"/>
      <c r="H514" s="65"/>
      <c r="I514" s="65"/>
      <c r="J514" s="50"/>
    </row>
    <row r="515" spans="2:10" ht="15.75" customHeight="1" x14ac:dyDescent="0.25">
      <c r="B515" s="62"/>
      <c r="C515" s="63"/>
      <c r="D515" s="64"/>
      <c r="E515" s="63"/>
      <c r="F515" s="63"/>
      <c r="G515" s="65"/>
      <c r="H515" s="65"/>
      <c r="I515" s="65"/>
      <c r="J515" s="50"/>
    </row>
    <row r="516" spans="2:10" ht="15.75" customHeight="1" x14ac:dyDescent="0.25">
      <c r="B516" s="62"/>
      <c r="C516" s="63"/>
      <c r="D516" s="64"/>
      <c r="E516" s="63"/>
      <c r="F516" s="63"/>
      <c r="G516" s="65"/>
      <c r="H516" s="65"/>
      <c r="I516" s="65"/>
      <c r="J516" s="50"/>
    </row>
    <row r="517" spans="2:10" ht="15.75" customHeight="1" x14ac:dyDescent="0.25">
      <c r="B517" s="62"/>
      <c r="C517" s="63"/>
      <c r="D517" s="64"/>
      <c r="E517" s="63"/>
      <c r="F517" s="63"/>
      <c r="G517" s="65"/>
      <c r="H517" s="65"/>
      <c r="I517" s="65"/>
      <c r="J517" s="50"/>
    </row>
    <row r="518" spans="2:10" ht="15.75" customHeight="1" x14ac:dyDescent="0.25">
      <c r="B518" s="62"/>
      <c r="C518" s="63"/>
      <c r="D518" s="64"/>
      <c r="E518" s="63"/>
      <c r="F518" s="63"/>
      <c r="G518" s="65"/>
      <c r="H518" s="65"/>
      <c r="I518" s="65"/>
      <c r="J518" s="50"/>
    </row>
    <row r="519" spans="2:10" ht="15.75" customHeight="1" x14ac:dyDescent="0.25">
      <c r="B519" s="62"/>
      <c r="C519" s="63"/>
      <c r="D519" s="64"/>
      <c r="E519" s="63"/>
      <c r="F519" s="63"/>
      <c r="G519" s="65"/>
      <c r="H519" s="65"/>
      <c r="I519" s="65"/>
      <c r="J519" s="50"/>
    </row>
    <row r="520" spans="2:10" ht="15.75" customHeight="1" x14ac:dyDescent="0.25">
      <c r="B520" s="62"/>
      <c r="C520" s="63"/>
      <c r="D520" s="64"/>
      <c r="E520" s="63"/>
      <c r="F520" s="63"/>
      <c r="G520" s="65"/>
      <c r="H520" s="65"/>
      <c r="I520" s="65"/>
      <c r="J520" s="50"/>
    </row>
    <row r="521" spans="2:10" ht="15.75" customHeight="1" x14ac:dyDescent="0.25">
      <c r="B521" s="62"/>
      <c r="C521" s="63"/>
      <c r="D521" s="64"/>
      <c r="E521" s="63"/>
      <c r="F521" s="63"/>
      <c r="G521" s="65"/>
      <c r="H521" s="65"/>
      <c r="I521" s="65"/>
      <c r="J521" s="50"/>
    </row>
    <row r="522" spans="2:10" ht="15.75" customHeight="1" x14ac:dyDescent="0.25">
      <c r="B522" s="62"/>
      <c r="C522" s="63"/>
      <c r="D522" s="64"/>
      <c r="E522" s="63"/>
      <c r="F522" s="63"/>
      <c r="G522" s="65"/>
      <c r="H522" s="65"/>
      <c r="I522" s="65"/>
      <c r="J522" s="50"/>
    </row>
    <row r="523" spans="2:10" ht="15.75" customHeight="1" x14ac:dyDescent="0.25">
      <c r="B523" s="62"/>
      <c r="C523" s="63"/>
      <c r="D523" s="64"/>
      <c r="E523" s="63"/>
      <c r="F523" s="63"/>
      <c r="G523" s="65"/>
      <c r="H523" s="65"/>
      <c r="I523" s="65"/>
      <c r="J523" s="50"/>
    </row>
    <row r="524" spans="2:10" ht="15.75" customHeight="1" x14ac:dyDescent="0.25">
      <c r="B524" s="62"/>
      <c r="C524" s="63"/>
      <c r="D524" s="64"/>
      <c r="E524" s="63"/>
      <c r="F524" s="63"/>
      <c r="G524" s="65"/>
      <c r="H524" s="65"/>
      <c r="I524" s="65"/>
      <c r="J524" s="50"/>
    </row>
    <row r="525" spans="2:10" ht="15.75" customHeight="1" x14ac:dyDescent="0.25">
      <c r="B525" s="62"/>
      <c r="C525" s="63"/>
      <c r="D525" s="64"/>
      <c r="E525" s="63"/>
      <c r="F525" s="63"/>
      <c r="G525" s="65"/>
      <c r="H525" s="65"/>
      <c r="I525" s="65"/>
      <c r="J525" s="50"/>
    </row>
    <row r="526" spans="2:10" ht="15.75" customHeight="1" x14ac:dyDescent="0.25">
      <c r="B526" s="62"/>
      <c r="C526" s="63"/>
      <c r="D526" s="64"/>
      <c r="E526" s="63"/>
      <c r="F526" s="63"/>
      <c r="G526" s="65"/>
      <c r="H526" s="65"/>
      <c r="I526" s="65"/>
      <c r="J526" s="50"/>
    </row>
    <row r="527" spans="2:10" ht="15.75" customHeight="1" x14ac:dyDescent="0.25">
      <c r="B527" s="62"/>
      <c r="C527" s="63"/>
      <c r="D527" s="64"/>
      <c r="E527" s="63"/>
      <c r="F527" s="63"/>
      <c r="G527" s="65"/>
      <c r="H527" s="65"/>
      <c r="I527" s="65"/>
      <c r="J527" s="50"/>
    </row>
    <row r="528" spans="2:10" ht="15.75" customHeight="1" x14ac:dyDescent="0.25">
      <c r="B528" s="62"/>
      <c r="C528" s="63"/>
      <c r="D528" s="64"/>
      <c r="E528" s="63"/>
      <c r="F528" s="63"/>
      <c r="G528" s="65"/>
      <c r="H528" s="65"/>
      <c r="I528" s="65"/>
      <c r="J528" s="50"/>
    </row>
    <row r="529" spans="2:10" ht="15.75" customHeight="1" x14ac:dyDescent="0.25">
      <c r="B529" s="62"/>
      <c r="C529" s="63"/>
      <c r="D529" s="64"/>
      <c r="E529" s="63"/>
      <c r="F529" s="63"/>
      <c r="G529" s="65"/>
      <c r="H529" s="65"/>
      <c r="I529" s="65"/>
      <c r="J529" s="50"/>
    </row>
    <row r="530" spans="2:10" ht="15.75" customHeight="1" x14ac:dyDescent="0.25">
      <c r="B530" s="62"/>
      <c r="C530" s="63"/>
      <c r="D530" s="64"/>
      <c r="E530" s="63"/>
      <c r="F530" s="63"/>
      <c r="G530" s="65"/>
      <c r="H530" s="65"/>
      <c r="I530" s="65"/>
      <c r="J530" s="50"/>
    </row>
    <row r="531" spans="2:10" ht="15.75" customHeight="1" x14ac:dyDescent="0.25">
      <c r="B531" s="62"/>
      <c r="C531" s="63"/>
      <c r="D531" s="64"/>
      <c r="E531" s="63"/>
      <c r="F531" s="63"/>
      <c r="G531" s="65"/>
      <c r="H531" s="65"/>
      <c r="I531" s="65"/>
      <c r="J531" s="50"/>
    </row>
    <row r="532" spans="2:10" ht="15.75" customHeight="1" x14ac:dyDescent="0.25">
      <c r="B532" s="62"/>
      <c r="C532" s="63"/>
      <c r="D532" s="64"/>
      <c r="E532" s="63"/>
      <c r="F532" s="63"/>
      <c r="G532" s="65"/>
      <c r="H532" s="65"/>
      <c r="I532" s="65"/>
      <c r="J532" s="50"/>
    </row>
    <row r="533" spans="2:10" ht="15.75" customHeight="1" x14ac:dyDescent="0.25">
      <c r="B533" s="62"/>
      <c r="C533" s="63"/>
      <c r="D533" s="64"/>
      <c r="E533" s="63"/>
      <c r="F533" s="63"/>
      <c r="G533" s="65"/>
      <c r="H533" s="65"/>
      <c r="I533" s="65"/>
      <c r="J533" s="50"/>
    </row>
    <row r="534" spans="2:10" ht="15.75" customHeight="1" x14ac:dyDescent="0.25">
      <c r="B534" s="62"/>
      <c r="C534" s="63"/>
      <c r="D534" s="64"/>
      <c r="E534" s="63"/>
      <c r="F534" s="63"/>
      <c r="G534" s="65"/>
      <c r="H534" s="65"/>
      <c r="I534" s="65"/>
      <c r="J534" s="50"/>
    </row>
    <row r="535" spans="2:10" ht="15.75" customHeight="1" x14ac:dyDescent="0.25">
      <c r="B535" s="62"/>
      <c r="C535" s="63"/>
      <c r="D535" s="64"/>
      <c r="E535" s="63"/>
      <c r="F535" s="63"/>
      <c r="G535" s="65"/>
      <c r="H535" s="65"/>
      <c r="I535" s="65"/>
      <c r="J535" s="50"/>
    </row>
    <row r="536" spans="2:10" ht="15.75" customHeight="1" x14ac:dyDescent="0.25">
      <c r="B536" s="62"/>
      <c r="C536" s="63"/>
      <c r="D536" s="64"/>
      <c r="E536" s="63"/>
      <c r="F536" s="63"/>
      <c r="G536" s="65"/>
      <c r="H536" s="65"/>
      <c r="I536" s="65"/>
      <c r="J536" s="50"/>
    </row>
    <row r="537" spans="2:10" ht="15.75" customHeight="1" x14ac:dyDescent="0.25">
      <c r="B537" s="62"/>
      <c r="C537" s="63"/>
      <c r="D537" s="64"/>
      <c r="E537" s="63"/>
      <c r="F537" s="63"/>
      <c r="G537" s="65"/>
      <c r="H537" s="65"/>
      <c r="I537" s="65"/>
      <c r="J537" s="50"/>
    </row>
    <row r="538" spans="2:10" ht="15.75" customHeight="1" x14ac:dyDescent="0.25">
      <c r="B538" s="62"/>
      <c r="C538" s="63"/>
      <c r="D538" s="64"/>
      <c r="E538" s="63"/>
      <c r="F538" s="63"/>
      <c r="G538" s="65"/>
      <c r="H538" s="65"/>
      <c r="I538" s="65"/>
      <c r="J538" s="50"/>
    </row>
    <row r="539" spans="2:10" ht="15.75" customHeight="1" x14ac:dyDescent="0.25">
      <c r="B539" s="62"/>
      <c r="C539" s="63"/>
      <c r="D539" s="64"/>
      <c r="E539" s="63"/>
      <c r="F539" s="63"/>
      <c r="G539" s="65"/>
      <c r="H539" s="65"/>
      <c r="I539" s="65"/>
      <c r="J539" s="50"/>
    </row>
    <row r="540" spans="2:10" ht="15.75" customHeight="1" x14ac:dyDescent="0.25">
      <c r="B540" s="62"/>
      <c r="C540" s="63"/>
      <c r="D540" s="64"/>
      <c r="E540" s="63"/>
      <c r="F540" s="63"/>
      <c r="G540" s="65"/>
      <c r="H540" s="65"/>
      <c r="I540" s="65"/>
      <c r="J540" s="50"/>
    </row>
    <row r="541" spans="2:10" ht="15.75" customHeight="1" x14ac:dyDescent="0.25">
      <c r="B541" s="62"/>
      <c r="C541" s="63"/>
      <c r="D541" s="64"/>
      <c r="E541" s="63"/>
      <c r="F541" s="63"/>
      <c r="G541" s="65"/>
      <c r="H541" s="65"/>
      <c r="I541" s="65"/>
      <c r="J541" s="50"/>
    </row>
    <row r="542" spans="2:10" ht="15.75" customHeight="1" x14ac:dyDescent="0.25">
      <c r="B542" s="62"/>
      <c r="C542" s="63"/>
      <c r="D542" s="64"/>
      <c r="E542" s="63"/>
      <c r="F542" s="63"/>
      <c r="G542" s="65"/>
      <c r="H542" s="65"/>
      <c r="I542" s="65"/>
      <c r="J542" s="50"/>
    </row>
    <row r="543" spans="2:10" ht="15.75" customHeight="1" x14ac:dyDescent="0.25">
      <c r="B543" s="62"/>
      <c r="C543" s="63"/>
      <c r="D543" s="64"/>
      <c r="E543" s="63"/>
      <c r="F543" s="63"/>
      <c r="G543" s="65"/>
      <c r="H543" s="65"/>
      <c r="I543" s="65"/>
      <c r="J543" s="50"/>
    </row>
    <row r="544" spans="2:10" ht="15.75" customHeight="1" x14ac:dyDescent="0.25">
      <c r="B544" s="62"/>
      <c r="C544" s="63"/>
      <c r="D544" s="64"/>
      <c r="E544" s="63"/>
      <c r="F544" s="63"/>
      <c r="G544" s="65"/>
      <c r="H544" s="65"/>
      <c r="I544" s="65"/>
      <c r="J544" s="50"/>
    </row>
    <row r="545" spans="2:10" ht="15.75" customHeight="1" x14ac:dyDescent="0.25">
      <c r="B545" s="62"/>
      <c r="C545" s="63"/>
      <c r="D545" s="64"/>
      <c r="E545" s="63"/>
      <c r="F545" s="63"/>
      <c r="G545" s="65"/>
      <c r="H545" s="65"/>
      <c r="I545" s="65"/>
      <c r="J545" s="50"/>
    </row>
    <row r="546" spans="2:10" ht="15.75" customHeight="1" x14ac:dyDescent="0.25">
      <c r="B546" s="62"/>
      <c r="C546" s="63"/>
      <c r="D546" s="64"/>
      <c r="E546" s="63"/>
      <c r="F546" s="63"/>
      <c r="G546" s="65"/>
      <c r="H546" s="65"/>
      <c r="I546" s="65"/>
      <c r="J546" s="50"/>
    </row>
    <row r="547" spans="2:10" ht="15.75" customHeight="1" x14ac:dyDescent="0.25">
      <c r="B547" s="62"/>
      <c r="C547" s="63"/>
      <c r="D547" s="64"/>
      <c r="E547" s="63"/>
      <c r="F547" s="63"/>
      <c r="G547" s="65"/>
      <c r="H547" s="65"/>
      <c r="I547" s="65"/>
      <c r="J547" s="50"/>
    </row>
    <row r="548" spans="2:10" ht="15.75" customHeight="1" x14ac:dyDescent="0.25">
      <c r="B548" s="62"/>
      <c r="C548" s="63"/>
      <c r="D548" s="64"/>
      <c r="E548" s="63"/>
      <c r="F548" s="63"/>
      <c r="G548" s="65"/>
      <c r="H548" s="65"/>
      <c r="I548" s="65"/>
      <c r="J548" s="50"/>
    </row>
    <row r="549" spans="2:10" ht="15.75" customHeight="1" x14ac:dyDescent="0.25">
      <c r="B549" s="62"/>
      <c r="C549" s="63"/>
      <c r="D549" s="64"/>
      <c r="E549" s="63"/>
      <c r="F549" s="63"/>
      <c r="G549" s="65"/>
      <c r="H549" s="65"/>
      <c r="I549" s="65"/>
      <c r="J549" s="50"/>
    </row>
    <row r="550" spans="2:10" ht="15.75" customHeight="1" x14ac:dyDescent="0.25">
      <c r="B550" s="62"/>
      <c r="C550" s="63"/>
      <c r="D550" s="64"/>
      <c r="E550" s="63"/>
      <c r="F550" s="63"/>
      <c r="G550" s="65"/>
      <c r="H550" s="65"/>
      <c r="I550" s="65"/>
      <c r="J550" s="50"/>
    </row>
    <row r="551" spans="2:10" ht="15.75" customHeight="1" x14ac:dyDescent="0.25">
      <c r="B551" s="62"/>
      <c r="C551" s="63"/>
      <c r="D551" s="64"/>
      <c r="E551" s="63"/>
      <c r="F551" s="63"/>
      <c r="G551" s="65"/>
      <c r="H551" s="65"/>
      <c r="I551" s="65"/>
      <c r="J551" s="50"/>
    </row>
    <row r="552" spans="2:10" ht="15.75" customHeight="1" x14ac:dyDescent="0.25">
      <c r="B552" s="62"/>
      <c r="C552" s="63"/>
      <c r="D552" s="64"/>
      <c r="E552" s="63"/>
      <c r="F552" s="63"/>
      <c r="G552" s="65"/>
      <c r="H552" s="65"/>
      <c r="I552" s="65"/>
      <c r="J552" s="50"/>
    </row>
    <row r="553" spans="2:10" ht="15.75" customHeight="1" x14ac:dyDescent="0.25">
      <c r="B553" s="62"/>
      <c r="C553" s="63"/>
      <c r="D553" s="64"/>
      <c r="E553" s="63"/>
      <c r="F553" s="63"/>
      <c r="G553" s="65"/>
      <c r="H553" s="65"/>
      <c r="I553" s="65"/>
      <c r="J553" s="50"/>
    </row>
    <row r="554" spans="2:10" ht="15.75" customHeight="1" x14ac:dyDescent="0.25">
      <c r="B554" s="62"/>
      <c r="C554" s="63"/>
      <c r="D554" s="64"/>
      <c r="E554" s="63"/>
      <c r="F554" s="63"/>
      <c r="G554" s="65"/>
      <c r="H554" s="65"/>
      <c r="I554" s="65"/>
      <c r="J554" s="50"/>
    </row>
    <row r="555" spans="2:10" ht="15.75" customHeight="1" x14ac:dyDescent="0.25">
      <c r="B555" s="62"/>
      <c r="C555" s="63"/>
      <c r="D555" s="64"/>
      <c r="E555" s="63"/>
      <c r="F555" s="63"/>
      <c r="G555" s="65"/>
      <c r="H555" s="65"/>
      <c r="I555" s="65"/>
      <c r="J555" s="50"/>
    </row>
    <row r="556" spans="2:10" ht="15.75" customHeight="1" x14ac:dyDescent="0.25">
      <c r="B556" s="62"/>
      <c r="C556" s="63"/>
      <c r="D556" s="64"/>
      <c r="E556" s="63"/>
      <c r="F556" s="63"/>
      <c r="G556" s="65"/>
      <c r="H556" s="65"/>
      <c r="I556" s="65"/>
      <c r="J556" s="50"/>
    </row>
    <row r="557" spans="2:10" ht="15.75" customHeight="1" x14ac:dyDescent="0.25">
      <c r="B557" s="62"/>
      <c r="C557" s="63"/>
      <c r="D557" s="64"/>
      <c r="E557" s="63"/>
      <c r="F557" s="63"/>
      <c r="G557" s="65"/>
      <c r="H557" s="65"/>
      <c r="I557" s="65"/>
      <c r="J557" s="50"/>
    </row>
    <row r="558" spans="2:10" ht="15.75" customHeight="1" x14ac:dyDescent="0.25">
      <c r="B558" s="62"/>
      <c r="C558" s="63"/>
      <c r="D558" s="64"/>
      <c r="E558" s="63"/>
      <c r="F558" s="63"/>
      <c r="G558" s="65"/>
      <c r="H558" s="65"/>
      <c r="I558" s="65"/>
      <c r="J558" s="50"/>
    </row>
    <row r="559" spans="2:10" ht="15.75" customHeight="1" x14ac:dyDescent="0.25">
      <c r="B559" s="62"/>
      <c r="C559" s="63"/>
      <c r="D559" s="64"/>
      <c r="E559" s="63"/>
      <c r="F559" s="63"/>
      <c r="G559" s="65"/>
      <c r="H559" s="65"/>
      <c r="I559" s="65"/>
      <c r="J559" s="50"/>
    </row>
    <row r="560" spans="2:10" ht="15.75" customHeight="1" x14ac:dyDescent="0.25">
      <c r="B560" s="62"/>
      <c r="C560" s="63"/>
      <c r="D560" s="64"/>
      <c r="E560" s="63"/>
      <c r="F560" s="63"/>
      <c r="G560" s="65"/>
      <c r="H560" s="65"/>
      <c r="I560" s="65"/>
      <c r="J560" s="50"/>
    </row>
    <row r="561" spans="2:10" ht="15.75" customHeight="1" x14ac:dyDescent="0.25">
      <c r="B561" s="62"/>
      <c r="C561" s="63"/>
      <c r="D561" s="64"/>
      <c r="E561" s="63"/>
      <c r="F561" s="63"/>
      <c r="G561" s="65"/>
      <c r="H561" s="65"/>
      <c r="I561" s="65"/>
      <c r="J561" s="50"/>
    </row>
    <row r="562" spans="2:10" ht="15.75" customHeight="1" x14ac:dyDescent="0.25">
      <c r="B562" s="62"/>
      <c r="C562" s="63"/>
      <c r="D562" s="64"/>
      <c r="E562" s="63"/>
      <c r="F562" s="63"/>
      <c r="G562" s="65"/>
      <c r="H562" s="65"/>
      <c r="I562" s="65"/>
      <c r="J562" s="50"/>
    </row>
    <row r="563" spans="2:10" ht="15.75" customHeight="1" x14ac:dyDescent="0.25">
      <c r="B563" s="62"/>
      <c r="C563" s="63"/>
      <c r="D563" s="64"/>
      <c r="E563" s="63"/>
      <c r="F563" s="63"/>
      <c r="G563" s="65"/>
      <c r="H563" s="65"/>
      <c r="I563" s="65"/>
      <c r="J563" s="50"/>
    </row>
    <row r="564" spans="2:10" ht="15.75" customHeight="1" x14ac:dyDescent="0.25">
      <c r="B564" s="62"/>
      <c r="C564" s="63"/>
      <c r="D564" s="64"/>
      <c r="E564" s="63"/>
      <c r="F564" s="63"/>
      <c r="G564" s="65"/>
      <c r="H564" s="65"/>
      <c r="I564" s="65"/>
      <c r="J564" s="50"/>
    </row>
    <row r="565" spans="2:10" ht="15.75" customHeight="1" x14ac:dyDescent="0.25">
      <c r="B565" s="62"/>
      <c r="C565" s="63"/>
      <c r="D565" s="64"/>
      <c r="E565" s="63"/>
      <c r="F565" s="63"/>
      <c r="G565" s="65"/>
      <c r="H565" s="65"/>
      <c r="I565" s="65"/>
      <c r="J565" s="50"/>
    </row>
    <row r="566" spans="2:10" ht="15.75" customHeight="1" x14ac:dyDescent="0.25">
      <c r="B566" s="62"/>
      <c r="C566" s="63"/>
      <c r="D566" s="64"/>
      <c r="E566" s="63"/>
      <c r="F566" s="63"/>
      <c r="G566" s="65"/>
      <c r="H566" s="65"/>
      <c r="I566" s="65"/>
      <c r="J566" s="50"/>
    </row>
    <row r="567" spans="2:10" ht="15.75" customHeight="1" x14ac:dyDescent="0.25">
      <c r="B567" s="62"/>
      <c r="C567" s="63"/>
      <c r="D567" s="64"/>
      <c r="E567" s="63"/>
      <c r="F567" s="63"/>
      <c r="G567" s="65"/>
      <c r="H567" s="65"/>
      <c r="I567" s="65"/>
      <c r="J567" s="50"/>
    </row>
    <row r="568" spans="2:10" ht="15.75" customHeight="1" x14ac:dyDescent="0.25">
      <c r="B568" s="62"/>
      <c r="C568" s="63"/>
      <c r="D568" s="64"/>
      <c r="E568" s="63"/>
      <c r="F568" s="63"/>
      <c r="G568" s="65"/>
      <c r="H568" s="65"/>
      <c r="I568" s="65"/>
      <c r="J568" s="50"/>
    </row>
    <row r="569" spans="2:10" ht="15.75" customHeight="1" x14ac:dyDescent="0.25">
      <c r="B569" s="62"/>
      <c r="C569" s="63"/>
      <c r="D569" s="64"/>
      <c r="E569" s="63"/>
      <c r="F569" s="63"/>
      <c r="G569" s="65"/>
      <c r="H569" s="65"/>
      <c r="I569" s="65"/>
      <c r="J569" s="50"/>
    </row>
    <row r="570" spans="2:10" ht="15.75" customHeight="1" x14ac:dyDescent="0.25">
      <c r="B570" s="62"/>
      <c r="C570" s="63"/>
      <c r="D570" s="64"/>
      <c r="E570" s="63"/>
      <c r="F570" s="63"/>
      <c r="G570" s="65"/>
      <c r="H570" s="65"/>
      <c r="I570" s="65"/>
      <c r="J570" s="50"/>
    </row>
    <row r="571" spans="2:10" ht="15.75" customHeight="1" x14ac:dyDescent="0.25">
      <c r="B571" s="62"/>
      <c r="C571" s="63"/>
      <c r="D571" s="64"/>
      <c r="E571" s="63"/>
      <c r="F571" s="63"/>
      <c r="G571" s="65"/>
      <c r="H571" s="65"/>
      <c r="I571" s="65"/>
      <c r="J571" s="50"/>
    </row>
    <row r="572" spans="2:10" ht="15.75" customHeight="1" x14ac:dyDescent="0.25">
      <c r="B572" s="62"/>
      <c r="C572" s="63"/>
      <c r="D572" s="64"/>
      <c r="E572" s="63"/>
      <c r="F572" s="63"/>
      <c r="G572" s="65"/>
      <c r="H572" s="65"/>
      <c r="I572" s="65"/>
      <c r="J572" s="50"/>
    </row>
    <row r="573" spans="2:10" ht="15.75" customHeight="1" x14ac:dyDescent="0.25">
      <c r="B573" s="62"/>
      <c r="C573" s="63"/>
      <c r="D573" s="64"/>
      <c r="E573" s="63"/>
      <c r="F573" s="63"/>
      <c r="G573" s="65"/>
      <c r="H573" s="65"/>
      <c r="I573" s="65"/>
      <c r="J573" s="50"/>
    </row>
    <row r="574" spans="2:10" ht="15.75" customHeight="1" x14ac:dyDescent="0.25">
      <c r="B574" s="62"/>
      <c r="C574" s="63"/>
      <c r="D574" s="64"/>
      <c r="E574" s="63"/>
      <c r="F574" s="63"/>
      <c r="G574" s="65"/>
      <c r="H574" s="65"/>
      <c r="I574" s="65"/>
      <c r="J574" s="50"/>
    </row>
    <row r="575" spans="2:10" ht="15.75" customHeight="1" x14ac:dyDescent="0.25">
      <c r="B575" s="62"/>
      <c r="C575" s="63"/>
      <c r="D575" s="64"/>
      <c r="E575" s="63"/>
      <c r="F575" s="63"/>
      <c r="G575" s="65"/>
      <c r="H575" s="65"/>
      <c r="I575" s="65"/>
      <c r="J575" s="50"/>
    </row>
    <row r="576" spans="2:10" ht="15.75" customHeight="1" x14ac:dyDescent="0.25">
      <c r="B576" s="62"/>
      <c r="C576" s="63"/>
      <c r="D576" s="64"/>
      <c r="E576" s="63"/>
      <c r="F576" s="63"/>
      <c r="G576" s="65"/>
      <c r="H576" s="65"/>
      <c r="I576" s="65"/>
      <c r="J576" s="50"/>
    </row>
    <row r="577" spans="2:10" ht="15.75" customHeight="1" x14ac:dyDescent="0.25">
      <c r="B577" s="62"/>
      <c r="C577" s="63"/>
      <c r="D577" s="64"/>
      <c r="E577" s="63"/>
      <c r="F577" s="63"/>
      <c r="G577" s="65"/>
      <c r="H577" s="65"/>
      <c r="I577" s="65"/>
      <c r="J577" s="50"/>
    </row>
    <row r="578" spans="2:10" ht="15.75" customHeight="1" x14ac:dyDescent="0.25">
      <c r="B578" s="62"/>
      <c r="C578" s="63"/>
      <c r="D578" s="64"/>
      <c r="E578" s="63"/>
      <c r="F578" s="63"/>
      <c r="G578" s="65"/>
      <c r="H578" s="65"/>
      <c r="I578" s="65"/>
      <c r="J578" s="50"/>
    </row>
    <row r="579" spans="2:10" ht="15.75" customHeight="1" x14ac:dyDescent="0.25">
      <c r="B579" s="62"/>
      <c r="C579" s="63"/>
      <c r="D579" s="64"/>
      <c r="E579" s="63"/>
      <c r="F579" s="63"/>
      <c r="G579" s="65"/>
      <c r="H579" s="65"/>
      <c r="I579" s="65"/>
      <c r="J579" s="50"/>
    </row>
    <row r="580" spans="2:10" ht="15.75" customHeight="1" x14ac:dyDescent="0.25">
      <c r="B580" s="62"/>
      <c r="C580" s="63"/>
      <c r="D580" s="64"/>
      <c r="E580" s="63"/>
      <c r="F580" s="63"/>
      <c r="G580" s="65"/>
      <c r="H580" s="65"/>
      <c r="I580" s="65"/>
      <c r="J580" s="50"/>
    </row>
    <row r="581" spans="2:10" ht="15.75" customHeight="1" x14ac:dyDescent="0.25">
      <c r="B581" s="62"/>
      <c r="C581" s="63"/>
      <c r="D581" s="64"/>
      <c r="E581" s="63"/>
      <c r="F581" s="63"/>
      <c r="G581" s="65"/>
      <c r="H581" s="65"/>
      <c r="I581" s="65"/>
      <c r="J581" s="50"/>
    </row>
    <row r="582" spans="2:10" ht="15.75" customHeight="1" x14ac:dyDescent="0.25">
      <c r="B582" s="62"/>
      <c r="C582" s="63"/>
      <c r="D582" s="64"/>
      <c r="E582" s="63"/>
      <c r="F582" s="63"/>
      <c r="G582" s="65"/>
      <c r="H582" s="65"/>
      <c r="I582" s="65"/>
      <c r="J582" s="50"/>
    </row>
    <row r="583" spans="2:10" ht="15.75" customHeight="1" x14ac:dyDescent="0.25">
      <c r="B583" s="62"/>
      <c r="C583" s="63"/>
      <c r="D583" s="64"/>
      <c r="E583" s="63"/>
      <c r="F583" s="63"/>
      <c r="G583" s="65"/>
      <c r="H583" s="65"/>
      <c r="I583" s="65"/>
      <c r="J583" s="50"/>
    </row>
    <row r="584" spans="2:10" ht="15.75" customHeight="1" x14ac:dyDescent="0.25">
      <c r="B584" s="62"/>
      <c r="C584" s="63"/>
      <c r="D584" s="64"/>
      <c r="E584" s="63"/>
      <c r="F584" s="63"/>
      <c r="G584" s="65"/>
      <c r="H584" s="65"/>
      <c r="I584" s="65"/>
      <c r="J584" s="50"/>
    </row>
    <row r="585" spans="2:10" ht="15.75" customHeight="1" x14ac:dyDescent="0.25">
      <c r="B585" s="62"/>
      <c r="C585" s="63"/>
      <c r="D585" s="64"/>
      <c r="E585" s="63"/>
      <c r="F585" s="63"/>
      <c r="G585" s="65"/>
      <c r="H585" s="65"/>
      <c r="I585" s="65"/>
      <c r="J585" s="50"/>
    </row>
    <row r="586" spans="2:10" ht="15.75" customHeight="1" x14ac:dyDescent="0.25">
      <c r="B586" s="62"/>
      <c r="C586" s="63"/>
      <c r="D586" s="64"/>
      <c r="E586" s="63"/>
      <c r="F586" s="63"/>
      <c r="G586" s="65"/>
      <c r="H586" s="65"/>
      <c r="I586" s="65"/>
      <c r="J586" s="50"/>
    </row>
    <row r="587" spans="2:10" ht="15.75" customHeight="1" x14ac:dyDescent="0.25">
      <c r="B587" s="62"/>
      <c r="C587" s="63"/>
      <c r="D587" s="64"/>
      <c r="E587" s="63"/>
      <c r="F587" s="63"/>
      <c r="G587" s="65"/>
      <c r="H587" s="65"/>
      <c r="I587" s="65"/>
      <c r="J587" s="50"/>
    </row>
    <row r="588" spans="2:10" ht="15.75" customHeight="1" x14ac:dyDescent="0.25">
      <c r="B588" s="62"/>
      <c r="C588" s="63"/>
      <c r="D588" s="64"/>
      <c r="E588" s="63"/>
      <c r="F588" s="63"/>
      <c r="G588" s="65"/>
      <c r="H588" s="65"/>
      <c r="I588" s="65"/>
      <c r="J588" s="50"/>
    </row>
    <row r="589" spans="2:10" ht="15.75" customHeight="1" x14ac:dyDescent="0.25">
      <c r="B589" s="62"/>
      <c r="C589" s="63"/>
      <c r="D589" s="64"/>
      <c r="E589" s="63"/>
      <c r="F589" s="63"/>
      <c r="G589" s="65"/>
      <c r="H589" s="65"/>
      <c r="I589" s="65"/>
      <c r="J589" s="50"/>
    </row>
    <row r="590" spans="2:10" ht="15.75" customHeight="1" x14ac:dyDescent="0.25">
      <c r="B590" s="62"/>
      <c r="C590" s="63"/>
      <c r="D590" s="64"/>
      <c r="E590" s="63"/>
      <c r="F590" s="63"/>
      <c r="G590" s="65"/>
      <c r="H590" s="65"/>
      <c r="I590" s="65"/>
      <c r="J590" s="50"/>
    </row>
    <row r="591" spans="2:10" ht="15.75" customHeight="1" x14ac:dyDescent="0.25">
      <c r="B591" s="62"/>
      <c r="C591" s="63"/>
      <c r="D591" s="64"/>
      <c r="E591" s="63"/>
      <c r="F591" s="63"/>
      <c r="G591" s="65"/>
      <c r="H591" s="65"/>
      <c r="I591" s="65"/>
      <c r="J591" s="50"/>
    </row>
    <row r="592" spans="2:10" ht="15.75" customHeight="1" x14ac:dyDescent="0.25">
      <c r="B592" s="62"/>
      <c r="C592" s="63"/>
      <c r="D592" s="64"/>
      <c r="E592" s="63"/>
      <c r="F592" s="63"/>
      <c r="G592" s="65"/>
      <c r="H592" s="65"/>
      <c r="I592" s="65"/>
      <c r="J592" s="50"/>
    </row>
    <row r="593" spans="2:10" ht="15.75" customHeight="1" x14ac:dyDescent="0.25">
      <c r="B593" s="62"/>
      <c r="C593" s="63"/>
      <c r="D593" s="64"/>
      <c r="E593" s="63"/>
      <c r="F593" s="63"/>
      <c r="G593" s="65"/>
      <c r="H593" s="65"/>
      <c r="I593" s="65"/>
      <c r="J593" s="50"/>
    </row>
    <row r="594" spans="2:10" ht="15.75" customHeight="1" x14ac:dyDescent="0.25">
      <c r="B594" s="62"/>
      <c r="C594" s="63"/>
      <c r="D594" s="64"/>
      <c r="E594" s="63"/>
      <c r="F594" s="63"/>
      <c r="G594" s="65"/>
      <c r="H594" s="65"/>
      <c r="I594" s="65"/>
      <c r="J594" s="50"/>
    </row>
    <row r="595" spans="2:10" ht="15.75" customHeight="1" x14ac:dyDescent="0.25">
      <c r="B595" s="62"/>
      <c r="C595" s="63"/>
      <c r="D595" s="64"/>
      <c r="E595" s="63"/>
      <c r="F595" s="63"/>
      <c r="G595" s="65"/>
      <c r="H595" s="65"/>
      <c r="I595" s="65"/>
      <c r="J595" s="50"/>
    </row>
    <row r="596" spans="2:10" ht="15.75" customHeight="1" x14ac:dyDescent="0.25">
      <c r="B596" s="62"/>
      <c r="C596" s="63"/>
      <c r="D596" s="64"/>
      <c r="E596" s="63"/>
      <c r="F596" s="63"/>
      <c r="G596" s="65"/>
      <c r="H596" s="65"/>
      <c r="I596" s="65"/>
      <c r="J596" s="50"/>
    </row>
    <row r="597" spans="2:10" ht="15.75" customHeight="1" x14ac:dyDescent="0.25">
      <c r="B597" s="62"/>
      <c r="C597" s="63"/>
      <c r="D597" s="64"/>
      <c r="E597" s="63"/>
      <c r="F597" s="63"/>
      <c r="G597" s="65"/>
      <c r="H597" s="65"/>
      <c r="I597" s="65"/>
      <c r="J597" s="50"/>
    </row>
    <row r="598" spans="2:10" ht="15.75" customHeight="1" x14ac:dyDescent="0.25">
      <c r="B598" s="62"/>
      <c r="C598" s="63"/>
      <c r="D598" s="64"/>
      <c r="E598" s="63"/>
      <c r="F598" s="63"/>
      <c r="G598" s="65"/>
      <c r="H598" s="65"/>
      <c r="I598" s="65"/>
      <c r="J598" s="50"/>
    </row>
    <row r="599" spans="2:10" ht="15.75" customHeight="1" x14ac:dyDescent="0.25">
      <c r="B599" s="62"/>
      <c r="C599" s="63"/>
      <c r="D599" s="64"/>
      <c r="E599" s="63"/>
      <c r="F599" s="63"/>
      <c r="G599" s="65"/>
      <c r="H599" s="65"/>
      <c r="I599" s="65"/>
      <c r="J599" s="50"/>
    </row>
    <row r="600" spans="2:10" ht="15.75" customHeight="1" x14ac:dyDescent="0.25">
      <c r="B600" s="62"/>
      <c r="C600" s="63"/>
      <c r="D600" s="64"/>
      <c r="E600" s="63"/>
      <c r="F600" s="63"/>
      <c r="G600" s="65"/>
      <c r="H600" s="65"/>
      <c r="I600" s="65"/>
      <c r="J600" s="50"/>
    </row>
    <row r="601" spans="2:10" ht="15.75" customHeight="1" x14ac:dyDescent="0.25">
      <c r="B601" s="62"/>
      <c r="C601" s="63"/>
      <c r="D601" s="64"/>
      <c r="E601" s="63"/>
      <c r="F601" s="63"/>
      <c r="G601" s="65"/>
      <c r="H601" s="65"/>
      <c r="I601" s="65"/>
      <c r="J601" s="50"/>
    </row>
    <row r="602" spans="2:10" ht="15.75" customHeight="1" x14ac:dyDescent="0.25">
      <c r="B602" s="62"/>
      <c r="C602" s="63"/>
      <c r="D602" s="64"/>
      <c r="E602" s="63"/>
      <c r="F602" s="63"/>
      <c r="G602" s="65"/>
      <c r="H602" s="65"/>
      <c r="I602" s="65"/>
      <c r="J602" s="50"/>
    </row>
    <row r="603" spans="2:10" ht="15.75" customHeight="1" x14ac:dyDescent="0.25">
      <c r="B603" s="62"/>
      <c r="C603" s="63"/>
      <c r="D603" s="64"/>
      <c r="E603" s="63"/>
      <c r="F603" s="63"/>
      <c r="G603" s="65"/>
      <c r="H603" s="65"/>
      <c r="I603" s="65"/>
      <c r="J603" s="50"/>
    </row>
    <row r="604" spans="2:10" ht="15.75" customHeight="1" x14ac:dyDescent="0.25">
      <c r="B604" s="62"/>
      <c r="C604" s="63"/>
      <c r="D604" s="64"/>
      <c r="E604" s="63"/>
      <c r="F604" s="63"/>
      <c r="G604" s="65"/>
      <c r="H604" s="65"/>
      <c r="I604" s="65"/>
      <c r="J604" s="50"/>
    </row>
    <row r="605" spans="2:10" ht="15.75" customHeight="1" x14ac:dyDescent="0.25">
      <c r="B605" s="62"/>
      <c r="C605" s="63"/>
      <c r="D605" s="64"/>
      <c r="E605" s="63"/>
      <c r="F605" s="63"/>
      <c r="G605" s="65"/>
      <c r="H605" s="65"/>
      <c r="I605" s="65"/>
      <c r="J605" s="50"/>
    </row>
    <row r="606" spans="2:10" ht="15.75" customHeight="1" x14ac:dyDescent="0.25">
      <c r="B606" s="62"/>
      <c r="C606" s="63"/>
      <c r="D606" s="64"/>
      <c r="E606" s="63"/>
      <c r="F606" s="63"/>
      <c r="G606" s="65"/>
      <c r="H606" s="65"/>
      <c r="I606" s="65"/>
      <c r="J606" s="50"/>
    </row>
    <row r="607" spans="2:10" ht="15.75" customHeight="1" x14ac:dyDescent="0.25">
      <c r="B607" s="62"/>
      <c r="C607" s="63"/>
      <c r="D607" s="64"/>
      <c r="E607" s="63"/>
      <c r="F607" s="63"/>
      <c r="G607" s="65"/>
      <c r="H607" s="65"/>
      <c r="I607" s="65"/>
      <c r="J607" s="50"/>
    </row>
    <row r="608" spans="2:10" ht="15.75" customHeight="1" x14ac:dyDescent="0.25">
      <c r="B608" s="62"/>
      <c r="C608" s="63"/>
      <c r="D608" s="64"/>
      <c r="E608" s="63"/>
      <c r="F608" s="63"/>
      <c r="G608" s="65"/>
      <c r="H608" s="65"/>
      <c r="I608" s="65"/>
      <c r="J608" s="50"/>
    </row>
    <row r="609" spans="2:10" ht="15.75" customHeight="1" x14ac:dyDescent="0.25">
      <c r="B609" s="62"/>
      <c r="C609" s="63"/>
      <c r="D609" s="64"/>
      <c r="E609" s="63"/>
      <c r="F609" s="63"/>
      <c r="G609" s="65"/>
      <c r="H609" s="65"/>
      <c r="I609" s="65"/>
      <c r="J609" s="50"/>
    </row>
    <row r="610" spans="2:10" ht="15.75" customHeight="1" x14ac:dyDescent="0.25">
      <c r="B610" s="62"/>
      <c r="C610" s="63"/>
      <c r="D610" s="64"/>
      <c r="E610" s="63"/>
      <c r="F610" s="63"/>
      <c r="G610" s="65"/>
      <c r="H610" s="65"/>
      <c r="I610" s="65"/>
      <c r="J610" s="50"/>
    </row>
    <row r="611" spans="2:10" ht="15.75" customHeight="1" x14ac:dyDescent="0.25">
      <c r="B611" s="62"/>
      <c r="C611" s="63"/>
      <c r="D611" s="64"/>
      <c r="E611" s="63"/>
      <c r="F611" s="63"/>
      <c r="G611" s="65"/>
      <c r="H611" s="65"/>
      <c r="I611" s="65"/>
      <c r="J611" s="50"/>
    </row>
    <row r="612" spans="2:10" ht="15.75" customHeight="1" x14ac:dyDescent="0.25">
      <c r="B612" s="62"/>
      <c r="C612" s="63"/>
      <c r="D612" s="64"/>
      <c r="E612" s="63"/>
      <c r="F612" s="63"/>
      <c r="G612" s="65"/>
      <c r="H612" s="65"/>
      <c r="I612" s="65"/>
      <c r="J612" s="50"/>
    </row>
    <row r="613" spans="2:10" ht="15.75" customHeight="1" x14ac:dyDescent="0.25">
      <c r="B613" s="62"/>
      <c r="C613" s="63"/>
      <c r="D613" s="64"/>
      <c r="E613" s="63"/>
      <c r="F613" s="63"/>
      <c r="G613" s="65"/>
      <c r="H613" s="65"/>
      <c r="I613" s="65"/>
      <c r="J613" s="50"/>
    </row>
    <row r="614" spans="2:10" ht="15.75" customHeight="1" x14ac:dyDescent="0.25">
      <c r="B614" s="62"/>
      <c r="C614" s="63"/>
      <c r="D614" s="64"/>
      <c r="E614" s="63"/>
      <c r="F614" s="63"/>
      <c r="G614" s="65"/>
      <c r="H614" s="65"/>
      <c r="I614" s="65"/>
      <c r="J614" s="50"/>
    </row>
    <row r="615" spans="2:10" ht="15.75" customHeight="1" x14ac:dyDescent="0.25">
      <c r="B615" s="62"/>
      <c r="C615" s="63"/>
      <c r="D615" s="64"/>
      <c r="E615" s="63"/>
      <c r="F615" s="63"/>
      <c r="G615" s="65"/>
      <c r="H615" s="65"/>
      <c r="I615" s="65"/>
      <c r="J615" s="50"/>
    </row>
    <row r="616" spans="2:10" ht="15.75" customHeight="1" x14ac:dyDescent="0.25">
      <c r="B616" s="62"/>
      <c r="C616" s="63"/>
      <c r="D616" s="64"/>
      <c r="E616" s="63"/>
      <c r="F616" s="63"/>
      <c r="G616" s="65"/>
      <c r="H616" s="65"/>
      <c r="I616" s="65"/>
      <c r="J616" s="50"/>
    </row>
    <row r="617" spans="2:10" ht="15.75" customHeight="1" x14ac:dyDescent="0.25">
      <c r="B617" s="62"/>
      <c r="C617" s="63"/>
      <c r="D617" s="64"/>
      <c r="E617" s="63"/>
      <c r="F617" s="63"/>
      <c r="G617" s="65"/>
      <c r="H617" s="65"/>
      <c r="I617" s="65"/>
      <c r="J617" s="50"/>
    </row>
    <row r="618" spans="2:10" ht="15.75" customHeight="1" x14ac:dyDescent="0.25">
      <c r="B618" s="62"/>
      <c r="C618" s="63"/>
      <c r="D618" s="64"/>
      <c r="E618" s="63"/>
      <c r="F618" s="63"/>
      <c r="G618" s="65"/>
      <c r="H618" s="65"/>
      <c r="I618" s="65"/>
      <c r="J618" s="50"/>
    </row>
    <row r="619" spans="2:10" ht="15.75" customHeight="1" x14ac:dyDescent="0.25">
      <c r="B619" s="62"/>
      <c r="C619" s="63"/>
      <c r="D619" s="64"/>
      <c r="E619" s="63"/>
      <c r="F619" s="63"/>
      <c r="G619" s="65"/>
      <c r="H619" s="65"/>
      <c r="I619" s="65"/>
      <c r="J619" s="50"/>
    </row>
    <row r="620" spans="2:10" ht="15.75" customHeight="1" x14ac:dyDescent="0.25">
      <c r="B620" s="62"/>
      <c r="C620" s="63"/>
      <c r="D620" s="64"/>
      <c r="E620" s="63"/>
      <c r="F620" s="63"/>
      <c r="G620" s="65"/>
      <c r="H620" s="65"/>
      <c r="I620" s="65"/>
      <c r="J620" s="50"/>
    </row>
    <row r="621" spans="2:10" ht="15.75" customHeight="1" x14ac:dyDescent="0.25">
      <c r="B621" s="62"/>
      <c r="C621" s="63"/>
      <c r="D621" s="64"/>
      <c r="E621" s="63"/>
      <c r="F621" s="63"/>
      <c r="G621" s="65"/>
      <c r="H621" s="65"/>
      <c r="I621" s="65"/>
      <c r="J621" s="50"/>
    </row>
    <row r="622" spans="2:10" ht="15.75" customHeight="1" x14ac:dyDescent="0.25">
      <c r="B622" s="62"/>
      <c r="C622" s="63"/>
      <c r="D622" s="64"/>
      <c r="E622" s="63"/>
      <c r="F622" s="63"/>
      <c r="G622" s="65"/>
      <c r="H622" s="65"/>
      <c r="I622" s="65"/>
      <c r="J622" s="50"/>
    </row>
    <row r="623" spans="2:10" ht="15.75" customHeight="1" x14ac:dyDescent="0.25">
      <c r="B623" s="62"/>
      <c r="C623" s="63"/>
      <c r="D623" s="64"/>
      <c r="E623" s="63"/>
      <c r="F623" s="63"/>
      <c r="G623" s="65"/>
      <c r="H623" s="65"/>
      <c r="I623" s="65"/>
      <c r="J623" s="50"/>
    </row>
    <row r="624" spans="2:10" ht="15.75" customHeight="1" x14ac:dyDescent="0.25">
      <c r="B624" s="62"/>
      <c r="C624" s="63"/>
      <c r="D624" s="64"/>
      <c r="E624" s="63"/>
      <c r="F624" s="63"/>
      <c r="G624" s="65"/>
      <c r="H624" s="65"/>
      <c r="I624" s="65"/>
      <c r="J624" s="50"/>
    </row>
    <row r="625" spans="2:10" ht="15.75" customHeight="1" x14ac:dyDescent="0.25">
      <c r="B625" s="62"/>
      <c r="C625" s="63"/>
      <c r="D625" s="64"/>
      <c r="E625" s="63"/>
      <c r="F625" s="63"/>
      <c r="G625" s="65"/>
      <c r="H625" s="65"/>
      <c r="I625" s="65"/>
      <c r="J625" s="50"/>
    </row>
    <row r="626" spans="2:10" ht="15.75" customHeight="1" x14ac:dyDescent="0.25">
      <c r="B626" s="62"/>
      <c r="C626" s="63"/>
      <c r="D626" s="64"/>
      <c r="E626" s="63"/>
      <c r="F626" s="63"/>
      <c r="G626" s="65"/>
      <c r="H626" s="65"/>
      <c r="I626" s="65"/>
      <c r="J626" s="50"/>
    </row>
    <row r="627" spans="2:10" ht="15.75" customHeight="1" x14ac:dyDescent="0.25">
      <c r="B627" s="62"/>
      <c r="C627" s="63"/>
      <c r="D627" s="64"/>
      <c r="E627" s="63"/>
      <c r="F627" s="63"/>
      <c r="G627" s="65"/>
      <c r="H627" s="65"/>
      <c r="I627" s="65"/>
      <c r="J627" s="50"/>
    </row>
    <row r="628" spans="2:10" ht="15.75" customHeight="1" x14ac:dyDescent="0.25">
      <c r="B628" s="62"/>
      <c r="C628" s="63"/>
      <c r="D628" s="64"/>
      <c r="E628" s="63"/>
      <c r="F628" s="63"/>
      <c r="G628" s="65"/>
      <c r="H628" s="65"/>
      <c r="I628" s="65"/>
      <c r="J628" s="50"/>
    </row>
    <row r="629" spans="2:10" ht="15.75" customHeight="1" x14ac:dyDescent="0.25">
      <c r="B629" s="62"/>
      <c r="C629" s="63"/>
      <c r="D629" s="64"/>
      <c r="E629" s="63"/>
      <c r="F629" s="63"/>
      <c r="G629" s="65"/>
      <c r="H629" s="65"/>
      <c r="I629" s="65"/>
      <c r="J629" s="50"/>
    </row>
    <row r="630" spans="2:10" ht="15.75" customHeight="1" x14ac:dyDescent="0.25">
      <c r="B630" s="62"/>
      <c r="C630" s="63"/>
      <c r="D630" s="64"/>
      <c r="E630" s="63"/>
      <c r="F630" s="63"/>
      <c r="G630" s="65"/>
      <c r="H630" s="65"/>
      <c r="I630" s="65"/>
      <c r="J630" s="50"/>
    </row>
    <row r="631" spans="2:10" ht="15.75" customHeight="1" x14ac:dyDescent="0.25">
      <c r="B631" s="62"/>
      <c r="C631" s="63"/>
      <c r="D631" s="64"/>
      <c r="E631" s="63"/>
      <c r="F631" s="63"/>
      <c r="G631" s="65"/>
      <c r="H631" s="65"/>
      <c r="I631" s="65"/>
      <c r="J631" s="50"/>
    </row>
    <row r="632" spans="2:10" ht="15.75" customHeight="1" x14ac:dyDescent="0.25">
      <c r="B632" s="62"/>
      <c r="C632" s="63"/>
      <c r="D632" s="64"/>
      <c r="E632" s="63"/>
      <c r="F632" s="63"/>
      <c r="G632" s="65"/>
      <c r="H632" s="65"/>
      <c r="I632" s="65"/>
      <c r="J632" s="50"/>
    </row>
    <row r="633" spans="2:10" ht="15.75" customHeight="1" x14ac:dyDescent="0.25">
      <c r="B633" s="62"/>
      <c r="C633" s="63"/>
      <c r="D633" s="64"/>
      <c r="E633" s="63"/>
      <c r="F633" s="63"/>
      <c r="G633" s="65"/>
      <c r="H633" s="65"/>
      <c r="I633" s="65"/>
      <c r="J633" s="50"/>
    </row>
    <row r="634" spans="2:10" ht="15.75" customHeight="1" x14ac:dyDescent="0.25">
      <c r="B634" s="62"/>
      <c r="C634" s="63"/>
      <c r="D634" s="64"/>
      <c r="E634" s="63"/>
      <c r="F634" s="63"/>
      <c r="G634" s="65"/>
      <c r="H634" s="65"/>
      <c r="I634" s="65"/>
      <c r="J634" s="50"/>
    </row>
    <row r="635" spans="2:10" ht="15.75" customHeight="1" x14ac:dyDescent="0.25">
      <c r="B635" s="62"/>
      <c r="C635" s="63"/>
      <c r="D635" s="64"/>
      <c r="E635" s="63"/>
      <c r="F635" s="63"/>
      <c r="G635" s="65"/>
      <c r="H635" s="65"/>
      <c r="I635" s="65"/>
      <c r="J635" s="50"/>
    </row>
    <row r="636" spans="2:10" ht="15.75" customHeight="1" x14ac:dyDescent="0.25">
      <c r="B636" s="62"/>
      <c r="C636" s="63"/>
      <c r="D636" s="64"/>
      <c r="E636" s="63"/>
      <c r="F636" s="63"/>
      <c r="G636" s="65"/>
      <c r="H636" s="65"/>
      <c r="I636" s="65"/>
      <c r="J636" s="50"/>
    </row>
    <row r="637" spans="2:10" ht="15.75" customHeight="1" x14ac:dyDescent="0.25">
      <c r="B637" s="62"/>
      <c r="C637" s="63"/>
      <c r="D637" s="64"/>
      <c r="E637" s="63"/>
      <c r="F637" s="63"/>
      <c r="G637" s="65"/>
      <c r="H637" s="65"/>
      <c r="I637" s="65"/>
      <c r="J637" s="50"/>
    </row>
    <row r="638" spans="2:10" ht="15.75" customHeight="1" x14ac:dyDescent="0.25">
      <c r="B638" s="62"/>
      <c r="C638" s="63"/>
      <c r="D638" s="64"/>
      <c r="E638" s="63"/>
      <c r="F638" s="63"/>
      <c r="G638" s="65"/>
      <c r="H638" s="65"/>
      <c r="I638" s="65"/>
      <c r="J638" s="50"/>
    </row>
    <row r="639" spans="2:10" ht="15.75" customHeight="1" x14ac:dyDescent="0.25">
      <c r="B639" s="62"/>
      <c r="C639" s="63"/>
      <c r="D639" s="64"/>
      <c r="E639" s="63"/>
      <c r="F639" s="63"/>
      <c r="G639" s="65"/>
      <c r="H639" s="65"/>
      <c r="I639" s="65"/>
      <c r="J639" s="50"/>
    </row>
    <row r="640" spans="2:10" ht="15.75" customHeight="1" x14ac:dyDescent="0.25">
      <c r="B640" s="62"/>
      <c r="C640" s="63"/>
      <c r="D640" s="64"/>
      <c r="E640" s="63"/>
      <c r="F640" s="63"/>
      <c r="G640" s="65"/>
      <c r="H640" s="65"/>
      <c r="I640" s="65"/>
      <c r="J640" s="50"/>
    </row>
    <row r="641" spans="2:10" ht="15.75" customHeight="1" x14ac:dyDescent="0.25">
      <c r="B641" s="62"/>
      <c r="C641" s="63"/>
      <c r="D641" s="64"/>
      <c r="E641" s="63"/>
      <c r="F641" s="63"/>
      <c r="G641" s="65"/>
      <c r="H641" s="65"/>
      <c r="I641" s="65"/>
      <c r="J641" s="50"/>
    </row>
    <row r="642" spans="2:10" ht="15.75" customHeight="1" x14ac:dyDescent="0.25">
      <c r="B642" s="62"/>
      <c r="C642" s="63"/>
      <c r="D642" s="64"/>
      <c r="E642" s="63"/>
      <c r="F642" s="63"/>
      <c r="G642" s="65"/>
      <c r="H642" s="65"/>
      <c r="I642" s="65"/>
      <c r="J642" s="50"/>
    </row>
    <row r="643" spans="2:10" ht="15.75" customHeight="1" x14ac:dyDescent="0.25">
      <c r="B643" s="62"/>
      <c r="C643" s="63"/>
      <c r="D643" s="64"/>
      <c r="E643" s="63"/>
      <c r="F643" s="63"/>
      <c r="G643" s="65"/>
      <c r="H643" s="65"/>
      <c r="I643" s="65"/>
      <c r="J643" s="50"/>
    </row>
    <row r="644" spans="2:10" ht="15.75" customHeight="1" x14ac:dyDescent="0.25">
      <c r="B644" s="62"/>
      <c r="C644" s="63"/>
      <c r="D644" s="64"/>
      <c r="E644" s="63"/>
      <c r="F644" s="63"/>
      <c r="G644" s="65"/>
      <c r="H644" s="65"/>
      <c r="I644" s="65"/>
      <c r="J644" s="50"/>
    </row>
    <row r="645" spans="2:10" ht="15.75" customHeight="1" x14ac:dyDescent="0.25">
      <c r="B645" s="62"/>
      <c r="C645" s="63"/>
      <c r="D645" s="64"/>
      <c r="E645" s="63"/>
      <c r="F645" s="63"/>
      <c r="G645" s="65"/>
      <c r="H645" s="65"/>
      <c r="I645" s="65"/>
      <c r="J645" s="50"/>
    </row>
    <row r="646" spans="2:10" ht="15.75" customHeight="1" x14ac:dyDescent="0.25">
      <c r="B646" s="62"/>
      <c r="C646" s="63"/>
      <c r="D646" s="64"/>
      <c r="E646" s="63"/>
      <c r="F646" s="63"/>
      <c r="G646" s="65"/>
      <c r="H646" s="65"/>
      <c r="I646" s="65"/>
      <c r="J646" s="50"/>
    </row>
    <row r="647" spans="2:10" ht="15.75" customHeight="1" x14ac:dyDescent="0.25">
      <c r="B647" s="62"/>
      <c r="C647" s="63"/>
      <c r="D647" s="64"/>
      <c r="E647" s="63"/>
      <c r="F647" s="63"/>
      <c r="G647" s="65"/>
      <c r="H647" s="65"/>
      <c r="I647" s="65"/>
      <c r="J647" s="50"/>
    </row>
    <row r="648" spans="2:10" ht="15.75" customHeight="1" x14ac:dyDescent="0.25">
      <c r="B648" s="62"/>
      <c r="C648" s="63"/>
      <c r="D648" s="64"/>
      <c r="E648" s="63"/>
      <c r="F648" s="63"/>
      <c r="G648" s="65"/>
      <c r="H648" s="65"/>
      <c r="I648" s="65"/>
      <c r="J648" s="50"/>
    </row>
    <row r="649" spans="2:10" ht="15.75" customHeight="1" x14ac:dyDescent="0.25">
      <c r="B649" s="62"/>
      <c r="C649" s="63"/>
      <c r="D649" s="64"/>
      <c r="E649" s="63"/>
      <c r="F649" s="63"/>
      <c r="G649" s="65"/>
      <c r="H649" s="65"/>
      <c r="I649" s="65"/>
      <c r="J649" s="50"/>
    </row>
    <row r="650" spans="2:10" ht="15.75" customHeight="1" x14ac:dyDescent="0.25">
      <c r="B650" s="62"/>
      <c r="C650" s="63"/>
      <c r="D650" s="64"/>
      <c r="E650" s="63"/>
      <c r="F650" s="63"/>
      <c r="G650" s="65"/>
      <c r="H650" s="65"/>
      <c r="I650" s="65"/>
      <c r="J650" s="50"/>
    </row>
    <row r="651" spans="2:10" ht="15.75" customHeight="1" x14ac:dyDescent="0.25">
      <c r="B651" s="62"/>
      <c r="C651" s="63"/>
      <c r="D651" s="64"/>
      <c r="E651" s="63"/>
      <c r="F651" s="63"/>
      <c r="G651" s="65"/>
      <c r="H651" s="65"/>
      <c r="I651" s="65"/>
      <c r="J651" s="50"/>
    </row>
    <row r="652" spans="2:10" ht="15.75" customHeight="1" x14ac:dyDescent="0.25">
      <c r="B652" s="62"/>
      <c r="C652" s="63"/>
      <c r="D652" s="64"/>
      <c r="E652" s="63"/>
      <c r="F652" s="63"/>
      <c r="G652" s="65"/>
      <c r="H652" s="65"/>
      <c r="I652" s="65"/>
      <c r="J652" s="50"/>
    </row>
    <row r="653" spans="2:10" ht="15.75" customHeight="1" x14ac:dyDescent="0.25">
      <c r="B653" s="62"/>
      <c r="C653" s="63"/>
      <c r="D653" s="64"/>
      <c r="E653" s="63"/>
      <c r="F653" s="63"/>
      <c r="G653" s="65"/>
      <c r="H653" s="65"/>
      <c r="I653" s="65"/>
      <c r="J653" s="50"/>
    </row>
    <row r="654" spans="2:10" ht="15.75" customHeight="1" x14ac:dyDescent="0.25">
      <c r="B654" s="62"/>
      <c r="C654" s="63"/>
      <c r="D654" s="64"/>
      <c r="E654" s="63"/>
      <c r="F654" s="63"/>
      <c r="G654" s="65"/>
      <c r="H654" s="65"/>
      <c r="I654" s="65"/>
      <c r="J654" s="50"/>
    </row>
    <row r="655" spans="2:10" ht="15.75" customHeight="1" x14ac:dyDescent="0.25">
      <c r="B655" s="62"/>
      <c r="C655" s="63"/>
      <c r="D655" s="64"/>
      <c r="E655" s="63"/>
      <c r="F655" s="63"/>
      <c r="G655" s="65"/>
      <c r="H655" s="65"/>
      <c r="I655" s="65"/>
      <c r="J655" s="50"/>
    </row>
    <row r="656" spans="2:10" ht="15.75" customHeight="1" x14ac:dyDescent="0.25">
      <c r="B656" s="62"/>
      <c r="C656" s="63"/>
      <c r="D656" s="64"/>
      <c r="E656" s="63"/>
      <c r="F656" s="63"/>
      <c r="G656" s="65"/>
      <c r="H656" s="65"/>
      <c r="I656" s="65"/>
      <c r="J656" s="50"/>
    </row>
    <row r="657" spans="2:10" ht="15.75" customHeight="1" x14ac:dyDescent="0.25">
      <c r="B657" s="62"/>
      <c r="C657" s="63"/>
      <c r="D657" s="64"/>
      <c r="E657" s="63"/>
      <c r="F657" s="63"/>
      <c r="G657" s="65"/>
      <c r="H657" s="65"/>
      <c r="I657" s="65"/>
      <c r="J657" s="50"/>
    </row>
    <row r="658" spans="2:10" ht="15.75" customHeight="1" x14ac:dyDescent="0.25">
      <c r="B658" s="62"/>
      <c r="C658" s="63"/>
      <c r="D658" s="64"/>
      <c r="E658" s="63"/>
      <c r="F658" s="63"/>
      <c r="G658" s="65"/>
      <c r="H658" s="65"/>
      <c r="I658" s="65"/>
      <c r="J658" s="50"/>
    </row>
    <row r="659" spans="2:10" ht="15.75" customHeight="1" x14ac:dyDescent="0.25">
      <c r="B659" s="62"/>
      <c r="C659" s="63"/>
      <c r="D659" s="64"/>
      <c r="E659" s="63"/>
      <c r="F659" s="63"/>
      <c r="G659" s="65"/>
      <c r="H659" s="65"/>
      <c r="I659" s="65"/>
      <c r="J659" s="50"/>
    </row>
    <row r="660" spans="2:10" ht="15.75" customHeight="1" x14ac:dyDescent="0.25">
      <c r="B660" s="62"/>
      <c r="C660" s="63"/>
      <c r="D660" s="64"/>
      <c r="E660" s="63"/>
      <c r="F660" s="63"/>
      <c r="G660" s="65"/>
      <c r="H660" s="65"/>
      <c r="I660" s="65"/>
      <c r="J660" s="50"/>
    </row>
    <row r="661" spans="2:10" ht="15.75" customHeight="1" x14ac:dyDescent="0.25">
      <c r="B661" s="62"/>
      <c r="C661" s="63"/>
      <c r="D661" s="64"/>
      <c r="E661" s="63"/>
      <c r="F661" s="63"/>
      <c r="G661" s="65"/>
      <c r="H661" s="65"/>
      <c r="I661" s="65"/>
      <c r="J661" s="50"/>
    </row>
    <row r="662" spans="2:10" ht="15.75" customHeight="1" x14ac:dyDescent="0.25">
      <c r="B662" s="62"/>
      <c r="C662" s="63"/>
      <c r="D662" s="64"/>
      <c r="E662" s="63"/>
      <c r="F662" s="63"/>
      <c r="G662" s="65"/>
      <c r="H662" s="65"/>
      <c r="I662" s="65"/>
      <c r="J662" s="50"/>
    </row>
    <row r="663" spans="2:10" ht="15.75" customHeight="1" x14ac:dyDescent="0.25">
      <c r="B663" s="62"/>
      <c r="C663" s="63"/>
      <c r="D663" s="64"/>
      <c r="E663" s="63"/>
      <c r="F663" s="63"/>
      <c r="G663" s="65"/>
      <c r="H663" s="65"/>
      <c r="I663" s="65"/>
      <c r="J663" s="50"/>
    </row>
    <row r="664" spans="2:10" ht="15.75" customHeight="1" x14ac:dyDescent="0.25">
      <c r="B664" s="62"/>
      <c r="C664" s="63"/>
      <c r="D664" s="64"/>
      <c r="E664" s="63"/>
      <c r="F664" s="63"/>
      <c r="G664" s="65"/>
      <c r="H664" s="65"/>
      <c r="I664" s="65"/>
      <c r="J664" s="50"/>
    </row>
    <row r="665" spans="2:10" ht="15.75" customHeight="1" x14ac:dyDescent="0.25">
      <c r="B665" s="62"/>
      <c r="C665" s="63"/>
      <c r="D665" s="64"/>
      <c r="E665" s="63"/>
      <c r="F665" s="63"/>
      <c r="G665" s="65"/>
      <c r="H665" s="65"/>
      <c r="I665" s="65"/>
      <c r="J665" s="50"/>
    </row>
    <row r="666" spans="2:10" ht="15.75" customHeight="1" x14ac:dyDescent="0.25">
      <c r="B666" s="62"/>
      <c r="C666" s="63"/>
      <c r="D666" s="64"/>
      <c r="E666" s="63"/>
      <c r="F666" s="63"/>
      <c r="G666" s="65"/>
      <c r="H666" s="65"/>
      <c r="I666" s="65"/>
      <c r="J666" s="50"/>
    </row>
    <row r="667" spans="2:10" ht="15.75" customHeight="1" x14ac:dyDescent="0.25">
      <c r="B667" s="62"/>
      <c r="C667" s="63"/>
      <c r="D667" s="64"/>
      <c r="E667" s="63"/>
      <c r="F667" s="63"/>
      <c r="G667" s="65"/>
      <c r="H667" s="65"/>
      <c r="I667" s="65"/>
      <c r="J667" s="50"/>
    </row>
    <row r="668" spans="2:10" ht="15.75" customHeight="1" x14ac:dyDescent="0.25">
      <c r="B668" s="62"/>
      <c r="C668" s="63"/>
      <c r="D668" s="64"/>
      <c r="E668" s="63"/>
      <c r="F668" s="63"/>
      <c r="G668" s="65"/>
      <c r="H668" s="65"/>
      <c r="I668" s="65"/>
      <c r="J668" s="50"/>
    </row>
    <row r="669" spans="2:10" ht="15.75" customHeight="1" x14ac:dyDescent="0.25">
      <c r="B669" s="62"/>
      <c r="C669" s="63"/>
      <c r="D669" s="64"/>
      <c r="E669" s="63"/>
      <c r="F669" s="63"/>
      <c r="G669" s="65"/>
      <c r="H669" s="65"/>
      <c r="I669" s="65"/>
      <c r="J669" s="50"/>
    </row>
    <row r="670" spans="2:10" ht="15.75" customHeight="1" x14ac:dyDescent="0.25">
      <c r="B670" s="62"/>
      <c r="C670" s="63"/>
      <c r="D670" s="64"/>
      <c r="E670" s="63"/>
      <c r="F670" s="63"/>
      <c r="G670" s="65"/>
      <c r="H670" s="65"/>
      <c r="I670" s="65"/>
      <c r="J670" s="50"/>
    </row>
    <row r="671" spans="2:10" ht="15.75" customHeight="1" x14ac:dyDescent="0.25">
      <c r="B671" s="62"/>
      <c r="C671" s="63"/>
      <c r="D671" s="64"/>
      <c r="E671" s="63"/>
      <c r="F671" s="63"/>
      <c r="G671" s="65"/>
      <c r="H671" s="65"/>
      <c r="I671" s="65"/>
      <c r="J671" s="50"/>
    </row>
    <row r="672" spans="2:10" ht="15.75" customHeight="1" x14ac:dyDescent="0.25">
      <c r="B672" s="62"/>
      <c r="C672" s="63"/>
      <c r="D672" s="64"/>
      <c r="E672" s="63"/>
      <c r="F672" s="63"/>
      <c r="G672" s="65"/>
      <c r="H672" s="65"/>
      <c r="I672" s="65"/>
      <c r="J672" s="50"/>
    </row>
    <row r="673" spans="2:10" ht="15.75" customHeight="1" x14ac:dyDescent="0.25">
      <c r="B673" s="62"/>
      <c r="C673" s="63"/>
      <c r="D673" s="64"/>
      <c r="E673" s="63"/>
      <c r="F673" s="63"/>
      <c r="G673" s="65"/>
      <c r="H673" s="65"/>
      <c r="I673" s="65"/>
      <c r="J673" s="50"/>
    </row>
    <row r="674" spans="2:10" ht="15.75" customHeight="1" x14ac:dyDescent="0.25">
      <c r="B674" s="62"/>
      <c r="C674" s="63"/>
      <c r="D674" s="64"/>
      <c r="E674" s="63"/>
      <c r="F674" s="63"/>
      <c r="G674" s="65"/>
      <c r="H674" s="65"/>
      <c r="I674" s="65"/>
      <c r="J674" s="50"/>
    </row>
    <row r="675" spans="2:10" ht="15.75" customHeight="1" x14ac:dyDescent="0.25">
      <c r="B675" s="62"/>
      <c r="C675" s="63"/>
      <c r="D675" s="64"/>
      <c r="E675" s="63"/>
      <c r="F675" s="63"/>
      <c r="G675" s="65"/>
      <c r="H675" s="65"/>
      <c r="I675" s="65"/>
      <c r="J675" s="50"/>
    </row>
    <row r="676" spans="2:10" ht="15.75" customHeight="1" x14ac:dyDescent="0.25">
      <c r="B676" s="62"/>
      <c r="C676" s="63"/>
      <c r="D676" s="64"/>
      <c r="E676" s="63"/>
      <c r="F676" s="63"/>
      <c r="G676" s="65"/>
      <c r="H676" s="65"/>
      <c r="I676" s="65"/>
      <c r="J676" s="50"/>
    </row>
    <row r="677" spans="2:10" ht="15.75" customHeight="1" x14ac:dyDescent="0.25">
      <c r="B677" s="62"/>
      <c r="C677" s="63"/>
      <c r="D677" s="64"/>
      <c r="E677" s="63"/>
      <c r="F677" s="63"/>
      <c r="G677" s="65"/>
      <c r="H677" s="65"/>
      <c r="I677" s="65"/>
      <c r="J677" s="50"/>
    </row>
    <row r="678" spans="2:10" ht="15.75" customHeight="1" x14ac:dyDescent="0.25">
      <c r="B678" s="62"/>
      <c r="C678" s="63"/>
      <c r="D678" s="64"/>
      <c r="E678" s="63"/>
      <c r="F678" s="63"/>
      <c r="G678" s="65"/>
      <c r="H678" s="65"/>
      <c r="I678" s="65"/>
      <c r="J678" s="50"/>
    </row>
    <row r="679" spans="2:10" ht="15.75" customHeight="1" x14ac:dyDescent="0.25">
      <c r="B679" s="62"/>
      <c r="C679" s="63"/>
      <c r="D679" s="64"/>
      <c r="E679" s="63"/>
      <c r="F679" s="63"/>
      <c r="G679" s="65"/>
      <c r="H679" s="65"/>
      <c r="I679" s="65"/>
      <c r="J679" s="50"/>
    </row>
    <row r="680" spans="2:10" ht="15.75" customHeight="1" x14ac:dyDescent="0.25">
      <c r="B680" s="62"/>
      <c r="C680" s="63"/>
      <c r="D680" s="64"/>
      <c r="E680" s="63"/>
      <c r="F680" s="63"/>
      <c r="G680" s="65"/>
      <c r="H680" s="65"/>
      <c r="I680" s="65"/>
      <c r="J680" s="50"/>
    </row>
    <row r="681" spans="2:10" ht="15.75" customHeight="1" x14ac:dyDescent="0.25">
      <c r="B681" s="62"/>
      <c r="C681" s="63"/>
      <c r="D681" s="64"/>
      <c r="E681" s="63"/>
      <c r="F681" s="63"/>
      <c r="G681" s="65"/>
      <c r="H681" s="65"/>
      <c r="I681" s="65"/>
      <c r="J681" s="50"/>
    </row>
    <row r="682" spans="2:10" ht="15.75" customHeight="1" x14ac:dyDescent="0.25">
      <c r="B682" s="62"/>
      <c r="C682" s="63"/>
      <c r="D682" s="64"/>
      <c r="E682" s="63"/>
      <c r="F682" s="63"/>
      <c r="G682" s="65"/>
      <c r="H682" s="65"/>
      <c r="I682" s="65"/>
      <c r="J682" s="50"/>
    </row>
    <row r="683" spans="2:10" ht="15.75" customHeight="1" x14ac:dyDescent="0.25">
      <c r="B683" s="62"/>
      <c r="C683" s="63"/>
      <c r="D683" s="64"/>
      <c r="E683" s="63"/>
      <c r="F683" s="63"/>
      <c r="G683" s="65"/>
      <c r="H683" s="65"/>
      <c r="I683" s="65"/>
      <c r="J683" s="50"/>
    </row>
    <row r="684" spans="2:10" ht="15.75" customHeight="1" x14ac:dyDescent="0.25">
      <c r="B684" s="62"/>
      <c r="C684" s="63"/>
      <c r="D684" s="64"/>
      <c r="E684" s="63"/>
      <c r="F684" s="63"/>
      <c r="G684" s="65"/>
      <c r="H684" s="65"/>
      <c r="I684" s="65"/>
      <c r="J684" s="50"/>
    </row>
    <row r="685" spans="2:10" ht="15.75" customHeight="1" x14ac:dyDescent="0.25">
      <c r="B685" s="62"/>
      <c r="C685" s="63"/>
      <c r="D685" s="64"/>
      <c r="E685" s="63"/>
      <c r="F685" s="63"/>
      <c r="G685" s="65"/>
      <c r="H685" s="65"/>
      <c r="I685" s="65"/>
      <c r="J685" s="50"/>
    </row>
    <row r="686" spans="2:10" ht="15.75" customHeight="1" x14ac:dyDescent="0.25">
      <c r="B686" s="62"/>
      <c r="C686" s="63"/>
      <c r="D686" s="64"/>
      <c r="E686" s="63"/>
      <c r="F686" s="63"/>
      <c r="G686" s="65"/>
      <c r="H686" s="65"/>
      <c r="I686" s="65"/>
      <c r="J686" s="50"/>
    </row>
    <row r="687" spans="2:10" ht="15.75" customHeight="1" x14ac:dyDescent="0.25">
      <c r="B687" s="62"/>
      <c r="C687" s="63"/>
      <c r="D687" s="64"/>
      <c r="E687" s="63"/>
      <c r="F687" s="63"/>
      <c r="G687" s="65"/>
      <c r="H687" s="65"/>
      <c r="I687" s="65"/>
      <c r="J687" s="50"/>
    </row>
    <row r="688" spans="2:10" ht="15.75" customHeight="1" x14ac:dyDescent="0.25">
      <c r="B688" s="62"/>
      <c r="C688" s="63"/>
      <c r="D688" s="64"/>
      <c r="E688" s="63"/>
      <c r="F688" s="63"/>
      <c r="G688" s="65"/>
      <c r="H688" s="65"/>
      <c r="I688" s="65"/>
      <c r="J688" s="50"/>
    </row>
    <row r="689" spans="2:10" ht="15.75" customHeight="1" x14ac:dyDescent="0.25">
      <c r="B689" s="62"/>
      <c r="C689" s="63"/>
      <c r="D689" s="64"/>
      <c r="E689" s="63"/>
      <c r="F689" s="63"/>
      <c r="G689" s="65"/>
      <c r="H689" s="65"/>
      <c r="I689" s="65"/>
      <c r="J689" s="50"/>
    </row>
    <row r="690" spans="2:10" ht="15.75" customHeight="1" x14ac:dyDescent="0.25">
      <c r="B690" s="62"/>
      <c r="C690" s="63"/>
      <c r="D690" s="64"/>
      <c r="E690" s="63"/>
      <c r="F690" s="63"/>
      <c r="G690" s="65"/>
      <c r="H690" s="65"/>
      <c r="I690" s="65"/>
      <c r="J690" s="50"/>
    </row>
    <row r="691" spans="2:10" ht="15.75" customHeight="1" x14ac:dyDescent="0.25">
      <c r="B691" s="62"/>
      <c r="C691" s="63"/>
      <c r="D691" s="64"/>
      <c r="E691" s="63"/>
      <c r="F691" s="63"/>
      <c r="G691" s="65"/>
      <c r="H691" s="65"/>
      <c r="I691" s="65"/>
      <c r="J691" s="50"/>
    </row>
    <row r="692" spans="2:10" ht="15.75" customHeight="1" x14ac:dyDescent="0.25">
      <c r="B692" s="62"/>
      <c r="C692" s="63"/>
      <c r="D692" s="64"/>
      <c r="E692" s="63"/>
      <c r="F692" s="63"/>
      <c r="G692" s="65"/>
      <c r="H692" s="65"/>
      <c r="I692" s="65"/>
      <c r="J692" s="50"/>
    </row>
    <row r="693" spans="2:10" ht="15.75" customHeight="1" x14ac:dyDescent="0.25">
      <c r="B693" s="62"/>
      <c r="C693" s="63"/>
      <c r="D693" s="64"/>
      <c r="E693" s="63"/>
      <c r="F693" s="63"/>
      <c r="G693" s="65"/>
      <c r="H693" s="65"/>
      <c r="I693" s="65"/>
      <c r="J693" s="50"/>
    </row>
    <row r="694" spans="2:10" ht="15.75" customHeight="1" x14ac:dyDescent="0.25">
      <c r="B694" s="62"/>
      <c r="C694" s="63"/>
      <c r="D694" s="64"/>
      <c r="E694" s="63"/>
      <c r="F694" s="63"/>
      <c r="G694" s="65"/>
      <c r="H694" s="65"/>
      <c r="I694" s="65"/>
      <c r="J694" s="50"/>
    </row>
    <row r="695" spans="2:10" ht="15.75" customHeight="1" x14ac:dyDescent="0.25">
      <c r="B695" s="62"/>
      <c r="C695" s="63"/>
      <c r="D695" s="64"/>
      <c r="E695" s="63"/>
      <c r="F695" s="63"/>
      <c r="G695" s="65"/>
      <c r="H695" s="65"/>
      <c r="I695" s="65"/>
      <c r="J695" s="50"/>
    </row>
    <row r="696" spans="2:10" ht="15.75" customHeight="1" x14ac:dyDescent="0.25">
      <c r="B696" s="62"/>
      <c r="C696" s="63"/>
      <c r="D696" s="64"/>
      <c r="E696" s="63"/>
      <c r="F696" s="63"/>
      <c r="G696" s="65"/>
      <c r="H696" s="65"/>
      <c r="I696" s="65"/>
      <c r="J696" s="50"/>
    </row>
    <row r="697" spans="2:10" ht="15.75" customHeight="1" x14ac:dyDescent="0.25">
      <c r="B697" s="62"/>
      <c r="C697" s="63"/>
      <c r="D697" s="64"/>
      <c r="E697" s="63"/>
      <c r="F697" s="63"/>
      <c r="G697" s="65"/>
      <c r="H697" s="65"/>
      <c r="I697" s="65"/>
      <c r="J697" s="50"/>
    </row>
    <row r="698" spans="2:10" ht="15.75" customHeight="1" x14ac:dyDescent="0.25">
      <c r="B698" s="62"/>
      <c r="C698" s="63"/>
      <c r="D698" s="64"/>
      <c r="E698" s="63"/>
      <c r="F698" s="63"/>
      <c r="G698" s="65"/>
      <c r="H698" s="65"/>
      <c r="I698" s="65"/>
      <c r="J698" s="50"/>
    </row>
    <row r="699" spans="2:10" ht="15.75" customHeight="1" x14ac:dyDescent="0.25">
      <c r="B699" s="62"/>
      <c r="C699" s="63"/>
      <c r="D699" s="64"/>
      <c r="E699" s="63"/>
      <c r="F699" s="63"/>
      <c r="G699" s="65"/>
      <c r="H699" s="65"/>
      <c r="I699" s="65"/>
      <c r="J699" s="50"/>
    </row>
    <row r="700" spans="2:10" ht="15.75" customHeight="1" x14ac:dyDescent="0.25">
      <c r="B700" s="62"/>
      <c r="C700" s="63"/>
      <c r="D700" s="64"/>
      <c r="E700" s="63"/>
      <c r="F700" s="63"/>
      <c r="G700" s="65"/>
      <c r="H700" s="65"/>
      <c r="I700" s="65"/>
      <c r="J700" s="50"/>
    </row>
    <row r="701" spans="2:10" ht="15.75" customHeight="1" x14ac:dyDescent="0.25">
      <c r="B701" s="62"/>
      <c r="C701" s="63"/>
      <c r="D701" s="64"/>
      <c r="E701" s="63"/>
      <c r="F701" s="63"/>
      <c r="G701" s="65"/>
      <c r="H701" s="65"/>
      <c r="I701" s="65"/>
      <c r="J701" s="50"/>
    </row>
    <row r="702" spans="2:10" ht="15.75" customHeight="1" x14ac:dyDescent="0.25">
      <c r="B702" s="62"/>
      <c r="C702" s="63"/>
      <c r="D702" s="64"/>
      <c r="E702" s="63"/>
      <c r="F702" s="63"/>
      <c r="G702" s="65"/>
      <c r="H702" s="65"/>
      <c r="I702" s="65"/>
      <c r="J702" s="50"/>
    </row>
    <row r="703" spans="2:10" ht="15.75" customHeight="1" x14ac:dyDescent="0.25">
      <c r="B703" s="62"/>
      <c r="C703" s="63"/>
      <c r="D703" s="64"/>
      <c r="E703" s="63"/>
      <c r="F703" s="63"/>
      <c r="G703" s="65"/>
      <c r="H703" s="65"/>
      <c r="I703" s="65"/>
      <c r="J703" s="50"/>
    </row>
    <row r="704" spans="2:10" ht="15.75" customHeight="1" x14ac:dyDescent="0.25">
      <c r="B704" s="62"/>
      <c r="C704" s="63"/>
      <c r="D704" s="64"/>
      <c r="E704" s="63"/>
      <c r="F704" s="63"/>
      <c r="G704" s="65"/>
      <c r="H704" s="65"/>
      <c r="I704" s="65"/>
      <c r="J704" s="50"/>
    </row>
    <row r="705" spans="2:10" ht="15.75" customHeight="1" x14ac:dyDescent="0.25">
      <c r="B705" s="62"/>
      <c r="C705" s="63"/>
      <c r="D705" s="64"/>
      <c r="E705" s="63"/>
      <c r="F705" s="63"/>
      <c r="G705" s="65"/>
      <c r="H705" s="65"/>
      <c r="I705" s="65"/>
      <c r="J705" s="50"/>
    </row>
    <row r="706" spans="2:10" ht="15.75" customHeight="1" x14ac:dyDescent="0.25">
      <c r="B706" s="62"/>
      <c r="C706" s="63"/>
      <c r="D706" s="64"/>
      <c r="E706" s="63"/>
      <c r="F706" s="63"/>
      <c r="G706" s="65"/>
      <c r="H706" s="65"/>
      <c r="I706" s="65"/>
      <c r="J706" s="50"/>
    </row>
    <row r="707" spans="2:10" ht="15.75" customHeight="1" x14ac:dyDescent="0.25">
      <c r="B707" s="62"/>
      <c r="C707" s="63"/>
      <c r="D707" s="64"/>
      <c r="E707" s="63"/>
      <c r="F707" s="63"/>
      <c r="G707" s="65"/>
      <c r="H707" s="65"/>
      <c r="I707" s="65"/>
      <c r="J707" s="50"/>
    </row>
    <row r="708" spans="2:10" ht="15.75" customHeight="1" x14ac:dyDescent="0.25">
      <c r="B708" s="62"/>
      <c r="C708" s="63"/>
      <c r="D708" s="64"/>
      <c r="E708" s="63"/>
      <c r="F708" s="63"/>
      <c r="G708" s="65"/>
      <c r="H708" s="65"/>
      <c r="I708" s="65"/>
      <c r="J708" s="50"/>
    </row>
    <row r="709" spans="2:10" ht="15.75" customHeight="1" x14ac:dyDescent="0.25">
      <c r="B709" s="62"/>
      <c r="C709" s="63"/>
      <c r="D709" s="64"/>
      <c r="E709" s="63"/>
      <c r="F709" s="63"/>
      <c r="G709" s="65"/>
      <c r="H709" s="65"/>
      <c r="I709" s="65"/>
      <c r="J709" s="50"/>
    </row>
    <row r="710" spans="2:10" ht="15.75" customHeight="1" x14ac:dyDescent="0.25">
      <c r="B710" s="62"/>
      <c r="C710" s="63"/>
      <c r="D710" s="64"/>
      <c r="E710" s="63"/>
      <c r="F710" s="63"/>
      <c r="G710" s="65"/>
      <c r="H710" s="65"/>
      <c r="I710" s="65"/>
      <c r="J710" s="50"/>
    </row>
    <row r="711" spans="2:10" ht="15.75" customHeight="1" x14ac:dyDescent="0.25">
      <c r="B711" s="62"/>
      <c r="C711" s="63"/>
      <c r="D711" s="64"/>
      <c r="E711" s="63"/>
      <c r="F711" s="63"/>
      <c r="G711" s="65"/>
      <c r="H711" s="65"/>
      <c r="I711" s="65"/>
      <c r="J711" s="50"/>
    </row>
    <row r="712" spans="2:10" ht="15.75" customHeight="1" x14ac:dyDescent="0.25">
      <c r="B712" s="62"/>
      <c r="C712" s="63"/>
      <c r="D712" s="64"/>
      <c r="E712" s="63"/>
      <c r="F712" s="63"/>
      <c r="G712" s="65"/>
      <c r="H712" s="65"/>
      <c r="I712" s="65"/>
      <c r="J712" s="50"/>
    </row>
    <row r="713" spans="2:10" ht="15.75" customHeight="1" x14ac:dyDescent="0.25">
      <c r="B713" s="62"/>
      <c r="C713" s="63"/>
      <c r="D713" s="64"/>
      <c r="E713" s="63"/>
      <c r="F713" s="63"/>
      <c r="G713" s="65"/>
      <c r="H713" s="65"/>
      <c r="I713" s="65"/>
      <c r="J713" s="50"/>
    </row>
    <row r="714" spans="2:10" ht="15.75" customHeight="1" x14ac:dyDescent="0.25">
      <c r="B714" s="62"/>
      <c r="C714" s="63"/>
      <c r="D714" s="64"/>
      <c r="E714" s="63"/>
      <c r="F714" s="63"/>
      <c r="G714" s="65"/>
      <c r="H714" s="65"/>
      <c r="I714" s="65"/>
      <c r="J714" s="50"/>
    </row>
    <row r="715" spans="2:10" ht="15.75" customHeight="1" x14ac:dyDescent="0.25">
      <c r="B715" s="62"/>
      <c r="C715" s="63"/>
      <c r="D715" s="64"/>
      <c r="E715" s="63"/>
      <c r="F715" s="63"/>
      <c r="G715" s="65"/>
      <c r="H715" s="65"/>
      <c r="I715" s="65"/>
      <c r="J715" s="50"/>
    </row>
    <row r="716" spans="2:10" ht="15.75" customHeight="1" x14ac:dyDescent="0.25">
      <c r="B716" s="62"/>
      <c r="C716" s="63"/>
      <c r="D716" s="64"/>
      <c r="E716" s="63"/>
      <c r="F716" s="63"/>
      <c r="G716" s="65"/>
      <c r="H716" s="65"/>
      <c r="I716" s="65"/>
      <c r="J716" s="50"/>
    </row>
    <row r="717" spans="2:10" ht="15.75" customHeight="1" x14ac:dyDescent="0.25">
      <c r="B717" s="62"/>
      <c r="C717" s="63"/>
      <c r="D717" s="64"/>
      <c r="E717" s="63"/>
      <c r="F717" s="63"/>
      <c r="G717" s="65"/>
      <c r="H717" s="65"/>
      <c r="I717" s="65"/>
      <c r="J717" s="50"/>
    </row>
    <row r="718" spans="2:10" ht="15.75" customHeight="1" x14ac:dyDescent="0.25">
      <c r="B718" s="62"/>
      <c r="C718" s="63"/>
      <c r="D718" s="64"/>
      <c r="E718" s="63"/>
      <c r="F718" s="63"/>
      <c r="G718" s="65"/>
      <c r="H718" s="65"/>
      <c r="I718" s="65"/>
      <c r="J718" s="50"/>
    </row>
    <row r="719" spans="2:10" ht="15.75" customHeight="1" x14ac:dyDescent="0.25">
      <c r="B719" s="62"/>
      <c r="C719" s="63"/>
      <c r="D719" s="64"/>
      <c r="E719" s="63"/>
      <c r="F719" s="63"/>
      <c r="G719" s="65"/>
      <c r="H719" s="65"/>
      <c r="I719" s="65"/>
      <c r="J719" s="50"/>
    </row>
    <row r="720" spans="2:10" ht="15.75" customHeight="1" x14ac:dyDescent="0.25">
      <c r="B720" s="62"/>
      <c r="C720" s="63"/>
      <c r="D720" s="64"/>
      <c r="E720" s="63"/>
      <c r="F720" s="63"/>
      <c r="G720" s="65"/>
      <c r="H720" s="65"/>
      <c r="I720" s="65"/>
      <c r="J720" s="50"/>
    </row>
    <row r="721" spans="2:10" ht="15.75" customHeight="1" x14ac:dyDescent="0.25">
      <c r="B721" s="62"/>
      <c r="C721" s="63"/>
      <c r="D721" s="64"/>
      <c r="E721" s="63"/>
      <c r="F721" s="63"/>
      <c r="G721" s="65"/>
      <c r="H721" s="65"/>
      <c r="I721" s="65"/>
      <c r="J721" s="50"/>
    </row>
    <row r="722" spans="2:10" ht="15.75" customHeight="1" x14ac:dyDescent="0.25">
      <c r="B722" s="62"/>
      <c r="C722" s="63"/>
      <c r="D722" s="64"/>
      <c r="E722" s="63"/>
      <c r="F722" s="63"/>
      <c r="G722" s="65"/>
      <c r="H722" s="65"/>
      <c r="I722" s="65"/>
      <c r="J722" s="50"/>
    </row>
    <row r="723" spans="2:10" ht="15.75" customHeight="1" x14ac:dyDescent="0.25">
      <c r="B723" s="62"/>
      <c r="C723" s="63"/>
      <c r="D723" s="64"/>
      <c r="E723" s="63"/>
      <c r="F723" s="63"/>
      <c r="G723" s="65"/>
      <c r="H723" s="65"/>
      <c r="I723" s="65"/>
      <c r="J723" s="50"/>
    </row>
    <row r="724" spans="2:10" ht="15.75" customHeight="1" x14ac:dyDescent="0.25">
      <c r="B724" s="62"/>
      <c r="C724" s="63"/>
      <c r="D724" s="64"/>
      <c r="E724" s="63"/>
      <c r="F724" s="63"/>
      <c r="G724" s="65"/>
      <c r="H724" s="65"/>
      <c r="I724" s="65"/>
      <c r="J724" s="50"/>
    </row>
    <row r="725" spans="2:10" ht="15.75" customHeight="1" x14ac:dyDescent="0.25">
      <c r="B725" s="62"/>
      <c r="C725" s="63"/>
      <c r="D725" s="64"/>
      <c r="E725" s="63"/>
      <c r="F725" s="63"/>
      <c r="G725" s="65"/>
      <c r="H725" s="65"/>
      <c r="I725" s="65"/>
      <c r="J725" s="50"/>
    </row>
    <row r="726" spans="2:10" ht="15.75" customHeight="1" x14ac:dyDescent="0.25">
      <c r="B726" s="62"/>
      <c r="C726" s="63"/>
      <c r="D726" s="64"/>
      <c r="E726" s="63"/>
      <c r="F726" s="63"/>
      <c r="G726" s="65"/>
      <c r="H726" s="65"/>
      <c r="I726" s="65"/>
      <c r="J726" s="50"/>
    </row>
    <row r="727" spans="2:10" ht="15.75" customHeight="1" x14ac:dyDescent="0.25">
      <c r="B727" s="62"/>
      <c r="C727" s="63"/>
      <c r="D727" s="64"/>
      <c r="E727" s="63"/>
      <c r="F727" s="63"/>
      <c r="G727" s="65"/>
      <c r="H727" s="65"/>
      <c r="I727" s="65"/>
      <c r="J727" s="50"/>
    </row>
    <row r="728" spans="2:10" ht="15.75" customHeight="1" x14ac:dyDescent="0.25">
      <c r="B728" s="62"/>
      <c r="C728" s="63"/>
      <c r="D728" s="64"/>
      <c r="E728" s="63"/>
      <c r="F728" s="63"/>
      <c r="G728" s="65"/>
      <c r="H728" s="65"/>
      <c r="I728" s="65"/>
      <c r="J728" s="50"/>
    </row>
    <row r="729" spans="2:10" ht="15.75" customHeight="1" x14ac:dyDescent="0.25">
      <c r="B729" s="62"/>
      <c r="C729" s="63"/>
      <c r="D729" s="64"/>
      <c r="E729" s="63"/>
      <c r="F729" s="63"/>
      <c r="G729" s="65"/>
      <c r="H729" s="65"/>
      <c r="I729" s="65"/>
      <c r="J729" s="50"/>
    </row>
    <row r="730" spans="2:10" ht="15.75" customHeight="1" x14ac:dyDescent="0.25">
      <c r="B730" s="62"/>
      <c r="C730" s="63"/>
      <c r="D730" s="64"/>
      <c r="E730" s="63"/>
      <c r="F730" s="63"/>
      <c r="G730" s="65"/>
      <c r="H730" s="65"/>
      <c r="I730" s="65"/>
      <c r="J730" s="50"/>
    </row>
    <row r="731" spans="2:10" ht="15.75" customHeight="1" x14ac:dyDescent="0.25">
      <c r="B731" s="62"/>
      <c r="C731" s="63"/>
      <c r="D731" s="64"/>
      <c r="E731" s="63"/>
      <c r="F731" s="63"/>
      <c r="G731" s="65"/>
      <c r="H731" s="65"/>
      <c r="I731" s="65"/>
      <c r="J731" s="50"/>
    </row>
    <row r="732" spans="2:10" ht="15.75" customHeight="1" x14ac:dyDescent="0.25">
      <c r="B732" s="62"/>
      <c r="C732" s="63"/>
      <c r="D732" s="64"/>
      <c r="E732" s="63"/>
      <c r="F732" s="63"/>
      <c r="G732" s="65"/>
      <c r="H732" s="65"/>
      <c r="I732" s="65"/>
      <c r="J732" s="50"/>
    </row>
    <row r="733" spans="2:10" ht="15.75" customHeight="1" x14ac:dyDescent="0.25">
      <c r="B733" s="62"/>
      <c r="C733" s="63"/>
      <c r="D733" s="64"/>
      <c r="E733" s="63"/>
      <c r="F733" s="63"/>
      <c r="G733" s="65"/>
      <c r="H733" s="65"/>
      <c r="I733" s="65"/>
      <c r="J733" s="50"/>
    </row>
    <row r="734" spans="2:10" ht="15.75" customHeight="1" x14ac:dyDescent="0.25">
      <c r="B734" s="62"/>
      <c r="C734" s="63"/>
      <c r="D734" s="64"/>
      <c r="E734" s="63"/>
      <c r="F734" s="63"/>
      <c r="G734" s="65"/>
      <c r="H734" s="65"/>
      <c r="I734" s="65"/>
      <c r="J734" s="50"/>
    </row>
    <row r="735" spans="2:10" ht="15.75" customHeight="1" x14ac:dyDescent="0.25">
      <c r="B735" s="62"/>
      <c r="C735" s="63"/>
      <c r="D735" s="64"/>
      <c r="E735" s="63"/>
      <c r="F735" s="63"/>
      <c r="G735" s="65"/>
      <c r="H735" s="65"/>
      <c r="I735" s="65"/>
      <c r="J735" s="50"/>
    </row>
    <row r="736" spans="2:10" ht="15.75" customHeight="1" x14ac:dyDescent="0.25">
      <c r="B736" s="62"/>
      <c r="C736" s="63"/>
      <c r="D736" s="64"/>
      <c r="E736" s="63"/>
      <c r="F736" s="63"/>
      <c r="G736" s="65"/>
      <c r="H736" s="65"/>
      <c r="I736" s="65"/>
      <c r="J736" s="50"/>
    </row>
    <row r="737" spans="2:10" ht="15.75" customHeight="1" x14ac:dyDescent="0.25">
      <c r="B737" s="62"/>
      <c r="C737" s="63"/>
      <c r="D737" s="64"/>
      <c r="E737" s="63"/>
      <c r="F737" s="63"/>
      <c r="G737" s="65"/>
      <c r="H737" s="65"/>
      <c r="I737" s="65"/>
      <c r="J737" s="50"/>
    </row>
    <row r="738" spans="2:10" ht="15.75" customHeight="1" x14ac:dyDescent="0.25">
      <c r="B738" s="62"/>
      <c r="C738" s="63"/>
      <c r="D738" s="64"/>
      <c r="E738" s="63"/>
      <c r="F738" s="63"/>
      <c r="G738" s="65"/>
      <c r="H738" s="65"/>
      <c r="I738" s="65"/>
      <c r="J738" s="50"/>
    </row>
    <row r="739" spans="2:10" ht="15.75" customHeight="1" x14ac:dyDescent="0.25">
      <c r="B739" s="62"/>
      <c r="C739" s="63"/>
      <c r="D739" s="64"/>
      <c r="E739" s="63"/>
      <c r="F739" s="63"/>
      <c r="G739" s="65"/>
      <c r="H739" s="65"/>
      <c r="I739" s="65"/>
      <c r="J739" s="50"/>
    </row>
    <row r="740" spans="2:10" ht="15.75" customHeight="1" x14ac:dyDescent="0.25">
      <c r="B740" s="62"/>
      <c r="C740" s="63"/>
      <c r="D740" s="64"/>
      <c r="E740" s="63"/>
      <c r="F740" s="63"/>
      <c r="G740" s="65"/>
      <c r="H740" s="65"/>
      <c r="I740" s="65"/>
      <c r="J740" s="50"/>
    </row>
    <row r="741" spans="2:10" ht="15.75" customHeight="1" x14ac:dyDescent="0.25">
      <c r="B741" s="62"/>
      <c r="C741" s="63"/>
      <c r="D741" s="64"/>
      <c r="E741" s="63"/>
      <c r="F741" s="63"/>
      <c r="G741" s="65"/>
      <c r="H741" s="65"/>
      <c r="I741" s="65"/>
      <c r="J741" s="50"/>
    </row>
    <row r="742" spans="2:10" ht="15.75" customHeight="1" x14ac:dyDescent="0.25">
      <c r="B742" s="62"/>
      <c r="C742" s="63"/>
      <c r="D742" s="64"/>
      <c r="E742" s="63"/>
      <c r="F742" s="63"/>
      <c r="G742" s="65"/>
      <c r="H742" s="65"/>
      <c r="I742" s="65"/>
      <c r="J742" s="50"/>
    </row>
    <row r="743" spans="2:10" ht="15.75" customHeight="1" x14ac:dyDescent="0.25">
      <c r="B743" s="62"/>
      <c r="C743" s="63"/>
      <c r="D743" s="64"/>
      <c r="E743" s="63"/>
      <c r="F743" s="63"/>
      <c r="G743" s="65"/>
      <c r="H743" s="65"/>
      <c r="I743" s="65"/>
      <c r="J743" s="50"/>
    </row>
    <row r="744" spans="2:10" ht="15.75" customHeight="1" x14ac:dyDescent="0.25">
      <c r="B744" s="62"/>
      <c r="C744" s="63"/>
      <c r="D744" s="64"/>
      <c r="E744" s="63"/>
      <c r="F744" s="63"/>
      <c r="G744" s="65"/>
      <c r="H744" s="65"/>
      <c r="I744" s="65"/>
      <c r="J744" s="50"/>
    </row>
    <row r="745" spans="2:10" ht="15.75" customHeight="1" x14ac:dyDescent="0.25">
      <c r="B745" s="62"/>
      <c r="C745" s="63"/>
      <c r="D745" s="64"/>
      <c r="E745" s="63"/>
      <c r="F745" s="63"/>
      <c r="G745" s="65"/>
      <c r="H745" s="65"/>
      <c r="I745" s="65"/>
      <c r="J745" s="50"/>
    </row>
    <row r="746" spans="2:10" ht="15.75" customHeight="1" x14ac:dyDescent="0.25">
      <c r="B746" s="62"/>
      <c r="C746" s="63"/>
      <c r="D746" s="64"/>
      <c r="E746" s="63"/>
      <c r="F746" s="63"/>
      <c r="G746" s="65"/>
      <c r="H746" s="65"/>
      <c r="I746" s="65"/>
      <c r="J746" s="50"/>
    </row>
    <row r="747" spans="2:10" ht="15.75" customHeight="1" x14ac:dyDescent="0.25">
      <c r="B747" s="62"/>
      <c r="C747" s="63"/>
      <c r="D747" s="64"/>
      <c r="E747" s="63"/>
      <c r="F747" s="63"/>
      <c r="G747" s="65"/>
      <c r="H747" s="65"/>
      <c r="I747" s="65"/>
      <c r="J747" s="50"/>
    </row>
    <row r="748" spans="2:10" ht="15.75" customHeight="1" x14ac:dyDescent="0.25">
      <c r="B748" s="62"/>
      <c r="C748" s="63"/>
      <c r="D748" s="64"/>
      <c r="E748" s="63"/>
      <c r="F748" s="63"/>
      <c r="G748" s="65"/>
      <c r="H748" s="65"/>
      <c r="I748" s="65"/>
      <c r="J748" s="50"/>
    </row>
    <row r="749" spans="2:10" ht="15.75" customHeight="1" x14ac:dyDescent="0.25">
      <c r="B749" s="62"/>
      <c r="C749" s="63"/>
      <c r="D749" s="64"/>
      <c r="E749" s="63"/>
      <c r="F749" s="63"/>
      <c r="G749" s="65"/>
      <c r="H749" s="65"/>
      <c r="I749" s="65"/>
      <c r="J749" s="50"/>
    </row>
    <row r="750" spans="2:10" ht="15.75" customHeight="1" x14ac:dyDescent="0.25">
      <c r="B750" s="62"/>
      <c r="C750" s="63"/>
      <c r="D750" s="64"/>
      <c r="E750" s="63"/>
      <c r="F750" s="63"/>
      <c r="G750" s="65"/>
      <c r="H750" s="65"/>
      <c r="I750" s="65"/>
      <c r="J750" s="50"/>
    </row>
    <row r="751" spans="2:10" ht="15.75" customHeight="1" x14ac:dyDescent="0.25">
      <c r="B751" s="62"/>
      <c r="C751" s="63"/>
      <c r="D751" s="64"/>
      <c r="E751" s="63"/>
      <c r="F751" s="63"/>
      <c r="G751" s="65"/>
      <c r="H751" s="65"/>
      <c r="I751" s="65"/>
      <c r="J751" s="50"/>
    </row>
    <row r="752" spans="2:10" ht="15.75" customHeight="1" x14ac:dyDescent="0.25">
      <c r="B752" s="62"/>
      <c r="C752" s="63"/>
      <c r="D752" s="64"/>
      <c r="E752" s="63"/>
      <c r="F752" s="63"/>
      <c r="G752" s="65"/>
      <c r="H752" s="65"/>
      <c r="I752" s="65"/>
      <c r="J752" s="50"/>
    </row>
    <row r="753" spans="2:10" ht="15.75" customHeight="1" x14ac:dyDescent="0.25">
      <c r="B753" s="62"/>
      <c r="C753" s="63"/>
      <c r="D753" s="64"/>
      <c r="E753" s="63"/>
      <c r="F753" s="63"/>
      <c r="G753" s="65"/>
      <c r="H753" s="65"/>
      <c r="I753" s="65"/>
      <c r="J753" s="50"/>
    </row>
    <row r="754" spans="2:10" ht="15.75" customHeight="1" x14ac:dyDescent="0.25">
      <c r="B754" s="62"/>
      <c r="C754" s="63"/>
      <c r="D754" s="64"/>
      <c r="E754" s="63"/>
      <c r="F754" s="63"/>
      <c r="G754" s="65"/>
      <c r="H754" s="65"/>
      <c r="I754" s="65"/>
      <c r="J754" s="50"/>
    </row>
    <row r="755" spans="2:10" ht="15.75" customHeight="1" x14ac:dyDescent="0.25">
      <c r="B755" s="62"/>
      <c r="C755" s="63"/>
      <c r="D755" s="64"/>
      <c r="E755" s="63"/>
      <c r="F755" s="63"/>
      <c r="G755" s="65"/>
      <c r="H755" s="65"/>
      <c r="I755" s="65"/>
      <c r="J755" s="50"/>
    </row>
    <row r="756" spans="2:10" ht="15.75" customHeight="1" x14ac:dyDescent="0.25">
      <c r="B756" s="62"/>
      <c r="C756" s="63"/>
      <c r="D756" s="64"/>
      <c r="E756" s="63"/>
      <c r="F756" s="63"/>
      <c r="G756" s="65"/>
      <c r="H756" s="65"/>
      <c r="I756" s="65"/>
      <c r="J756" s="50"/>
    </row>
    <row r="757" spans="2:10" ht="15.75" customHeight="1" x14ac:dyDescent="0.25">
      <c r="B757" s="62"/>
      <c r="C757" s="63"/>
      <c r="D757" s="64"/>
      <c r="E757" s="63"/>
      <c r="F757" s="63"/>
      <c r="G757" s="65"/>
      <c r="H757" s="65"/>
      <c r="I757" s="65"/>
      <c r="J757" s="50"/>
    </row>
    <row r="758" spans="2:10" ht="15.75" customHeight="1" x14ac:dyDescent="0.25">
      <c r="B758" s="62"/>
      <c r="C758" s="63"/>
      <c r="D758" s="64"/>
      <c r="E758" s="63"/>
      <c r="F758" s="63"/>
      <c r="G758" s="65"/>
      <c r="H758" s="65"/>
      <c r="I758" s="65"/>
      <c r="J758" s="50"/>
    </row>
    <row r="759" spans="2:10" ht="15.75" customHeight="1" x14ac:dyDescent="0.25">
      <c r="B759" s="62"/>
      <c r="C759" s="63"/>
      <c r="D759" s="64"/>
      <c r="E759" s="63"/>
      <c r="F759" s="63"/>
      <c r="G759" s="65"/>
      <c r="H759" s="65"/>
      <c r="I759" s="65"/>
      <c r="J759" s="50"/>
    </row>
    <row r="760" spans="2:10" ht="15.75" customHeight="1" x14ac:dyDescent="0.25">
      <c r="B760" s="62"/>
      <c r="C760" s="63"/>
      <c r="D760" s="64"/>
      <c r="E760" s="63"/>
      <c r="F760" s="63"/>
      <c r="G760" s="65"/>
      <c r="H760" s="65"/>
      <c r="I760" s="65"/>
      <c r="J760" s="50"/>
    </row>
    <row r="761" spans="2:10" ht="15.75" customHeight="1" x14ac:dyDescent="0.25">
      <c r="B761" s="62"/>
      <c r="C761" s="63"/>
      <c r="D761" s="64"/>
      <c r="E761" s="63"/>
      <c r="F761" s="63"/>
      <c r="G761" s="65"/>
      <c r="H761" s="65"/>
      <c r="I761" s="65"/>
      <c r="J761" s="50"/>
    </row>
    <row r="762" spans="2:10" ht="15.75" customHeight="1" x14ac:dyDescent="0.25">
      <c r="B762" s="62"/>
      <c r="C762" s="63"/>
      <c r="D762" s="64"/>
      <c r="E762" s="63"/>
      <c r="F762" s="63"/>
      <c r="G762" s="65"/>
      <c r="H762" s="65"/>
      <c r="I762" s="65"/>
      <c r="J762" s="50"/>
    </row>
    <row r="763" spans="2:10" ht="15.75" customHeight="1" x14ac:dyDescent="0.25">
      <c r="B763" s="62"/>
      <c r="C763" s="63"/>
      <c r="D763" s="64"/>
      <c r="E763" s="63"/>
      <c r="F763" s="63"/>
      <c r="G763" s="65"/>
      <c r="H763" s="65"/>
      <c r="I763" s="65"/>
      <c r="J763" s="50"/>
    </row>
    <row r="764" spans="2:10" ht="15.75" customHeight="1" x14ac:dyDescent="0.25">
      <c r="B764" s="62"/>
      <c r="C764" s="63"/>
      <c r="D764" s="64"/>
      <c r="E764" s="63"/>
      <c r="F764" s="63"/>
      <c r="G764" s="65"/>
      <c r="H764" s="65"/>
      <c r="I764" s="65"/>
      <c r="J764" s="50"/>
    </row>
    <row r="765" spans="2:10" ht="15.75" customHeight="1" x14ac:dyDescent="0.25">
      <c r="B765" s="62"/>
      <c r="C765" s="63"/>
      <c r="D765" s="64"/>
      <c r="E765" s="63"/>
      <c r="F765" s="63"/>
      <c r="G765" s="65"/>
      <c r="H765" s="65"/>
      <c r="I765" s="65"/>
      <c r="J765" s="50"/>
    </row>
    <row r="766" spans="2:10" ht="15.75" customHeight="1" x14ac:dyDescent="0.25">
      <c r="B766" s="62"/>
      <c r="C766" s="63"/>
      <c r="D766" s="64"/>
      <c r="E766" s="63"/>
      <c r="F766" s="63"/>
      <c r="G766" s="65"/>
      <c r="H766" s="65"/>
      <c r="I766" s="65"/>
      <c r="J766" s="50"/>
    </row>
    <row r="767" spans="2:10" ht="15.75" customHeight="1" x14ac:dyDescent="0.25">
      <c r="B767" s="62"/>
      <c r="C767" s="63"/>
      <c r="D767" s="64"/>
      <c r="E767" s="63"/>
      <c r="F767" s="63"/>
      <c r="G767" s="65"/>
      <c r="H767" s="65"/>
      <c r="I767" s="65"/>
      <c r="J767" s="50"/>
    </row>
    <row r="768" spans="2:10" ht="15.75" customHeight="1" x14ac:dyDescent="0.25">
      <c r="B768" s="62"/>
      <c r="C768" s="63"/>
      <c r="D768" s="64"/>
      <c r="E768" s="63"/>
      <c r="F768" s="63"/>
      <c r="G768" s="65"/>
      <c r="H768" s="65"/>
      <c r="I768" s="65"/>
      <c r="J768" s="50"/>
    </row>
    <row r="769" spans="2:10" ht="15.75" customHeight="1" x14ac:dyDescent="0.25">
      <c r="B769" s="62"/>
      <c r="C769" s="63"/>
      <c r="D769" s="64"/>
      <c r="E769" s="63"/>
      <c r="F769" s="63"/>
      <c r="G769" s="65"/>
      <c r="H769" s="65"/>
      <c r="I769" s="65"/>
      <c r="J769" s="50"/>
    </row>
    <row r="770" spans="2:10" ht="15.75" customHeight="1" x14ac:dyDescent="0.25">
      <c r="B770" s="62"/>
      <c r="C770" s="63"/>
      <c r="D770" s="64"/>
      <c r="E770" s="63"/>
      <c r="F770" s="63"/>
      <c r="G770" s="65"/>
      <c r="H770" s="65"/>
      <c r="I770" s="65"/>
      <c r="J770" s="50"/>
    </row>
    <row r="771" spans="2:10" ht="15.75" customHeight="1" x14ac:dyDescent="0.25">
      <c r="B771" s="62"/>
      <c r="C771" s="63"/>
      <c r="D771" s="64"/>
      <c r="E771" s="63"/>
      <c r="F771" s="63"/>
      <c r="G771" s="65"/>
      <c r="H771" s="65"/>
      <c r="I771" s="65"/>
      <c r="J771" s="50"/>
    </row>
    <row r="772" spans="2:10" ht="15.75" customHeight="1" x14ac:dyDescent="0.25">
      <c r="B772" s="62"/>
      <c r="C772" s="63"/>
      <c r="D772" s="64"/>
      <c r="E772" s="63"/>
      <c r="F772" s="63"/>
      <c r="G772" s="65"/>
      <c r="H772" s="65"/>
      <c r="I772" s="65"/>
      <c r="J772" s="50"/>
    </row>
    <row r="773" spans="2:10" ht="15.75" customHeight="1" x14ac:dyDescent="0.25">
      <c r="B773" s="62"/>
      <c r="C773" s="63"/>
      <c r="D773" s="64"/>
      <c r="E773" s="63"/>
      <c r="F773" s="63"/>
      <c r="G773" s="65"/>
      <c r="H773" s="65"/>
      <c r="I773" s="65"/>
      <c r="J773" s="50"/>
    </row>
    <row r="774" spans="2:10" ht="15.75" customHeight="1" x14ac:dyDescent="0.25">
      <c r="B774" s="62"/>
      <c r="C774" s="63"/>
      <c r="D774" s="64"/>
      <c r="E774" s="63"/>
      <c r="F774" s="63"/>
      <c r="G774" s="65"/>
      <c r="H774" s="65"/>
      <c r="I774" s="65"/>
      <c r="J774" s="50"/>
    </row>
    <row r="775" spans="2:10" ht="15.75" customHeight="1" x14ac:dyDescent="0.25">
      <c r="B775" s="62"/>
      <c r="C775" s="63"/>
      <c r="D775" s="64"/>
      <c r="E775" s="63"/>
      <c r="F775" s="63"/>
      <c r="G775" s="65"/>
      <c r="H775" s="65"/>
      <c r="I775" s="65"/>
      <c r="J775" s="50"/>
    </row>
    <row r="776" spans="2:10" ht="15.75" customHeight="1" x14ac:dyDescent="0.25">
      <c r="B776" s="62"/>
      <c r="C776" s="63"/>
      <c r="D776" s="64"/>
      <c r="E776" s="63"/>
      <c r="F776" s="63"/>
      <c r="G776" s="65"/>
      <c r="H776" s="65"/>
      <c r="I776" s="65"/>
      <c r="J776" s="50"/>
    </row>
    <row r="777" spans="2:10" ht="15.75" customHeight="1" x14ac:dyDescent="0.25">
      <c r="B777" s="62"/>
      <c r="C777" s="63"/>
      <c r="D777" s="64"/>
      <c r="E777" s="63"/>
      <c r="F777" s="63"/>
      <c r="G777" s="65"/>
      <c r="H777" s="65"/>
      <c r="I777" s="65"/>
      <c r="J777" s="50"/>
    </row>
    <row r="778" spans="2:10" ht="15.75" customHeight="1" x14ac:dyDescent="0.25">
      <c r="B778" s="62"/>
      <c r="C778" s="63"/>
      <c r="D778" s="64"/>
      <c r="E778" s="63"/>
      <c r="F778" s="63"/>
      <c r="G778" s="65"/>
      <c r="H778" s="65"/>
      <c r="I778" s="65"/>
      <c r="J778" s="50"/>
    </row>
    <row r="779" spans="2:10" ht="15.75" customHeight="1" x14ac:dyDescent="0.25">
      <c r="B779" s="62"/>
      <c r="C779" s="63"/>
      <c r="D779" s="64"/>
      <c r="E779" s="63"/>
      <c r="F779" s="63"/>
      <c r="G779" s="65"/>
      <c r="H779" s="65"/>
      <c r="I779" s="65"/>
      <c r="J779" s="50"/>
    </row>
    <row r="780" spans="2:10" ht="15.75" customHeight="1" x14ac:dyDescent="0.25">
      <c r="B780" s="62"/>
      <c r="C780" s="63"/>
      <c r="D780" s="64"/>
      <c r="E780" s="63"/>
      <c r="F780" s="63"/>
      <c r="G780" s="65"/>
      <c r="H780" s="65"/>
      <c r="I780" s="65"/>
      <c r="J780" s="50"/>
    </row>
    <row r="781" spans="2:10" ht="15.75" customHeight="1" x14ac:dyDescent="0.25">
      <c r="B781" s="62"/>
      <c r="C781" s="63"/>
      <c r="D781" s="64"/>
      <c r="E781" s="63"/>
      <c r="F781" s="63"/>
      <c r="G781" s="65"/>
      <c r="H781" s="65"/>
      <c r="I781" s="65"/>
      <c r="J781" s="50"/>
    </row>
    <row r="782" spans="2:10" ht="15.75" customHeight="1" x14ac:dyDescent="0.25">
      <c r="B782" s="62"/>
      <c r="C782" s="63"/>
      <c r="D782" s="64"/>
      <c r="E782" s="63"/>
      <c r="F782" s="63"/>
      <c r="G782" s="65"/>
      <c r="H782" s="65"/>
      <c r="I782" s="65"/>
      <c r="J782" s="50"/>
    </row>
    <row r="783" spans="2:10" ht="15.75" customHeight="1" x14ac:dyDescent="0.25">
      <c r="B783" s="62"/>
      <c r="C783" s="63"/>
      <c r="D783" s="64"/>
      <c r="E783" s="63"/>
      <c r="F783" s="63"/>
      <c r="G783" s="65"/>
      <c r="H783" s="65"/>
      <c r="I783" s="65"/>
      <c r="J783" s="50"/>
    </row>
    <row r="784" spans="2:10" ht="15.75" customHeight="1" x14ac:dyDescent="0.25">
      <c r="B784" s="62"/>
      <c r="C784" s="63"/>
      <c r="D784" s="64"/>
      <c r="E784" s="63"/>
      <c r="F784" s="63"/>
      <c r="G784" s="65"/>
      <c r="H784" s="65"/>
      <c r="I784" s="65"/>
      <c r="J784" s="50"/>
    </row>
    <row r="785" spans="2:10" ht="15.75" customHeight="1" x14ac:dyDescent="0.25">
      <c r="B785" s="62"/>
      <c r="C785" s="63"/>
      <c r="D785" s="64"/>
      <c r="E785" s="63"/>
      <c r="F785" s="63"/>
      <c r="G785" s="65"/>
      <c r="H785" s="65"/>
      <c r="I785" s="65"/>
      <c r="J785" s="50"/>
    </row>
    <row r="786" spans="2:10" ht="15.75" customHeight="1" x14ac:dyDescent="0.25">
      <c r="B786" s="62"/>
      <c r="C786" s="63"/>
      <c r="D786" s="64"/>
      <c r="E786" s="63"/>
      <c r="F786" s="63"/>
      <c r="G786" s="65"/>
      <c r="H786" s="65"/>
      <c r="I786" s="65"/>
      <c r="J786" s="50"/>
    </row>
    <row r="787" spans="2:10" ht="15.75" customHeight="1" x14ac:dyDescent="0.25">
      <c r="B787" s="62"/>
      <c r="C787" s="63"/>
      <c r="D787" s="64"/>
      <c r="E787" s="63"/>
      <c r="F787" s="63"/>
      <c r="G787" s="65"/>
      <c r="H787" s="65"/>
      <c r="I787" s="65"/>
      <c r="J787" s="50"/>
    </row>
    <row r="788" spans="2:10" ht="15.75" customHeight="1" x14ac:dyDescent="0.25">
      <c r="B788" s="62"/>
      <c r="C788" s="63"/>
      <c r="D788" s="64"/>
      <c r="E788" s="63"/>
      <c r="F788" s="63"/>
      <c r="G788" s="65"/>
      <c r="H788" s="65"/>
      <c r="I788" s="65"/>
      <c r="J788" s="50"/>
    </row>
    <row r="789" spans="2:10" ht="15.75" customHeight="1" x14ac:dyDescent="0.25">
      <c r="B789" s="62"/>
      <c r="C789" s="63"/>
      <c r="D789" s="64"/>
      <c r="E789" s="63"/>
      <c r="F789" s="63"/>
      <c r="G789" s="65"/>
      <c r="H789" s="65"/>
      <c r="I789" s="65"/>
      <c r="J789" s="50"/>
    </row>
    <row r="790" spans="2:10" ht="15.75" customHeight="1" x14ac:dyDescent="0.25">
      <c r="B790" s="62"/>
      <c r="C790" s="63"/>
      <c r="D790" s="64"/>
      <c r="E790" s="63"/>
      <c r="F790" s="63"/>
      <c r="G790" s="65"/>
      <c r="H790" s="65"/>
      <c r="I790" s="65"/>
      <c r="J790" s="50"/>
    </row>
    <row r="791" spans="2:10" ht="15.75" customHeight="1" x14ac:dyDescent="0.25">
      <c r="B791" s="62"/>
      <c r="C791" s="63"/>
      <c r="D791" s="64"/>
      <c r="E791" s="63"/>
      <c r="F791" s="63"/>
      <c r="G791" s="65"/>
      <c r="H791" s="65"/>
      <c r="I791" s="65"/>
      <c r="J791" s="50"/>
    </row>
    <row r="792" spans="2:10" ht="15.75" customHeight="1" x14ac:dyDescent="0.25">
      <c r="B792" s="62"/>
      <c r="C792" s="63"/>
      <c r="D792" s="64"/>
      <c r="E792" s="63"/>
      <c r="F792" s="63"/>
      <c r="G792" s="65"/>
      <c r="H792" s="65"/>
      <c r="I792" s="65"/>
      <c r="J792" s="50"/>
    </row>
    <row r="793" spans="2:10" ht="15.75" customHeight="1" x14ac:dyDescent="0.25">
      <c r="B793" s="62"/>
      <c r="C793" s="63"/>
      <c r="D793" s="64"/>
      <c r="E793" s="63"/>
      <c r="F793" s="63"/>
      <c r="G793" s="65"/>
      <c r="H793" s="65"/>
      <c r="I793" s="65"/>
      <c r="J793" s="50"/>
    </row>
    <row r="794" spans="2:10" ht="15.75" customHeight="1" x14ac:dyDescent="0.25">
      <c r="B794" s="62"/>
      <c r="C794" s="63"/>
      <c r="D794" s="64"/>
      <c r="E794" s="63"/>
      <c r="F794" s="63"/>
      <c r="G794" s="65"/>
      <c r="H794" s="65"/>
      <c r="I794" s="65"/>
      <c r="J794" s="50"/>
    </row>
    <row r="795" spans="2:10" ht="15.75" customHeight="1" x14ac:dyDescent="0.25">
      <c r="B795" s="62"/>
      <c r="C795" s="63"/>
      <c r="D795" s="64"/>
      <c r="E795" s="63"/>
      <c r="F795" s="63"/>
      <c r="G795" s="65"/>
      <c r="H795" s="65"/>
      <c r="I795" s="65"/>
      <c r="J795" s="50"/>
    </row>
    <row r="796" spans="2:10" ht="15.75" customHeight="1" x14ac:dyDescent="0.25">
      <c r="B796" s="62"/>
      <c r="C796" s="63"/>
      <c r="D796" s="64"/>
      <c r="E796" s="63"/>
      <c r="F796" s="63"/>
      <c r="G796" s="65"/>
      <c r="H796" s="65"/>
      <c r="I796" s="65"/>
      <c r="J796" s="50"/>
    </row>
    <row r="797" spans="2:10" ht="15.75" customHeight="1" x14ac:dyDescent="0.25">
      <c r="B797" s="62"/>
      <c r="C797" s="63"/>
      <c r="D797" s="64"/>
      <c r="E797" s="63"/>
      <c r="F797" s="63"/>
      <c r="G797" s="65"/>
      <c r="H797" s="65"/>
      <c r="I797" s="65"/>
      <c r="J797" s="50"/>
    </row>
    <row r="798" spans="2:10" ht="15.75" customHeight="1" x14ac:dyDescent="0.25">
      <c r="B798" s="62"/>
      <c r="C798" s="63"/>
      <c r="D798" s="64"/>
      <c r="E798" s="63"/>
      <c r="F798" s="63"/>
      <c r="G798" s="65"/>
      <c r="H798" s="65"/>
      <c r="I798" s="65"/>
      <c r="J798" s="50"/>
    </row>
    <row r="799" spans="2:10" ht="15.75" customHeight="1" x14ac:dyDescent="0.25">
      <c r="B799" s="62"/>
      <c r="C799" s="63"/>
      <c r="D799" s="64"/>
      <c r="E799" s="63"/>
      <c r="F799" s="63"/>
      <c r="G799" s="65"/>
      <c r="H799" s="65"/>
      <c r="I799" s="65"/>
      <c r="J799" s="50"/>
    </row>
    <row r="800" spans="2:10" ht="15.75" customHeight="1" x14ac:dyDescent="0.25">
      <c r="B800" s="62"/>
      <c r="C800" s="63"/>
      <c r="D800" s="64"/>
      <c r="E800" s="63"/>
      <c r="F800" s="63"/>
      <c r="G800" s="65"/>
      <c r="H800" s="65"/>
      <c r="I800" s="65"/>
      <c r="J800" s="50"/>
    </row>
    <row r="801" spans="2:10" ht="15.75" customHeight="1" x14ac:dyDescent="0.25">
      <c r="B801" s="62"/>
      <c r="C801" s="63"/>
      <c r="D801" s="64"/>
      <c r="E801" s="63"/>
      <c r="F801" s="63"/>
      <c r="G801" s="65"/>
      <c r="H801" s="65"/>
      <c r="I801" s="65"/>
      <c r="J801" s="50"/>
    </row>
    <row r="802" spans="2:10" ht="15.75" customHeight="1" x14ac:dyDescent="0.25">
      <c r="B802" s="62"/>
      <c r="C802" s="63"/>
      <c r="D802" s="64"/>
      <c r="E802" s="63"/>
      <c r="F802" s="63"/>
      <c r="G802" s="65"/>
      <c r="H802" s="65"/>
      <c r="I802" s="65"/>
      <c r="J802" s="50"/>
    </row>
    <row r="803" spans="2:10" ht="15.75" customHeight="1" x14ac:dyDescent="0.25">
      <c r="B803" s="62"/>
      <c r="C803" s="63"/>
      <c r="D803" s="64"/>
      <c r="E803" s="63"/>
      <c r="F803" s="63"/>
      <c r="G803" s="65"/>
      <c r="H803" s="65"/>
      <c r="I803" s="65"/>
      <c r="J803" s="50"/>
    </row>
    <row r="804" spans="2:10" ht="15.75" customHeight="1" x14ac:dyDescent="0.25">
      <c r="B804" s="62"/>
      <c r="C804" s="63"/>
      <c r="D804" s="64"/>
      <c r="E804" s="63"/>
      <c r="F804" s="63"/>
      <c r="G804" s="65"/>
      <c r="H804" s="65"/>
      <c r="I804" s="65"/>
      <c r="J804" s="50"/>
    </row>
    <row r="805" spans="2:10" ht="15.75" customHeight="1" x14ac:dyDescent="0.25">
      <c r="B805" s="62"/>
      <c r="C805" s="63"/>
      <c r="D805" s="64"/>
      <c r="E805" s="63"/>
      <c r="F805" s="63"/>
      <c r="G805" s="65"/>
      <c r="H805" s="65"/>
      <c r="I805" s="65"/>
      <c r="J805" s="50"/>
    </row>
    <row r="806" spans="2:10" ht="15.75" customHeight="1" x14ac:dyDescent="0.25">
      <c r="B806" s="62"/>
      <c r="C806" s="63"/>
      <c r="D806" s="64"/>
      <c r="E806" s="63"/>
      <c r="F806" s="63"/>
      <c r="G806" s="65"/>
      <c r="H806" s="65"/>
      <c r="I806" s="65"/>
      <c r="J806" s="50"/>
    </row>
    <row r="807" spans="2:10" ht="15.75" customHeight="1" x14ac:dyDescent="0.25">
      <c r="B807" s="62"/>
      <c r="C807" s="63"/>
      <c r="D807" s="64"/>
      <c r="E807" s="63"/>
      <c r="F807" s="63"/>
      <c r="G807" s="65"/>
      <c r="H807" s="65"/>
      <c r="I807" s="65"/>
      <c r="J807" s="50"/>
    </row>
    <row r="808" spans="2:10" ht="15.75" customHeight="1" x14ac:dyDescent="0.25">
      <c r="B808" s="62"/>
      <c r="C808" s="63"/>
      <c r="D808" s="64"/>
      <c r="E808" s="63"/>
      <c r="F808" s="63"/>
      <c r="G808" s="65"/>
      <c r="H808" s="65"/>
      <c r="I808" s="65"/>
      <c r="J808" s="50"/>
    </row>
    <row r="809" spans="2:10" ht="15.75" customHeight="1" x14ac:dyDescent="0.25">
      <c r="B809" s="62"/>
      <c r="C809" s="63"/>
      <c r="D809" s="64"/>
      <c r="E809" s="63"/>
      <c r="F809" s="63"/>
      <c r="G809" s="65"/>
      <c r="H809" s="65"/>
      <c r="I809" s="65"/>
      <c r="J809" s="50"/>
    </row>
    <row r="810" spans="2:10" ht="15.75" customHeight="1" x14ac:dyDescent="0.25">
      <c r="B810" s="62"/>
      <c r="C810" s="63"/>
      <c r="D810" s="64"/>
      <c r="E810" s="63"/>
      <c r="F810" s="63"/>
      <c r="G810" s="65"/>
      <c r="H810" s="65"/>
      <c r="I810" s="65"/>
      <c r="J810" s="50"/>
    </row>
    <row r="811" spans="2:10" ht="15.75" customHeight="1" x14ac:dyDescent="0.25">
      <c r="B811" s="62"/>
      <c r="C811" s="63"/>
      <c r="D811" s="64"/>
      <c r="E811" s="63"/>
      <c r="F811" s="63"/>
      <c r="G811" s="65"/>
      <c r="H811" s="65"/>
      <c r="I811" s="65"/>
      <c r="J811" s="50"/>
    </row>
    <row r="812" spans="2:10" ht="15.75" customHeight="1" x14ac:dyDescent="0.25">
      <c r="B812" s="62"/>
      <c r="C812" s="63"/>
      <c r="D812" s="64"/>
      <c r="E812" s="63"/>
      <c r="F812" s="63"/>
      <c r="G812" s="65"/>
      <c r="H812" s="65"/>
      <c r="I812" s="65"/>
      <c r="J812" s="50"/>
    </row>
    <row r="813" spans="2:10" ht="15.75" customHeight="1" x14ac:dyDescent="0.25">
      <c r="B813" s="62"/>
      <c r="C813" s="63"/>
      <c r="D813" s="64"/>
      <c r="E813" s="63"/>
      <c r="F813" s="63"/>
      <c r="G813" s="65"/>
      <c r="H813" s="65"/>
      <c r="I813" s="65"/>
      <c r="J813" s="50"/>
    </row>
    <row r="814" spans="2:10" ht="15.75" customHeight="1" x14ac:dyDescent="0.25">
      <c r="B814" s="62"/>
      <c r="C814" s="63"/>
      <c r="D814" s="64"/>
      <c r="E814" s="63"/>
      <c r="F814" s="63"/>
      <c r="G814" s="65"/>
      <c r="H814" s="65"/>
      <c r="I814" s="65"/>
      <c r="J814" s="50"/>
    </row>
    <row r="815" spans="2:10" ht="15.75" customHeight="1" x14ac:dyDescent="0.25">
      <c r="B815" s="62"/>
      <c r="C815" s="63"/>
      <c r="D815" s="64"/>
      <c r="E815" s="63"/>
      <c r="F815" s="63"/>
      <c r="G815" s="65"/>
      <c r="H815" s="65"/>
      <c r="I815" s="65"/>
      <c r="J815" s="50"/>
    </row>
    <row r="816" spans="2:10" ht="15.75" customHeight="1" x14ac:dyDescent="0.25">
      <c r="B816" s="62"/>
      <c r="C816" s="63"/>
      <c r="D816" s="64"/>
      <c r="E816" s="63"/>
      <c r="F816" s="63"/>
      <c r="G816" s="65"/>
      <c r="H816" s="65"/>
      <c r="I816" s="65"/>
      <c r="J816" s="50"/>
    </row>
    <row r="817" spans="2:10" ht="15.75" customHeight="1" x14ac:dyDescent="0.25">
      <c r="B817" s="62"/>
      <c r="C817" s="63"/>
      <c r="D817" s="64"/>
      <c r="E817" s="63"/>
      <c r="F817" s="63"/>
      <c r="G817" s="65"/>
      <c r="H817" s="65"/>
      <c r="I817" s="65"/>
      <c r="J817" s="50"/>
    </row>
    <row r="818" spans="2:10" ht="15.75" customHeight="1" x14ac:dyDescent="0.25">
      <c r="B818" s="62"/>
      <c r="C818" s="63"/>
      <c r="D818" s="64"/>
      <c r="E818" s="63"/>
      <c r="F818" s="63"/>
      <c r="G818" s="65"/>
      <c r="H818" s="65"/>
      <c r="I818" s="65"/>
      <c r="J818" s="50"/>
    </row>
    <row r="819" spans="2:10" ht="15.75" customHeight="1" x14ac:dyDescent="0.25">
      <c r="B819" s="62"/>
      <c r="C819" s="63"/>
      <c r="D819" s="64"/>
      <c r="E819" s="63"/>
      <c r="F819" s="63"/>
      <c r="G819" s="65"/>
      <c r="H819" s="65"/>
      <c r="I819" s="65"/>
      <c r="J819" s="50"/>
    </row>
    <row r="820" spans="2:10" ht="15.75" customHeight="1" x14ac:dyDescent="0.25">
      <c r="B820" s="62"/>
      <c r="C820" s="63"/>
      <c r="D820" s="64"/>
      <c r="E820" s="63"/>
      <c r="F820" s="63"/>
      <c r="G820" s="65"/>
      <c r="H820" s="65"/>
      <c r="I820" s="65"/>
      <c r="J820" s="50"/>
    </row>
    <row r="821" spans="2:10" ht="15.75" customHeight="1" x14ac:dyDescent="0.25">
      <c r="B821" s="62"/>
      <c r="C821" s="63"/>
      <c r="D821" s="64"/>
      <c r="E821" s="63"/>
      <c r="F821" s="63"/>
      <c r="G821" s="65"/>
      <c r="H821" s="65"/>
      <c r="I821" s="65"/>
      <c r="J821" s="50"/>
    </row>
    <row r="822" spans="2:10" ht="15.75" customHeight="1" x14ac:dyDescent="0.25">
      <c r="B822" s="62"/>
      <c r="C822" s="63"/>
      <c r="D822" s="64"/>
      <c r="E822" s="63"/>
      <c r="F822" s="63"/>
      <c r="G822" s="65"/>
      <c r="H822" s="65"/>
      <c r="I822" s="65"/>
      <c r="J822" s="50"/>
    </row>
    <row r="823" spans="2:10" ht="15.75" customHeight="1" x14ac:dyDescent="0.25">
      <c r="B823" s="62"/>
      <c r="C823" s="63"/>
      <c r="D823" s="64"/>
      <c r="E823" s="63"/>
      <c r="F823" s="63"/>
      <c r="G823" s="65"/>
      <c r="H823" s="65"/>
      <c r="I823" s="65"/>
      <c r="J823" s="50"/>
    </row>
    <row r="824" spans="2:10" ht="15.75" customHeight="1" x14ac:dyDescent="0.25">
      <c r="B824" s="62"/>
      <c r="C824" s="63"/>
      <c r="D824" s="64"/>
      <c r="E824" s="63"/>
      <c r="F824" s="63"/>
      <c r="G824" s="65"/>
      <c r="H824" s="65"/>
      <c r="I824" s="65"/>
      <c r="J824" s="50"/>
    </row>
    <row r="825" spans="2:10" ht="15.75" customHeight="1" x14ac:dyDescent="0.25">
      <c r="B825" s="62"/>
      <c r="C825" s="63"/>
      <c r="D825" s="64"/>
      <c r="E825" s="63"/>
      <c r="F825" s="63"/>
      <c r="G825" s="65"/>
      <c r="H825" s="65"/>
      <c r="I825" s="65"/>
      <c r="J825" s="50"/>
    </row>
    <row r="826" spans="2:10" ht="15.75" customHeight="1" x14ac:dyDescent="0.25">
      <c r="B826" s="62"/>
      <c r="C826" s="63"/>
      <c r="D826" s="64"/>
      <c r="E826" s="63"/>
      <c r="F826" s="63"/>
      <c r="G826" s="65"/>
      <c r="H826" s="65"/>
      <c r="I826" s="65"/>
      <c r="J826" s="50"/>
    </row>
    <row r="827" spans="2:10" ht="15.75" customHeight="1" x14ac:dyDescent="0.25">
      <c r="B827" s="62"/>
      <c r="C827" s="63"/>
      <c r="D827" s="64"/>
      <c r="E827" s="63"/>
      <c r="F827" s="63"/>
      <c r="G827" s="65"/>
      <c r="H827" s="65"/>
      <c r="I827" s="65"/>
      <c r="J827" s="50"/>
    </row>
    <row r="828" spans="2:10" ht="15.75" customHeight="1" x14ac:dyDescent="0.25">
      <c r="B828" s="62"/>
      <c r="C828" s="63"/>
      <c r="D828" s="64"/>
      <c r="E828" s="63"/>
      <c r="F828" s="63"/>
      <c r="G828" s="65"/>
      <c r="H828" s="65"/>
      <c r="I828" s="65"/>
      <c r="J828" s="50"/>
    </row>
    <row r="829" spans="2:10" ht="15.75" customHeight="1" x14ac:dyDescent="0.25">
      <c r="B829" s="62"/>
      <c r="C829" s="63"/>
      <c r="D829" s="64"/>
      <c r="E829" s="63"/>
      <c r="F829" s="63"/>
      <c r="G829" s="65"/>
      <c r="H829" s="65"/>
      <c r="I829" s="65"/>
      <c r="J829" s="50"/>
    </row>
    <row r="830" spans="2:10" ht="15.75" customHeight="1" x14ac:dyDescent="0.25">
      <c r="B830" s="62"/>
      <c r="C830" s="63"/>
      <c r="D830" s="64"/>
      <c r="E830" s="63"/>
      <c r="F830" s="63"/>
      <c r="G830" s="65"/>
      <c r="H830" s="65"/>
      <c r="I830" s="65"/>
      <c r="J830" s="50"/>
    </row>
    <row r="831" spans="2:10" ht="15.75" customHeight="1" x14ac:dyDescent="0.25">
      <c r="B831" s="62"/>
      <c r="C831" s="63"/>
      <c r="D831" s="64"/>
      <c r="E831" s="63"/>
      <c r="F831" s="63"/>
      <c r="G831" s="65"/>
      <c r="H831" s="65"/>
      <c r="I831" s="65"/>
      <c r="J831" s="50"/>
    </row>
    <row r="832" spans="2:10" ht="15.75" customHeight="1" x14ac:dyDescent="0.25">
      <c r="B832" s="62"/>
      <c r="C832" s="63"/>
      <c r="D832" s="64"/>
      <c r="E832" s="63"/>
      <c r="F832" s="63"/>
      <c r="G832" s="65"/>
      <c r="H832" s="65"/>
      <c r="I832" s="65"/>
      <c r="J832" s="50"/>
    </row>
    <row r="833" spans="2:10" ht="15.75" customHeight="1" x14ac:dyDescent="0.25">
      <c r="B833" s="62"/>
      <c r="C833" s="63"/>
      <c r="D833" s="64"/>
      <c r="E833" s="63"/>
      <c r="F833" s="63"/>
      <c r="G833" s="65"/>
      <c r="H833" s="65"/>
      <c r="I833" s="65"/>
      <c r="J833" s="50"/>
    </row>
    <row r="834" spans="2:10" ht="15.75" customHeight="1" x14ac:dyDescent="0.25">
      <c r="B834" s="62"/>
      <c r="C834" s="63"/>
      <c r="D834" s="64"/>
      <c r="E834" s="63"/>
      <c r="F834" s="63"/>
      <c r="G834" s="65"/>
      <c r="H834" s="65"/>
      <c r="I834" s="65"/>
      <c r="J834" s="50"/>
    </row>
    <row r="835" spans="2:10" ht="15.75" customHeight="1" x14ac:dyDescent="0.25">
      <c r="B835" s="62"/>
      <c r="C835" s="63"/>
      <c r="D835" s="64"/>
      <c r="E835" s="63"/>
      <c r="F835" s="63"/>
      <c r="G835" s="65"/>
      <c r="H835" s="65"/>
      <c r="I835" s="65"/>
      <c r="J835" s="50"/>
    </row>
    <row r="836" spans="2:10" ht="15.75" customHeight="1" x14ac:dyDescent="0.25">
      <c r="B836" s="62"/>
      <c r="C836" s="63"/>
      <c r="D836" s="64"/>
      <c r="E836" s="63"/>
      <c r="F836" s="63"/>
      <c r="G836" s="65"/>
      <c r="H836" s="65"/>
      <c r="I836" s="65"/>
      <c r="J836" s="50"/>
    </row>
    <row r="837" spans="2:10" ht="15.75" customHeight="1" x14ac:dyDescent="0.25">
      <c r="B837" s="62"/>
      <c r="C837" s="63"/>
      <c r="D837" s="64"/>
      <c r="E837" s="63"/>
      <c r="F837" s="63"/>
      <c r="G837" s="65"/>
      <c r="H837" s="65"/>
      <c r="I837" s="65"/>
      <c r="J837" s="50"/>
    </row>
    <row r="838" spans="2:10" ht="15.75" customHeight="1" x14ac:dyDescent="0.25">
      <c r="B838" s="62"/>
      <c r="C838" s="63"/>
      <c r="D838" s="64"/>
      <c r="E838" s="63"/>
      <c r="F838" s="63"/>
      <c r="G838" s="65"/>
      <c r="H838" s="65"/>
      <c r="I838" s="65"/>
      <c r="J838" s="50"/>
    </row>
    <row r="839" spans="2:10" ht="15.75" customHeight="1" x14ac:dyDescent="0.25">
      <c r="B839" s="62"/>
      <c r="C839" s="63"/>
      <c r="D839" s="64"/>
      <c r="E839" s="63"/>
      <c r="F839" s="63"/>
      <c r="G839" s="65"/>
      <c r="H839" s="65"/>
      <c r="I839" s="65"/>
      <c r="J839" s="50"/>
    </row>
    <row r="840" spans="2:10" ht="15.75" customHeight="1" x14ac:dyDescent="0.25">
      <c r="B840" s="62"/>
      <c r="C840" s="63"/>
      <c r="D840" s="64"/>
      <c r="E840" s="63"/>
      <c r="F840" s="63"/>
      <c r="G840" s="65"/>
      <c r="H840" s="65"/>
      <c r="I840" s="65"/>
      <c r="J840" s="50"/>
    </row>
    <row r="841" spans="2:10" ht="15.75" customHeight="1" x14ac:dyDescent="0.25">
      <c r="B841" s="62"/>
      <c r="C841" s="63"/>
      <c r="D841" s="64"/>
      <c r="E841" s="63"/>
      <c r="F841" s="63"/>
      <c r="G841" s="65"/>
      <c r="H841" s="65"/>
      <c r="I841" s="65"/>
      <c r="J841" s="50"/>
    </row>
    <row r="842" spans="2:10" ht="15.75" customHeight="1" x14ac:dyDescent="0.25">
      <c r="B842" s="62"/>
      <c r="C842" s="63"/>
      <c r="D842" s="64"/>
      <c r="E842" s="63"/>
      <c r="F842" s="63"/>
      <c r="G842" s="65"/>
      <c r="H842" s="65"/>
      <c r="I842" s="65"/>
      <c r="J842" s="50"/>
    </row>
    <row r="843" spans="2:10" ht="15.75" customHeight="1" x14ac:dyDescent="0.25">
      <c r="B843" s="62"/>
      <c r="C843" s="63"/>
      <c r="D843" s="64"/>
      <c r="E843" s="63"/>
      <c r="F843" s="63"/>
      <c r="G843" s="65"/>
      <c r="H843" s="65"/>
      <c r="I843" s="65"/>
      <c r="J843" s="50"/>
    </row>
    <row r="844" spans="2:10" ht="15.75" customHeight="1" x14ac:dyDescent="0.25">
      <c r="B844" s="62"/>
      <c r="C844" s="63"/>
      <c r="D844" s="64"/>
      <c r="E844" s="63"/>
      <c r="F844" s="63"/>
      <c r="G844" s="65"/>
      <c r="H844" s="65"/>
      <c r="I844" s="65"/>
      <c r="J844" s="50"/>
    </row>
    <row r="845" spans="2:10" ht="15.75" customHeight="1" x14ac:dyDescent="0.25">
      <c r="B845" s="62"/>
      <c r="C845" s="63"/>
      <c r="D845" s="64"/>
      <c r="E845" s="63"/>
      <c r="F845" s="63"/>
      <c r="G845" s="65"/>
      <c r="H845" s="65"/>
      <c r="I845" s="65"/>
      <c r="J845" s="50"/>
    </row>
    <row r="846" spans="2:10" ht="15.75" customHeight="1" x14ac:dyDescent="0.25">
      <c r="B846" s="62"/>
      <c r="C846" s="63"/>
      <c r="D846" s="64"/>
      <c r="E846" s="63"/>
      <c r="F846" s="63"/>
      <c r="G846" s="65"/>
      <c r="H846" s="65"/>
      <c r="I846" s="65"/>
      <c r="J846" s="50"/>
    </row>
    <row r="847" spans="2:10" ht="15.75" customHeight="1" x14ac:dyDescent="0.25">
      <c r="B847" s="62"/>
      <c r="C847" s="63"/>
      <c r="D847" s="64"/>
      <c r="E847" s="63"/>
      <c r="F847" s="63"/>
      <c r="G847" s="65"/>
      <c r="H847" s="65"/>
      <c r="I847" s="65"/>
      <c r="J847" s="50"/>
    </row>
    <row r="848" spans="2:10" ht="15.75" customHeight="1" x14ac:dyDescent="0.25">
      <c r="B848" s="62"/>
      <c r="C848" s="63"/>
      <c r="D848" s="64"/>
      <c r="E848" s="63"/>
      <c r="F848" s="63"/>
      <c r="G848" s="65"/>
      <c r="H848" s="65"/>
      <c r="I848" s="65"/>
      <c r="J848" s="50"/>
    </row>
    <row r="849" spans="2:10" ht="15.75" customHeight="1" x14ac:dyDescent="0.25">
      <c r="B849" s="62"/>
      <c r="C849" s="63"/>
      <c r="D849" s="64"/>
      <c r="E849" s="63"/>
      <c r="F849" s="63"/>
      <c r="G849" s="65"/>
      <c r="H849" s="65"/>
      <c r="I849" s="65"/>
      <c r="J849" s="50"/>
    </row>
    <row r="850" spans="2:10" ht="15.75" customHeight="1" x14ac:dyDescent="0.25">
      <c r="B850" s="62"/>
      <c r="C850" s="63"/>
      <c r="D850" s="64"/>
      <c r="E850" s="63"/>
      <c r="F850" s="63"/>
      <c r="G850" s="65"/>
      <c r="H850" s="65"/>
      <c r="I850" s="65"/>
      <c r="J850" s="50"/>
    </row>
    <row r="851" spans="2:10" ht="15.75" customHeight="1" x14ac:dyDescent="0.25">
      <c r="B851" s="62"/>
      <c r="C851" s="63"/>
      <c r="D851" s="64"/>
      <c r="E851" s="63"/>
      <c r="F851" s="63"/>
      <c r="G851" s="65"/>
      <c r="H851" s="65"/>
      <c r="I851" s="65"/>
      <c r="J851" s="50"/>
    </row>
    <row r="852" spans="2:10" ht="15.75" customHeight="1" x14ac:dyDescent="0.25">
      <c r="B852" s="62"/>
      <c r="C852" s="63"/>
      <c r="D852" s="64"/>
      <c r="E852" s="63"/>
      <c r="F852" s="63"/>
      <c r="G852" s="65"/>
      <c r="H852" s="65"/>
      <c r="I852" s="65"/>
      <c r="J852" s="50"/>
    </row>
    <row r="853" spans="2:10" ht="15.75" customHeight="1" x14ac:dyDescent="0.25">
      <c r="B853" s="62"/>
      <c r="C853" s="63"/>
      <c r="D853" s="64"/>
      <c r="E853" s="63"/>
      <c r="F853" s="63"/>
      <c r="G853" s="65"/>
      <c r="H853" s="65"/>
      <c r="I853" s="65"/>
      <c r="J853" s="50"/>
    </row>
    <row r="854" spans="2:10" ht="15.75" customHeight="1" x14ac:dyDescent="0.25">
      <c r="B854" s="62"/>
      <c r="C854" s="63"/>
      <c r="D854" s="64"/>
      <c r="E854" s="63"/>
      <c r="F854" s="63"/>
      <c r="G854" s="65"/>
      <c r="H854" s="65"/>
      <c r="I854" s="65"/>
      <c r="J854" s="50"/>
    </row>
    <row r="855" spans="2:10" ht="15.75" customHeight="1" x14ac:dyDescent="0.25">
      <c r="B855" s="62"/>
      <c r="C855" s="63"/>
      <c r="D855" s="64"/>
      <c r="E855" s="63"/>
      <c r="F855" s="63"/>
      <c r="G855" s="65"/>
      <c r="H855" s="65"/>
      <c r="I855" s="65"/>
      <c r="J855" s="50"/>
    </row>
    <row r="856" spans="2:10" ht="15.75" customHeight="1" x14ac:dyDescent="0.25">
      <c r="B856" s="62"/>
      <c r="C856" s="63"/>
      <c r="D856" s="64"/>
      <c r="E856" s="63"/>
      <c r="F856" s="63"/>
      <c r="G856" s="65"/>
      <c r="H856" s="65"/>
      <c r="I856" s="65"/>
      <c r="J856" s="50"/>
    </row>
    <row r="857" spans="2:10" ht="15.75" customHeight="1" x14ac:dyDescent="0.25">
      <c r="B857" s="62"/>
      <c r="C857" s="63"/>
      <c r="D857" s="64"/>
      <c r="E857" s="63"/>
      <c r="F857" s="63"/>
      <c r="G857" s="65"/>
      <c r="H857" s="65"/>
      <c r="I857" s="65"/>
      <c r="J857" s="50"/>
    </row>
    <row r="858" spans="2:10" ht="15.75" customHeight="1" x14ac:dyDescent="0.25">
      <c r="B858" s="62"/>
      <c r="C858" s="63"/>
      <c r="D858" s="64"/>
      <c r="E858" s="63"/>
      <c r="F858" s="63"/>
      <c r="G858" s="65"/>
      <c r="H858" s="65"/>
      <c r="I858" s="65"/>
      <c r="J858" s="50"/>
    </row>
    <row r="859" spans="2:10" ht="15.75" customHeight="1" x14ac:dyDescent="0.25">
      <c r="B859" s="62"/>
      <c r="C859" s="63"/>
      <c r="D859" s="64"/>
      <c r="E859" s="63"/>
      <c r="F859" s="63"/>
      <c r="G859" s="65"/>
      <c r="H859" s="65"/>
      <c r="I859" s="65"/>
      <c r="J859" s="50"/>
    </row>
    <row r="860" spans="2:10" ht="15.75" customHeight="1" x14ac:dyDescent="0.25">
      <c r="B860" s="62"/>
      <c r="C860" s="63"/>
      <c r="D860" s="64"/>
      <c r="E860" s="63"/>
      <c r="F860" s="63"/>
      <c r="G860" s="65"/>
      <c r="H860" s="65"/>
      <c r="I860" s="65"/>
      <c r="J860" s="50"/>
    </row>
    <row r="861" spans="2:10" ht="15.75" customHeight="1" x14ac:dyDescent="0.25">
      <c r="B861" s="62"/>
      <c r="C861" s="63"/>
      <c r="D861" s="64"/>
      <c r="E861" s="63"/>
      <c r="F861" s="63"/>
      <c r="G861" s="65"/>
      <c r="H861" s="65"/>
      <c r="I861" s="65"/>
      <c r="J861" s="50"/>
    </row>
    <row r="862" spans="2:10" ht="15.75" customHeight="1" x14ac:dyDescent="0.25">
      <c r="B862" s="62"/>
      <c r="C862" s="63"/>
      <c r="D862" s="64"/>
      <c r="E862" s="63"/>
      <c r="F862" s="63"/>
      <c r="G862" s="65"/>
      <c r="H862" s="65"/>
      <c r="I862" s="65"/>
      <c r="J862" s="50"/>
    </row>
    <row r="863" spans="2:10" ht="15.75" customHeight="1" x14ac:dyDescent="0.25">
      <c r="B863" s="62"/>
      <c r="C863" s="63"/>
      <c r="D863" s="64"/>
      <c r="E863" s="63"/>
      <c r="F863" s="63"/>
      <c r="G863" s="65"/>
      <c r="H863" s="65"/>
      <c r="I863" s="65"/>
      <c r="J863" s="50"/>
    </row>
    <row r="864" spans="2:10" ht="15.75" customHeight="1" x14ac:dyDescent="0.25">
      <c r="B864" s="62"/>
      <c r="C864" s="63"/>
      <c r="D864" s="64"/>
      <c r="E864" s="63"/>
      <c r="F864" s="63"/>
      <c r="G864" s="65"/>
      <c r="H864" s="65"/>
      <c r="I864" s="65"/>
      <c r="J864" s="50"/>
    </row>
    <row r="865" spans="2:10" ht="15.75" customHeight="1" x14ac:dyDescent="0.25">
      <c r="B865" s="62"/>
      <c r="C865" s="63"/>
      <c r="D865" s="64"/>
      <c r="E865" s="63"/>
      <c r="F865" s="63"/>
      <c r="G865" s="65"/>
      <c r="H865" s="65"/>
      <c r="I865" s="65"/>
      <c r="J865" s="50"/>
    </row>
    <row r="866" spans="2:10" ht="15.75" customHeight="1" x14ac:dyDescent="0.25">
      <c r="B866" s="62"/>
      <c r="C866" s="63"/>
      <c r="D866" s="64"/>
      <c r="E866" s="63"/>
      <c r="F866" s="63"/>
      <c r="G866" s="65"/>
      <c r="H866" s="65"/>
      <c r="I866" s="65"/>
      <c r="J866" s="50"/>
    </row>
    <row r="867" spans="2:10" ht="15.75" customHeight="1" x14ac:dyDescent="0.25">
      <c r="B867" s="62"/>
      <c r="C867" s="63"/>
      <c r="D867" s="64"/>
      <c r="E867" s="63"/>
      <c r="F867" s="63"/>
      <c r="G867" s="65"/>
      <c r="H867" s="65"/>
      <c r="I867" s="65"/>
      <c r="J867" s="50"/>
    </row>
    <row r="868" spans="2:10" ht="15.75" customHeight="1" x14ac:dyDescent="0.25">
      <c r="B868" s="62"/>
      <c r="C868" s="63"/>
      <c r="D868" s="64"/>
      <c r="E868" s="63"/>
      <c r="F868" s="63"/>
      <c r="G868" s="65"/>
      <c r="H868" s="65"/>
      <c r="I868" s="65"/>
      <c r="J868" s="50"/>
    </row>
    <row r="869" spans="2:10" ht="15.75" customHeight="1" x14ac:dyDescent="0.25">
      <c r="B869" s="62"/>
      <c r="C869" s="63"/>
      <c r="D869" s="64"/>
      <c r="E869" s="63"/>
      <c r="F869" s="63"/>
      <c r="G869" s="65"/>
      <c r="H869" s="65"/>
      <c r="I869" s="65"/>
      <c r="J869" s="50"/>
    </row>
    <row r="870" spans="2:10" ht="15.75" customHeight="1" x14ac:dyDescent="0.25">
      <c r="B870" s="62"/>
      <c r="C870" s="63"/>
      <c r="D870" s="64"/>
      <c r="E870" s="63"/>
      <c r="F870" s="63"/>
      <c r="G870" s="65"/>
      <c r="H870" s="65"/>
      <c r="I870" s="65"/>
      <c r="J870" s="50"/>
    </row>
    <row r="871" spans="2:10" ht="15.75" customHeight="1" x14ac:dyDescent="0.25">
      <c r="B871" s="62"/>
      <c r="C871" s="63"/>
      <c r="D871" s="64"/>
      <c r="E871" s="63"/>
      <c r="F871" s="63"/>
      <c r="G871" s="65"/>
      <c r="H871" s="65"/>
      <c r="I871" s="65"/>
      <c r="J871" s="50"/>
    </row>
    <row r="872" spans="2:10" ht="15.75" customHeight="1" x14ac:dyDescent="0.25">
      <c r="B872" s="62"/>
      <c r="C872" s="63"/>
      <c r="D872" s="64"/>
      <c r="E872" s="63"/>
      <c r="F872" s="63"/>
      <c r="G872" s="65"/>
      <c r="H872" s="65"/>
      <c r="I872" s="65"/>
      <c r="J872" s="50"/>
    </row>
    <row r="873" spans="2:10" ht="15.75" customHeight="1" x14ac:dyDescent="0.25">
      <c r="B873" s="62"/>
      <c r="C873" s="63"/>
      <c r="D873" s="64"/>
      <c r="E873" s="63"/>
      <c r="F873" s="63"/>
      <c r="G873" s="65"/>
      <c r="H873" s="65"/>
      <c r="I873" s="65"/>
      <c r="J873" s="50"/>
    </row>
    <row r="874" spans="2:10" ht="15.75" customHeight="1" x14ac:dyDescent="0.25">
      <c r="B874" s="62"/>
      <c r="C874" s="63"/>
      <c r="D874" s="64"/>
      <c r="E874" s="63"/>
      <c r="F874" s="63"/>
      <c r="G874" s="65"/>
      <c r="H874" s="65"/>
      <c r="I874" s="65"/>
      <c r="J874" s="50"/>
    </row>
    <row r="875" spans="2:10" ht="15.75" customHeight="1" x14ac:dyDescent="0.25">
      <c r="B875" s="62"/>
      <c r="C875" s="63"/>
      <c r="D875" s="64"/>
      <c r="E875" s="63"/>
      <c r="F875" s="63"/>
      <c r="G875" s="65"/>
      <c r="H875" s="65"/>
      <c r="I875" s="65"/>
      <c r="J875" s="50"/>
    </row>
    <row r="876" spans="2:10" ht="15.75" customHeight="1" x14ac:dyDescent="0.25">
      <c r="B876" s="62"/>
      <c r="C876" s="63"/>
      <c r="D876" s="64"/>
      <c r="E876" s="63"/>
      <c r="F876" s="63"/>
      <c r="G876" s="65"/>
      <c r="H876" s="65"/>
      <c r="I876" s="65"/>
      <c r="J876" s="50"/>
    </row>
    <row r="877" spans="2:10" ht="15.75" customHeight="1" x14ac:dyDescent="0.25">
      <c r="B877" s="62"/>
      <c r="C877" s="63"/>
      <c r="D877" s="64"/>
      <c r="E877" s="63"/>
      <c r="F877" s="63"/>
      <c r="G877" s="65"/>
      <c r="H877" s="65"/>
      <c r="I877" s="65"/>
      <c r="J877" s="50"/>
    </row>
    <row r="878" spans="2:10" ht="15.75" customHeight="1" x14ac:dyDescent="0.25">
      <c r="B878" s="62"/>
      <c r="C878" s="63"/>
      <c r="D878" s="64"/>
      <c r="E878" s="63"/>
      <c r="F878" s="63"/>
      <c r="G878" s="65"/>
      <c r="H878" s="65"/>
      <c r="I878" s="65"/>
      <c r="J878" s="50"/>
    </row>
    <row r="879" spans="2:10" ht="15.75" customHeight="1" x14ac:dyDescent="0.25">
      <c r="B879" s="62"/>
      <c r="C879" s="63"/>
      <c r="D879" s="64"/>
      <c r="E879" s="63"/>
      <c r="F879" s="63"/>
      <c r="G879" s="65"/>
      <c r="H879" s="65"/>
      <c r="I879" s="65"/>
      <c r="J879" s="50"/>
    </row>
    <row r="880" spans="2:10" ht="15.75" customHeight="1" x14ac:dyDescent="0.25">
      <c r="B880" s="62"/>
      <c r="C880" s="63"/>
      <c r="D880" s="64"/>
      <c r="E880" s="63"/>
      <c r="F880" s="63"/>
      <c r="G880" s="65"/>
      <c r="H880" s="65"/>
      <c r="I880" s="65"/>
      <c r="J880" s="50"/>
    </row>
    <row r="881" spans="2:10" ht="15.75" customHeight="1" x14ac:dyDescent="0.25">
      <c r="B881" s="62"/>
      <c r="C881" s="63"/>
      <c r="D881" s="64"/>
      <c r="E881" s="63"/>
      <c r="F881" s="63"/>
      <c r="G881" s="65"/>
      <c r="H881" s="65"/>
      <c r="I881" s="65"/>
      <c r="J881" s="50"/>
    </row>
    <row r="882" spans="2:10" ht="15.75" customHeight="1" x14ac:dyDescent="0.25">
      <c r="B882" s="62"/>
      <c r="C882" s="63"/>
      <c r="D882" s="64"/>
      <c r="E882" s="63"/>
      <c r="F882" s="63"/>
      <c r="G882" s="65"/>
      <c r="H882" s="65"/>
      <c r="I882" s="65"/>
      <c r="J882" s="50"/>
    </row>
    <row r="883" spans="2:10" ht="15.75" customHeight="1" x14ac:dyDescent="0.25">
      <c r="B883" s="62"/>
      <c r="C883" s="63"/>
      <c r="D883" s="64"/>
      <c r="E883" s="63"/>
      <c r="F883" s="63"/>
      <c r="G883" s="65"/>
      <c r="H883" s="65"/>
      <c r="I883" s="65"/>
      <c r="J883" s="50"/>
    </row>
    <row r="884" spans="2:10" ht="15.75" customHeight="1" x14ac:dyDescent="0.25">
      <c r="B884" s="62"/>
      <c r="C884" s="63"/>
      <c r="D884" s="64"/>
      <c r="E884" s="63"/>
      <c r="F884" s="63"/>
      <c r="G884" s="65"/>
      <c r="H884" s="65"/>
      <c r="I884" s="65"/>
      <c r="J884" s="50"/>
    </row>
    <row r="885" spans="2:10" ht="15.75" customHeight="1" x14ac:dyDescent="0.25">
      <c r="B885" s="62"/>
      <c r="C885" s="63"/>
      <c r="D885" s="64"/>
      <c r="E885" s="63"/>
      <c r="F885" s="63"/>
      <c r="G885" s="65"/>
      <c r="H885" s="65"/>
      <c r="I885" s="65"/>
      <c r="J885" s="50"/>
    </row>
    <row r="886" spans="2:10" ht="15.75" customHeight="1" x14ac:dyDescent="0.25">
      <c r="B886" s="62"/>
      <c r="C886" s="63"/>
      <c r="D886" s="64"/>
      <c r="E886" s="63"/>
      <c r="F886" s="63"/>
      <c r="G886" s="65"/>
      <c r="H886" s="65"/>
      <c r="I886" s="65"/>
      <c r="J886" s="50"/>
    </row>
    <row r="887" spans="2:10" ht="15.75" customHeight="1" x14ac:dyDescent="0.25">
      <c r="B887" s="62"/>
      <c r="C887" s="63"/>
      <c r="D887" s="64"/>
      <c r="E887" s="63"/>
      <c r="F887" s="63"/>
      <c r="G887" s="65"/>
      <c r="H887" s="65"/>
      <c r="I887" s="65"/>
      <c r="J887" s="50"/>
    </row>
    <row r="888" spans="2:10" ht="15.75" customHeight="1" x14ac:dyDescent="0.25">
      <c r="B888" s="62"/>
      <c r="C888" s="63"/>
      <c r="D888" s="64"/>
      <c r="E888" s="63"/>
      <c r="F888" s="63"/>
      <c r="G888" s="65"/>
      <c r="H888" s="65"/>
      <c r="I888" s="65"/>
      <c r="J888" s="50"/>
    </row>
    <row r="889" spans="2:10" ht="15.75" customHeight="1" x14ac:dyDescent="0.25">
      <c r="B889" s="62"/>
      <c r="C889" s="63"/>
      <c r="D889" s="64"/>
      <c r="E889" s="63"/>
      <c r="F889" s="63"/>
      <c r="G889" s="65"/>
      <c r="H889" s="65"/>
      <c r="I889" s="65"/>
      <c r="J889" s="50"/>
    </row>
    <row r="890" spans="2:10" ht="15.75" customHeight="1" x14ac:dyDescent="0.25">
      <c r="B890" s="62"/>
      <c r="C890" s="63"/>
      <c r="D890" s="64"/>
      <c r="E890" s="63"/>
      <c r="F890" s="63"/>
      <c r="G890" s="65"/>
      <c r="H890" s="65"/>
      <c r="I890" s="65"/>
      <c r="J890" s="50"/>
    </row>
    <row r="891" spans="2:10" ht="15.75" customHeight="1" x14ac:dyDescent="0.25">
      <c r="B891" s="62"/>
      <c r="C891" s="63"/>
      <c r="D891" s="64"/>
      <c r="E891" s="63"/>
      <c r="F891" s="63"/>
      <c r="G891" s="65"/>
      <c r="H891" s="65"/>
      <c r="I891" s="65"/>
      <c r="J891" s="50"/>
    </row>
    <row r="892" spans="2:10" ht="15.75" customHeight="1" x14ac:dyDescent="0.25">
      <c r="B892" s="62"/>
      <c r="C892" s="63"/>
      <c r="D892" s="64"/>
      <c r="E892" s="63"/>
      <c r="F892" s="63"/>
      <c r="G892" s="65"/>
      <c r="H892" s="65"/>
      <c r="I892" s="65"/>
      <c r="J892" s="50"/>
    </row>
    <row r="893" spans="2:10" ht="15.75" customHeight="1" x14ac:dyDescent="0.25">
      <c r="B893" s="62"/>
      <c r="C893" s="63"/>
      <c r="D893" s="64"/>
      <c r="E893" s="63"/>
      <c r="F893" s="63"/>
      <c r="G893" s="65"/>
      <c r="H893" s="65"/>
      <c r="I893" s="65"/>
      <c r="J893" s="50"/>
    </row>
    <row r="894" spans="2:10" ht="15.75" customHeight="1" x14ac:dyDescent="0.25">
      <c r="B894" s="62"/>
      <c r="C894" s="63"/>
      <c r="D894" s="64"/>
      <c r="E894" s="63"/>
      <c r="F894" s="63"/>
      <c r="G894" s="65"/>
      <c r="H894" s="65"/>
      <c r="I894" s="65"/>
      <c r="J894" s="50"/>
    </row>
    <row r="895" spans="2:10" ht="15.75" customHeight="1" x14ac:dyDescent="0.25">
      <c r="B895" s="62"/>
      <c r="C895" s="63"/>
      <c r="D895" s="64"/>
      <c r="E895" s="63"/>
      <c r="F895" s="63"/>
      <c r="G895" s="65"/>
      <c r="H895" s="65"/>
      <c r="I895" s="65"/>
      <c r="J895" s="50"/>
    </row>
    <row r="896" spans="2:10" ht="15.75" customHeight="1" x14ac:dyDescent="0.25">
      <c r="B896" s="62"/>
      <c r="C896" s="63"/>
      <c r="D896" s="64"/>
      <c r="E896" s="63"/>
      <c r="F896" s="63"/>
      <c r="G896" s="65"/>
      <c r="H896" s="65"/>
      <c r="I896" s="65"/>
      <c r="J896" s="50"/>
    </row>
    <row r="897" spans="2:10" ht="15.75" customHeight="1" x14ac:dyDescent="0.25">
      <c r="B897" s="62"/>
      <c r="C897" s="63"/>
      <c r="D897" s="64"/>
      <c r="E897" s="63"/>
      <c r="F897" s="63"/>
      <c r="G897" s="65"/>
      <c r="H897" s="65"/>
      <c r="I897" s="65"/>
      <c r="J897" s="50"/>
    </row>
    <row r="898" spans="2:10" ht="15.75" customHeight="1" x14ac:dyDescent="0.25">
      <c r="B898" s="62"/>
      <c r="C898" s="63"/>
      <c r="D898" s="64"/>
      <c r="E898" s="63"/>
      <c r="F898" s="63"/>
      <c r="G898" s="65"/>
      <c r="H898" s="65"/>
      <c r="I898" s="65"/>
      <c r="J898" s="50"/>
    </row>
    <row r="899" spans="2:10" ht="15.75" customHeight="1" x14ac:dyDescent="0.25">
      <c r="B899" s="62"/>
      <c r="C899" s="63"/>
      <c r="D899" s="64"/>
      <c r="E899" s="63"/>
      <c r="F899" s="63"/>
      <c r="G899" s="65"/>
      <c r="H899" s="65"/>
      <c r="I899" s="65"/>
      <c r="J899" s="50"/>
    </row>
    <row r="900" spans="2:10" ht="15.75" customHeight="1" x14ac:dyDescent="0.25">
      <c r="B900" s="62"/>
      <c r="C900" s="63"/>
      <c r="D900" s="64"/>
      <c r="E900" s="63"/>
      <c r="F900" s="63"/>
      <c r="G900" s="65"/>
      <c r="H900" s="65"/>
      <c r="I900" s="65"/>
      <c r="J900" s="50"/>
    </row>
    <row r="901" spans="2:10" ht="15.75" customHeight="1" x14ac:dyDescent="0.25">
      <c r="B901" s="62"/>
      <c r="C901" s="63"/>
      <c r="D901" s="64"/>
      <c r="E901" s="63"/>
      <c r="F901" s="63"/>
      <c r="G901" s="65"/>
      <c r="H901" s="65"/>
      <c r="I901" s="65"/>
      <c r="J901" s="50"/>
    </row>
    <row r="902" spans="2:10" ht="15.75" customHeight="1" x14ac:dyDescent="0.25">
      <c r="B902" s="62"/>
      <c r="C902" s="63"/>
      <c r="D902" s="64"/>
      <c r="E902" s="63"/>
      <c r="F902" s="63"/>
      <c r="G902" s="65"/>
      <c r="H902" s="65"/>
      <c r="I902" s="65"/>
      <c r="J902" s="50"/>
    </row>
    <row r="903" spans="2:10" ht="15.75" customHeight="1" x14ac:dyDescent="0.25">
      <c r="B903" s="62"/>
      <c r="C903" s="63"/>
      <c r="D903" s="64"/>
      <c r="E903" s="63"/>
      <c r="F903" s="63"/>
      <c r="G903" s="65"/>
      <c r="H903" s="65"/>
      <c r="I903" s="65"/>
      <c r="J903" s="50"/>
    </row>
    <row r="904" spans="2:10" ht="15.75" customHeight="1" x14ac:dyDescent="0.25">
      <c r="B904" s="62"/>
      <c r="C904" s="63"/>
      <c r="D904" s="64"/>
      <c r="E904" s="63"/>
      <c r="F904" s="63"/>
      <c r="G904" s="65"/>
      <c r="H904" s="65"/>
      <c r="I904" s="65"/>
      <c r="J904" s="50"/>
    </row>
    <row r="905" spans="2:10" ht="15.75" customHeight="1" x14ac:dyDescent="0.25">
      <c r="B905" s="62"/>
      <c r="C905" s="63"/>
      <c r="D905" s="64"/>
      <c r="E905" s="63"/>
      <c r="F905" s="63"/>
      <c r="G905" s="65"/>
      <c r="H905" s="65"/>
      <c r="I905" s="65"/>
      <c r="J905" s="50"/>
    </row>
    <row r="906" spans="2:10" ht="15.75" customHeight="1" x14ac:dyDescent="0.25">
      <c r="B906" s="62"/>
      <c r="C906" s="63"/>
      <c r="D906" s="64"/>
      <c r="E906" s="63"/>
      <c r="F906" s="63"/>
      <c r="G906" s="65"/>
      <c r="H906" s="65"/>
      <c r="I906" s="65"/>
      <c r="J906" s="50"/>
    </row>
    <row r="907" spans="2:10" ht="15.75" customHeight="1" x14ac:dyDescent="0.25">
      <c r="B907" s="62"/>
      <c r="C907" s="63"/>
      <c r="D907" s="64"/>
      <c r="E907" s="63"/>
      <c r="F907" s="63"/>
      <c r="G907" s="65"/>
      <c r="H907" s="65"/>
      <c r="I907" s="65"/>
      <c r="J907" s="50"/>
    </row>
    <row r="908" spans="2:10" ht="15.75" customHeight="1" x14ac:dyDescent="0.25">
      <c r="B908" s="62"/>
      <c r="C908" s="63"/>
      <c r="D908" s="64"/>
      <c r="E908" s="63"/>
      <c r="F908" s="63"/>
      <c r="G908" s="65"/>
      <c r="H908" s="65"/>
      <c r="I908" s="65"/>
      <c r="J908" s="50"/>
    </row>
    <row r="909" spans="2:10" ht="15.75" customHeight="1" x14ac:dyDescent="0.25">
      <c r="B909" s="62"/>
      <c r="C909" s="63"/>
      <c r="D909" s="64"/>
      <c r="E909" s="63"/>
      <c r="F909" s="63"/>
      <c r="G909" s="65"/>
      <c r="H909" s="65"/>
      <c r="I909" s="65"/>
      <c r="J909" s="50"/>
    </row>
    <row r="910" spans="2:10" ht="15.75" customHeight="1" x14ac:dyDescent="0.25">
      <c r="B910" s="62"/>
      <c r="C910" s="63"/>
      <c r="D910" s="64"/>
      <c r="E910" s="63"/>
      <c r="F910" s="63"/>
      <c r="G910" s="65"/>
      <c r="H910" s="65"/>
      <c r="I910" s="65"/>
      <c r="J910" s="50"/>
    </row>
    <row r="911" spans="2:10" ht="15.75" customHeight="1" x14ac:dyDescent="0.25">
      <c r="B911" s="62"/>
      <c r="C911" s="63"/>
      <c r="D911" s="64"/>
      <c r="E911" s="63"/>
      <c r="F911" s="63"/>
      <c r="G911" s="65"/>
      <c r="H911" s="65"/>
      <c r="I911" s="65"/>
      <c r="J911" s="50"/>
    </row>
    <row r="912" spans="2:10" ht="15.75" customHeight="1" x14ac:dyDescent="0.25">
      <c r="B912" s="62"/>
      <c r="C912" s="63"/>
      <c r="D912" s="64"/>
      <c r="E912" s="63"/>
      <c r="F912" s="63"/>
      <c r="G912" s="65"/>
      <c r="H912" s="65"/>
      <c r="I912" s="65"/>
      <c r="J912" s="50"/>
    </row>
    <row r="913" spans="2:10" ht="15.75" customHeight="1" x14ac:dyDescent="0.25">
      <c r="B913" s="62"/>
      <c r="C913" s="63"/>
      <c r="D913" s="64"/>
      <c r="E913" s="63"/>
      <c r="F913" s="63"/>
      <c r="G913" s="65"/>
      <c r="H913" s="65"/>
      <c r="I913" s="65"/>
      <c r="J913" s="50"/>
    </row>
    <row r="914" spans="2:10" ht="15.75" customHeight="1" x14ac:dyDescent="0.25">
      <c r="B914" s="62"/>
      <c r="C914" s="63"/>
      <c r="D914" s="64"/>
      <c r="E914" s="63"/>
      <c r="F914" s="63"/>
      <c r="G914" s="65"/>
      <c r="H914" s="65"/>
      <c r="I914" s="65"/>
      <c r="J914" s="50"/>
    </row>
    <row r="915" spans="2:10" ht="15.75" customHeight="1" x14ac:dyDescent="0.25">
      <c r="B915" s="62"/>
      <c r="C915" s="63"/>
      <c r="D915" s="64"/>
      <c r="E915" s="63"/>
      <c r="F915" s="63"/>
      <c r="G915" s="65"/>
      <c r="H915" s="65"/>
      <c r="I915" s="65"/>
      <c r="J915" s="50"/>
    </row>
    <row r="916" spans="2:10" ht="15.75" customHeight="1" x14ac:dyDescent="0.25">
      <c r="B916" s="62"/>
      <c r="C916" s="63"/>
      <c r="D916" s="64"/>
      <c r="E916" s="63"/>
      <c r="F916" s="63"/>
      <c r="G916" s="65"/>
      <c r="H916" s="65"/>
      <c r="I916" s="65"/>
      <c r="J916" s="50"/>
    </row>
    <row r="917" spans="2:10" ht="15.75" customHeight="1" x14ac:dyDescent="0.25">
      <c r="B917" s="62"/>
      <c r="C917" s="63"/>
      <c r="D917" s="64"/>
      <c r="E917" s="63"/>
      <c r="F917" s="63"/>
      <c r="G917" s="65"/>
      <c r="H917" s="65"/>
      <c r="I917" s="65"/>
      <c r="J917" s="50"/>
    </row>
    <row r="918" spans="2:10" ht="15.75" customHeight="1" x14ac:dyDescent="0.25">
      <c r="B918" s="62"/>
      <c r="C918" s="63"/>
      <c r="D918" s="64"/>
      <c r="E918" s="63"/>
      <c r="F918" s="63"/>
      <c r="G918" s="65"/>
      <c r="H918" s="65"/>
      <c r="I918" s="65"/>
      <c r="J918" s="50"/>
    </row>
    <row r="919" spans="2:10" ht="15.75" customHeight="1" x14ac:dyDescent="0.25">
      <c r="B919" s="62"/>
      <c r="C919" s="63"/>
      <c r="D919" s="64"/>
      <c r="E919" s="63"/>
      <c r="F919" s="63"/>
      <c r="G919" s="65"/>
      <c r="H919" s="65"/>
      <c r="I919" s="65"/>
      <c r="J919" s="50"/>
    </row>
    <row r="920" spans="2:10" ht="15.75" customHeight="1" x14ac:dyDescent="0.25">
      <c r="B920" s="62"/>
      <c r="C920" s="63"/>
      <c r="D920" s="64"/>
      <c r="E920" s="63"/>
      <c r="F920" s="63"/>
      <c r="G920" s="65"/>
      <c r="H920" s="65"/>
      <c r="I920" s="65"/>
      <c r="J920" s="50"/>
    </row>
    <row r="921" spans="2:10" ht="15.75" customHeight="1" x14ac:dyDescent="0.25">
      <c r="B921" s="62"/>
      <c r="C921" s="63"/>
      <c r="D921" s="64"/>
      <c r="E921" s="63"/>
      <c r="F921" s="63"/>
      <c r="G921" s="65"/>
      <c r="H921" s="65"/>
      <c r="I921" s="65"/>
      <c r="J921" s="50"/>
    </row>
    <row r="922" spans="2:10" ht="15.75" customHeight="1" x14ac:dyDescent="0.25">
      <c r="B922" s="62"/>
      <c r="C922" s="63"/>
      <c r="D922" s="64"/>
      <c r="E922" s="63"/>
      <c r="F922" s="63"/>
      <c r="G922" s="65"/>
      <c r="H922" s="65"/>
      <c r="I922" s="65"/>
      <c r="J922" s="50"/>
    </row>
    <row r="923" spans="2:10" ht="15.75" customHeight="1" x14ac:dyDescent="0.25">
      <c r="B923" s="62"/>
      <c r="C923" s="63"/>
      <c r="D923" s="64"/>
      <c r="E923" s="63"/>
      <c r="F923" s="63"/>
      <c r="G923" s="65"/>
      <c r="H923" s="65"/>
      <c r="I923" s="65"/>
      <c r="J923" s="50"/>
    </row>
    <row r="924" spans="2:10" ht="15.75" customHeight="1" x14ac:dyDescent="0.25">
      <c r="B924" s="62"/>
      <c r="C924" s="63"/>
      <c r="D924" s="64"/>
      <c r="E924" s="63"/>
      <c r="F924" s="63"/>
      <c r="G924" s="65"/>
      <c r="H924" s="65"/>
      <c r="I924" s="65"/>
      <c r="J924" s="50"/>
    </row>
    <row r="925" spans="2:10" ht="15.75" customHeight="1" x14ac:dyDescent="0.25">
      <c r="B925" s="62"/>
      <c r="C925" s="63"/>
      <c r="D925" s="64"/>
      <c r="E925" s="63"/>
      <c r="F925" s="63"/>
      <c r="G925" s="65"/>
      <c r="H925" s="65"/>
      <c r="I925" s="65"/>
      <c r="J925" s="50"/>
    </row>
    <row r="926" spans="2:10" ht="15.75" customHeight="1" x14ac:dyDescent="0.25">
      <c r="B926" s="62"/>
      <c r="C926" s="63"/>
      <c r="D926" s="64"/>
      <c r="E926" s="63"/>
      <c r="F926" s="63"/>
      <c r="G926" s="65"/>
      <c r="H926" s="65"/>
      <c r="I926" s="65"/>
      <c r="J926" s="50"/>
    </row>
    <row r="927" spans="2:10" ht="15.75" customHeight="1" x14ac:dyDescent="0.25">
      <c r="B927" s="62"/>
      <c r="C927" s="63"/>
      <c r="D927" s="64"/>
      <c r="E927" s="63"/>
      <c r="F927" s="63"/>
      <c r="G927" s="65"/>
      <c r="H927" s="65"/>
      <c r="I927" s="65"/>
      <c r="J927" s="50"/>
    </row>
    <row r="928" spans="2:10" ht="15.75" customHeight="1" x14ac:dyDescent="0.25">
      <c r="B928" s="62"/>
      <c r="C928" s="63"/>
      <c r="D928" s="64"/>
      <c r="E928" s="63"/>
      <c r="F928" s="63"/>
      <c r="G928" s="65"/>
      <c r="H928" s="65"/>
      <c r="I928" s="65"/>
      <c r="J928" s="50"/>
    </row>
    <row r="929" spans="2:10" ht="15.75" customHeight="1" x14ac:dyDescent="0.25">
      <c r="B929" s="62"/>
      <c r="C929" s="63"/>
      <c r="D929" s="64"/>
      <c r="E929" s="63"/>
      <c r="F929" s="63"/>
      <c r="G929" s="65"/>
      <c r="H929" s="65"/>
      <c r="I929" s="65"/>
      <c r="J929" s="50"/>
    </row>
    <row r="930" spans="2:10" ht="15.75" customHeight="1" x14ac:dyDescent="0.25">
      <c r="B930" s="62"/>
      <c r="C930" s="63"/>
      <c r="D930" s="64"/>
      <c r="E930" s="63"/>
      <c r="F930" s="63"/>
      <c r="G930" s="65"/>
      <c r="H930" s="65"/>
      <c r="I930" s="65"/>
      <c r="J930" s="50"/>
    </row>
    <row r="931" spans="2:10" ht="15.75" customHeight="1" x14ac:dyDescent="0.25">
      <c r="B931" s="62"/>
      <c r="C931" s="63"/>
      <c r="D931" s="64"/>
      <c r="E931" s="63"/>
      <c r="F931" s="63"/>
      <c r="G931" s="65"/>
      <c r="H931" s="65"/>
      <c r="I931" s="65"/>
      <c r="J931" s="50"/>
    </row>
    <row r="932" spans="2:10" ht="15.75" customHeight="1" x14ac:dyDescent="0.25">
      <c r="B932" s="62"/>
      <c r="C932" s="63"/>
      <c r="D932" s="64"/>
      <c r="E932" s="63"/>
      <c r="F932" s="63"/>
      <c r="G932" s="65"/>
      <c r="H932" s="65"/>
      <c r="I932" s="65"/>
      <c r="J932" s="50"/>
    </row>
    <row r="933" spans="2:10" ht="15.75" customHeight="1" x14ac:dyDescent="0.25">
      <c r="B933" s="62"/>
      <c r="C933" s="63"/>
      <c r="D933" s="64"/>
      <c r="E933" s="63"/>
      <c r="F933" s="63"/>
      <c r="G933" s="65"/>
      <c r="H933" s="65"/>
      <c r="I933" s="65"/>
      <c r="J933" s="50"/>
    </row>
    <row r="934" spans="2:10" ht="15.75" customHeight="1" x14ac:dyDescent="0.25">
      <c r="B934" s="62"/>
      <c r="C934" s="63"/>
      <c r="D934" s="64"/>
      <c r="E934" s="63"/>
      <c r="F934" s="63"/>
      <c r="G934" s="65"/>
      <c r="H934" s="65"/>
      <c r="I934" s="65"/>
      <c r="J934" s="50"/>
    </row>
    <row r="935" spans="2:10" ht="15.75" customHeight="1" x14ac:dyDescent="0.25">
      <c r="B935" s="62"/>
      <c r="C935" s="63"/>
      <c r="D935" s="64"/>
      <c r="E935" s="63"/>
      <c r="F935" s="63"/>
      <c r="G935" s="65"/>
      <c r="H935" s="65"/>
      <c r="I935" s="65"/>
      <c r="J935" s="50"/>
    </row>
    <row r="936" spans="2:10" ht="15.75" customHeight="1" x14ac:dyDescent="0.25">
      <c r="B936" s="62"/>
      <c r="C936" s="63"/>
      <c r="D936" s="64"/>
      <c r="E936" s="63"/>
      <c r="F936" s="63"/>
      <c r="G936" s="65"/>
      <c r="H936" s="65"/>
      <c r="I936" s="65"/>
      <c r="J936" s="50"/>
    </row>
    <row r="937" spans="2:10" ht="15.75" customHeight="1" x14ac:dyDescent="0.25">
      <c r="B937" s="62"/>
      <c r="C937" s="63"/>
      <c r="D937" s="64"/>
      <c r="E937" s="63"/>
      <c r="F937" s="63"/>
      <c r="G937" s="65"/>
      <c r="H937" s="65"/>
      <c r="I937" s="65"/>
      <c r="J937" s="50"/>
    </row>
    <row r="938" spans="2:10" ht="15.75" customHeight="1" x14ac:dyDescent="0.25">
      <c r="B938" s="62"/>
      <c r="C938" s="63"/>
      <c r="D938" s="64"/>
      <c r="E938" s="63"/>
      <c r="F938" s="63"/>
      <c r="G938" s="65"/>
      <c r="H938" s="65"/>
      <c r="I938" s="65"/>
      <c r="J938" s="50"/>
    </row>
    <row r="939" spans="2:10" ht="15.75" customHeight="1" x14ac:dyDescent="0.25">
      <c r="B939" s="62"/>
      <c r="C939" s="63"/>
      <c r="D939" s="64"/>
      <c r="E939" s="63"/>
      <c r="F939" s="63"/>
      <c r="G939" s="65"/>
      <c r="H939" s="65"/>
      <c r="I939" s="65"/>
      <c r="J939" s="50"/>
    </row>
    <row r="940" spans="2:10" ht="15.75" customHeight="1" x14ac:dyDescent="0.25">
      <c r="B940" s="62"/>
      <c r="C940" s="63"/>
      <c r="D940" s="64"/>
      <c r="E940" s="63"/>
      <c r="F940" s="63"/>
      <c r="G940" s="65"/>
      <c r="H940" s="65"/>
      <c r="I940" s="65"/>
      <c r="J940" s="50"/>
    </row>
    <row r="941" spans="2:10" ht="15.75" customHeight="1" x14ac:dyDescent="0.25">
      <c r="B941" s="62"/>
      <c r="C941" s="63"/>
      <c r="D941" s="64"/>
      <c r="E941" s="63"/>
      <c r="F941" s="63"/>
      <c r="G941" s="65"/>
      <c r="H941" s="65"/>
      <c r="I941" s="65"/>
      <c r="J941" s="50"/>
    </row>
    <row r="942" spans="2:10" ht="15.75" customHeight="1" x14ac:dyDescent="0.25">
      <c r="B942" s="62"/>
      <c r="C942" s="63"/>
      <c r="D942" s="64"/>
      <c r="E942" s="63"/>
      <c r="F942" s="63"/>
      <c r="G942" s="65"/>
      <c r="H942" s="65"/>
      <c r="I942" s="65"/>
      <c r="J942" s="50"/>
    </row>
    <row r="943" spans="2:10" ht="15.75" customHeight="1" x14ac:dyDescent="0.25">
      <c r="B943" s="62"/>
      <c r="C943" s="63"/>
      <c r="D943" s="64"/>
      <c r="E943" s="63"/>
      <c r="F943" s="63"/>
      <c r="G943" s="65"/>
      <c r="H943" s="65"/>
      <c r="I943" s="65"/>
      <c r="J943" s="50"/>
    </row>
    <row r="944" spans="2:10" ht="15.75" customHeight="1" x14ac:dyDescent="0.25">
      <c r="B944" s="62"/>
      <c r="C944" s="63"/>
      <c r="D944" s="64"/>
      <c r="E944" s="63"/>
      <c r="F944" s="63"/>
      <c r="G944" s="65"/>
      <c r="H944" s="65"/>
      <c r="I944" s="65"/>
      <c r="J944" s="50"/>
    </row>
    <row r="945" spans="2:10" ht="15.75" customHeight="1" x14ac:dyDescent="0.25">
      <c r="B945" s="62"/>
      <c r="C945" s="63"/>
      <c r="D945" s="64"/>
      <c r="E945" s="63"/>
      <c r="F945" s="63"/>
      <c r="G945" s="65"/>
      <c r="H945" s="65"/>
      <c r="I945" s="65"/>
      <c r="J945" s="50"/>
    </row>
    <row r="946" spans="2:10" ht="15.75" customHeight="1" x14ac:dyDescent="0.25">
      <c r="B946" s="62"/>
      <c r="C946" s="63"/>
      <c r="D946" s="64"/>
      <c r="E946" s="63"/>
      <c r="F946" s="63"/>
      <c r="G946" s="65"/>
      <c r="H946" s="65"/>
      <c r="I946" s="65"/>
      <c r="J946" s="50"/>
    </row>
    <row r="947" spans="2:10" ht="15.75" customHeight="1" x14ac:dyDescent="0.25">
      <c r="B947" s="62"/>
      <c r="C947" s="63"/>
      <c r="D947" s="64"/>
      <c r="E947" s="63"/>
      <c r="F947" s="63"/>
      <c r="G947" s="65"/>
      <c r="H947" s="65"/>
      <c r="I947" s="65"/>
      <c r="J947" s="50"/>
    </row>
    <row r="948" spans="2:10" ht="15.75" customHeight="1" x14ac:dyDescent="0.25">
      <c r="B948" s="62"/>
      <c r="C948" s="63"/>
      <c r="D948" s="64"/>
      <c r="E948" s="63"/>
      <c r="F948" s="63"/>
      <c r="G948" s="65"/>
      <c r="H948" s="65"/>
      <c r="I948" s="65"/>
      <c r="J948" s="50"/>
    </row>
    <row r="949" spans="2:10" ht="15.75" customHeight="1" x14ac:dyDescent="0.25">
      <c r="B949" s="62"/>
      <c r="C949" s="63"/>
      <c r="D949" s="64"/>
      <c r="E949" s="63"/>
      <c r="F949" s="63"/>
      <c r="G949" s="65"/>
      <c r="H949" s="65"/>
      <c r="I949" s="65"/>
      <c r="J949" s="50"/>
    </row>
    <row r="950" spans="2:10" ht="15.75" customHeight="1" x14ac:dyDescent="0.25">
      <c r="B950" s="62"/>
      <c r="C950" s="63"/>
      <c r="D950" s="64"/>
      <c r="E950" s="63"/>
      <c r="F950" s="63"/>
      <c r="G950" s="65"/>
      <c r="H950" s="65"/>
      <c r="I950" s="65"/>
      <c r="J950" s="50"/>
    </row>
    <row r="951" spans="2:10" ht="15.75" customHeight="1" x14ac:dyDescent="0.25">
      <c r="B951" s="62"/>
      <c r="C951" s="63"/>
      <c r="D951" s="64"/>
      <c r="E951" s="63"/>
      <c r="F951" s="63"/>
      <c r="G951" s="65"/>
      <c r="H951" s="65"/>
      <c r="I951" s="65"/>
      <c r="J951" s="50"/>
    </row>
    <row r="952" spans="2:10" ht="15.75" customHeight="1" x14ac:dyDescent="0.25">
      <c r="B952" s="62"/>
      <c r="C952" s="63"/>
      <c r="D952" s="64"/>
      <c r="E952" s="63"/>
      <c r="F952" s="63"/>
      <c r="G952" s="65"/>
      <c r="H952" s="65"/>
      <c r="I952" s="65"/>
      <c r="J952" s="50"/>
    </row>
    <row r="953" spans="2:10" ht="15.75" customHeight="1" x14ac:dyDescent="0.25">
      <c r="B953" s="62"/>
      <c r="C953" s="63"/>
      <c r="D953" s="64"/>
      <c r="E953" s="63"/>
      <c r="F953" s="63"/>
      <c r="G953" s="65"/>
      <c r="H953" s="65"/>
      <c r="I953" s="65"/>
      <c r="J953" s="50"/>
    </row>
    <row r="954" spans="2:10" ht="15.75" customHeight="1" x14ac:dyDescent="0.25">
      <c r="B954" s="62"/>
      <c r="C954" s="63"/>
      <c r="D954" s="64"/>
      <c r="E954" s="63"/>
      <c r="F954" s="63"/>
      <c r="G954" s="65"/>
      <c r="H954" s="65"/>
      <c r="I954" s="65"/>
      <c r="J954" s="50"/>
    </row>
    <row r="955" spans="2:10" ht="15.75" customHeight="1" x14ac:dyDescent="0.25">
      <c r="B955" s="62"/>
      <c r="C955" s="63"/>
      <c r="D955" s="64"/>
      <c r="E955" s="63"/>
      <c r="F955" s="63"/>
      <c r="G955" s="65"/>
      <c r="H955" s="65"/>
      <c r="I955" s="65"/>
      <c r="J955" s="50"/>
    </row>
    <row r="956" spans="2:10" ht="15.75" customHeight="1" x14ac:dyDescent="0.25">
      <c r="B956" s="62"/>
      <c r="C956" s="63"/>
      <c r="D956" s="64"/>
      <c r="E956" s="63"/>
      <c r="F956" s="63"/>
      <c r="G956" s="65"/>
      <c r="H956" s="65"/>
      <c r="I956" s="65"/>
      <c r="J956" s="50"/>
    </row>
    <row r="957" spans="2:10" ht="15.75" customHeight="1" x14ac:dyDescent="0.25">
      <c r="B957" s="62"/>
      <c r="C957" s="63"/>
      <c r="D957" s="64"/>
      <c r="E957" s="63"/>
      <c r="F957" s="63"/>
      <c r="G957" s="65"/>
      <c r="H957" s="65"/>
      <c r="I957" s="65"/>
      <c r="J957" s="50"/>
    </row>
    <row r="958" spans="2:10" ht="15.75" customHeight="1" x14ac:dyDescent="0.25">
      <c r="B958" s="62"/>
      <c r="C958" s="63"/>
      <c r="D958" s="64"/>
      <c r="E958" s="63"/>
      <c r="F958" s="63"/>
      <c r="G958" s="65"/>
      <c r="H958" s="65"/>
      <c r="I958" s="65"/>
      <c r="J958" s="50"/>
    </row>
    <row r="959" spans="2:10" ht="15.75" customHeight="1" x14ac:dyDescent="0.25">
      <c r="B959" s="62"/>
      <c r="C959" s="63"/>
      <c r="D959" s="64"/>
      <c r="E959" s="63"/>
      <c r="F959" s="63"/>
      <c r="G959" s="65"/>
      <c r="H959" s="65"/>
      <c r="I959" s="65"/>
      <c r="J959" s="50"/>
    </row>
    <row r="960" spans="2:10" ht="15.75" customHeight="1" x14ac:dyDescent="0.25">
      <c r="B960" s="62"/>
      <c r="C960" s="63"/>
      <c r="D960" s="64"/>
      <c r="E960" s="63"/>
      <c r="F960" s="63"/>
      <c r="G960" s="65"/>
      <c r="H960" s="65"/>
      <c r="I960" s="65"/>
      <c r="J960" s="50"/>
    </row>
    <row r="961" spans="2:10" ht="15.75" customHeight="1" x14ac:dyDescent="0.25">
      <c r="B961" s="62"/>
      <c r="C961" s="63"/>
      <c r="D961" s="64"/>
      <c r="E961" s="63"/>
      <c r="F961" s="63"/>
      <c r="G961" s="65"/>
      <c r="H961" s="65"/>
      <c r="I961" s="65"/>
      <c r="J961" s="50"/>
    </row>
    <row r="962" spans="2:10" ht="15.75" customHeight="1" x14ac:dyDescent="0.25">
      <c r="B962" s="62"/>
      <c r="C962" s="63"/>
      <c r="D962" s="64"/>
      <c r="E962" s="63"/>
      <c r="F962" s="63"/>
      <c r="G962" s="65"/>
      <c r="H962" s="65"/>
      <c r="I962" s="65"/>
      <c r="J962" s="50"/>
    </row>
    <row r="963" spans="2:10" ht="15.75" customHeight="1" x14ac:dyDescent="0.25">
      <c r="B963" s="62"/>
      <c r="C963" s="63"/>
      <c r="D963" s="64"/>
      <c r="E963" s="63"/>
      <c r="F963" s="63"/>
      <c r="G963" s="65"/>
      <c r="H963" s="65"/>
      <c r="I963" s="65"/>
      <c r="J963" s="50"/>
    </row>
    <row r="964" spans="2:10" ht="15.75" customHeight="1" x14ac:dyDescent="0.25">
      <c r="B964" s="62"/>
      <c r="C964" s="63"/>
      <c r="D964" s="64"/>
      <c r="E964" s="63"/>
      <c r="F964" s="63"/>
      <c r="G964" s="65"/>
      <c r="H964" s="65"/>
      <c r="I964" s="65"/>
      <c r="J964" s="50"/>
    </row>
    <row r="965" spans="2:10" ht="15.75" customHeight="1" x14ac:dyDescent="0.25">
      <c r="B965" s="62"/>
      <c r="C965" s="63"/>
      <c r="D965" s="64"/>
      <c r="E965" s="63"/>
      <c r="F965" s="63"/>
      <c r="G965" s="65"/>
      <c r="H965" s="65"/>
      <c r="I965" s="65"/>
      <c r="J965" s="50"/>
    </row>
    <row r="966" spans="2:10" ht="15.75" customHeight="1" x14ac:dyDescent="0.25">
      <c r="B966" s="62"/>
      <c r="C966" s="63"/>
      <c r="D966" s="64"/>
      <c r="E966" s="63"/>
      <c r="F966" s="63"/>
      <c r="G966" s="65"/>
      <c r="H966" s="65"/>
      <c r="I966" s="65"/>
      <c r="J966" s="50"/>
    </row>
    <row r="967" spans="2:10" ht="15.75" customHeight="1" x14ac:dyDescent="0.25">
      <c r="B967" s="62"/>
      <c r="C967" s="63"/>
      <c r="D967" s="64"/>
      <c r="E967" s="63"/>
      <c r="F967" s="63"/>
      <c r="G967" s="65"/>
      <c r="H967" s="65"/>
      <c r="I967" s="65"/>
      <c r="J967" s="50"/>
    </row>
    <row r="968" spans="2:10" ht="15.75" customHeight="1" x14ac:dyDescent="0.25">
      <c r="B968" s="62"/>
      <c r="C968" s="63"/>
      <c r="D968" s="64"/>
      <c r="E968" s="63"/>
      <c r="F968" s="63"/>
      <c r="G968" s="65"/>
      <c r="H968" s="65"/>
      <c r="I968" s="65"/>
      <c r="J968" s="50"/>
    </row>
    <row r="969" spans="2:10" ht="15.75" customHeight="1" x14ac:dyDescent="0.25">
      <c r="B969" s="62"/>
      <c r="C969" s="63"/>
      <c r="D969" s="64"/>
      <c r="E969" s="63"/>
      <c r="F969" s="63"/>
      <c r="G969" s="65"/>
      <c r="H969" s="65"/>
      <c r="I969" s="65"/>
      <c r="J969" s="50"/>
    </row>
    <row r="970" spans="2:10" ht="15.75" customHeight="1" x14ac:dyDescent="0.25">
      <c r="B970" s="62"/>
      <c r="C970" s="63"/>
      <c r="D970" s="64"/>
      <c r="E970" s="63"/>
      <c r="F970" s="63"/>
      <c r="G970" s="65"/>
      <c r="H970" s="65"/>
      <c r="I970" s="65"/>
      <c r="J970" s="50"/>
    </row>
    <row r="971" spans="2:10" ht="15.75" customHeight="1" x14ac:dyDescent="0.25">
      <c r="B971" s="62"/>
      <c r="C971" s="63"/>
      <c r="D971" s="64"/>
      <c r="E971" s="63"/>
      <c r="F971" s="63"/>
      <c r="G971" s="65"/>
      <c r="H971" s="65"/>
      <c r="I971" s="65"/>
      <c r="J971" s="50"/>
    </row>
    <row r="972" spans="2:10" ht="15.75" customHeight="1" x14ac:dyDescent="0.25">
      <c r="B972" s="62"/>
      <c r="C972" s="63"/>
      <c r="D972" s="64"/>
      <c r="E972" s="63"/>
      <c r="F972" s="63"/>
      <c r="G972" s="65"/>
      <c r="H972" s="65"/>
      <c r="I972" s="65"/>
      <c r="J972" s="50"/>
    </row>
    <row r="973" spans="2:10" ht="15.75" customHeight="1" x14ac:dyDescent="0.25">
      <c r="B973" s="62"/>
      <c r="C973" s="63"/>
      <c r="D973" s="64"/>
      <c r="E973" s="63"/>
      <c r="F973" s="63"/>
      <c r="G973" s="65"/>
      <c r="H973" s="65"/>
      <c r="I973" s="65"/>
      <c r="J973" s="50"/>
    </row>
    <row r="974" spans="2:10" ht="15.75" customHeight="1" x14ac:dyDescent="0.25">
      <c r="B974" s="62"/>
      <c r="C974" s="63"/>
      <c r="D974" s="64"/>
      <c r="E974" s="63"/>
      <c r="F974" s="63"/>
      <c r="G974" s="65"/>
      <c r="H974" s="65"/>
      <c r="I974" s="65"/>
      <c r="J974" s="50"/>
    </row>
    <row r="975" spans="2:10" ht="15.75" customHeight="1" x14ac:dyDescent="0.25">
      <c r="B975" s="62"/>
      <c r="C975" s="63"/>
      <c r="D975" s="64"/>
      <c r="E975" s="63"/>
      <c r="F975" s="63"/>
      <c r="G975" s="65"/>
      <c r="H975" s="65"/>
      <c r="I975" s="65"/>
      <c r="J975" s="50"/>
    </row>
    <row r="976" spans="2:10" ht="15.75" customHeight="1" x14ac:dyDescent="0.25">
      <c r="B976" s="62"/>
      <c r="C976" s="63"/>
      <c r="D976" s="64"/>
      <c r="E976" s="63"/>
      <c r="F976" s="63"/>
      <c r="G976" s="65"/>
      <c r="H976" s="65"/>
      <c r="I976" s="65"/>
      <c r="J976" s="50"/>
    </row>
    <row r="977" spans="2:10" ht="15.75" customHeight="1" x14ac:dyDescent="0.25">
      <c r="B977" s="62"/>
      <c r="C977" s="63"/>
      <c r="D977" s="64"/>
      <c r="E977" s="63"/>
      <c r="F977" s="63"/>
      <c r="G977" s="65"/>
      <c r="H977" s="65"/>
      <c r="I977" s="65"/>
      <c r="J977" s="50"/>
    </row>
    <row r="978" spans="2:10" ht="15.75" customHeight="1" x14ac:dyDescent="0.25">
      <c r="B978" s="62"/>
      <c r="C978" s="63"/>
      <c r="D978" s="64"/>
      <c r="E978" s="63"/>
      <c r="F978" s="63"/>
      <c r="G978" s="65"/>
      <c r="H978" s="65"/>
      <c r="I978" s="65"/>
      <c r="J978" s="50"/>
    </row>
    <row r="979" spans="2:10" ht="15.75" customHeight="1" x14ac:dyDescent="0.25">
      <c r="B979" s="62"/>
      <c r="C979" s="63"/>
      <c r="D979" s="64"/>
      <c r="E979" s="63"/>
      <c r="F979" s="63"/>
      <c r="G979" s="65"/>
      <c r="H979" s="65"/>
      <c r="I979" s="65"/>
      <c r="J979" s="50"/>
    </row>
    <row r="980" spans="2:10" ht="15.75" customHeight="1" x14ac:dyDescent="0.25">
      <c r="B980" s="62"/>
      <c r="C980" s="63"/>
      <c r="D980" s="64"/>
      <c r="E980" s="63"/>
      <c r="F980" s="63"/>
      <c r="G980" s="65"/>
      <c r="H980" s="65"/>
      <c r="I980" s="65"/>
      <c r="J980" s="50"/>
    </row>
    <row r="981" spans="2:10" ht="15.75" customHeight="1" x14ac:dyDescent="0.25">
      <c r="B981" s="62"/>
      <c r="C981" s="63"/>
      <c r="D981" s="64"/>
      <c r="E981" s="63"/>
      <c r="F981" s="63"/>
      <c r="G981" s="65"/>
      <c r="H981" s="65"/>
      <c r="I981" s="65"/>
      <c r="J981" s="50"/>
    </row>
    <row r="982" spans="2:10" ht="15.75" customHeight="1" x14ac:dyDescent="0.25">
      <c r="B982" s="62"/>
      <c r="C982" s="63"/>
      <c r="D982" s="64"/>
      <c r="E982" s="63"/>
      <c r="F982" s="63"/>
      <c r="G982" s="65"/>
      <c r="H982" s="65"/>
      <c r="I982" s="65"/>
      <c r="J982" s="50"/>
    </row>
    <row r="983" spans="2:10" ht="15.75" customHeight="1" x14ac:dyDescent="0.25">
      <c r="B983" s="62"/>
      <c r="C983" s="63"/>
      <c r="D983" s="64"/>
      <c r="E983" s="63"/>
      <c r="F983" s="63"/>
      <c r="G983" s="65"/>
      <c r="H983" s="65"/>
      <c r="I983" s="65"/>
      <c r="J983" s="50"/>
    </row>
    <row r="984" spans="2:10" ht="15.75" customHeight="1" x14ac:dyDescent="0.25">
      <c r="B984" s="62"/>
      <c r="C984" s="63"/>
      <c r="D984" s="64"/>
      <c r="E984" s="63"/>
      <c r="F984" s="63"/>
      <c r="G984" s="65"/>
      <c r="H984" s="65"/>
      <c r="I984" s="65"/>
      <c r="J984" s="50"/>
    </row>
    <row r="985" spans="2:10" ht="15.75" customHeight="1" x14ac:dyDescent="0.25">
      <c r="B985" s="62"/>
      <c r="C985" s="63"/>
      <c r="D985" s="64"/>
      <c r="E985" s="63"/>
      <c r="F985" s="63"/>
      <c r="G985" s="65"/>
      <c r="H985" s="65"/>
      <c r="I985" s="65"/>
      <c r="J985" s="50"/>
    </row>
    <row r="986" spans="2:10" ht="15.75" customHeight="1" x14ac:dyDescent="0.25">
      <c r="B986" s="62"/>
      <c r="C986" s="63"/>
      <c r="D986" s="64"/>
      <c r="E986" s="63"/>
      <c r="F986" s="63"/>
      <c r="G986" s="65"/>
      <c r="H986" s="65"/>
      <c r="I986" s="65"/>
      <c r="J986" s="50"/>
    </row>
    <row r="987" spans="2:10" ht="15.75" customHeight="1" x14ac:dyDescent="0.25">
      <c r="B987" s="62"/>
      <c r="C987" s="63"/>
      <c r="D987" s="64"/>
      <c r="E987" s="63"/>
      <c r="F987" s="63"/>
      <c r="G987" s="65"/>
      <c r="H987" s="65"/>
      <c r="I987" s="65"/>
      <c r="J987" s="50"/>
    </row>
    <row r="988" spans="2:10" ht="15.75" customHeight="1" x14ac:dyDescent="0.25">
      <c r="B988" s="62"/>
      <c r="C988" s="63"/>
      <c r="D988" s="64"/>
      <c r="E988" s="63"/>
      <c r="F988" s="63"/>
      <c r="G988" s="65"/>
      <c r="H988" s="65"/>
      <c r="I988" s="65"/>
      <c r="J988" s="50"/>
    </row>
    <row r="989" spans="2:10" ht="15.75" customHeight="1" x14ac:dyDescent="0.25">
      <c r="B989" s="62"/>
      <c r="C989" s="63"/>
      <c r="D989" s="64"/>
      <c r="E989" s="63"/>
      <c r="F989" s="63"/>
      <c r="G989" s="65"/>
      <c r="H989" s="65"/>
      <c r="I989" s="65"/>
      <c r="J989" s="50"/>
    </row>
    <row r="990" spans="2:10" ht="15.75" customHeight="1" x14ac:dyDescent="0.25">
      <c r="B990" s="62"/>
      <c r="C990" s="63"/>
      <c r="D990" s="64"/>
      <c r="E990" s="63"/>
      <c r="F990" s="63"/>
      <c r="G990" s="65"/>
      <c r="H990" s="65"/>
      <c r="I990" s="65"/>
      <c r="J990" s="50"/>
    </row>
    <row r="991" spans="2:10" ht="15.75" customHeight="1" x14ac:dyDescent="0.25">
      <c r="B991" s="62"/>
      <c r="C991" s="63"/>
      <c r="D991" s="64"/>
      <c r="E991" s="63"/>
      <c r="F991" s="63"/>
      <c r="G991" s="65"/>
      <c r="H991" s="65"/>
      <c r="I991" s="65"/>
      <c r="J991" s="50"/>
    </row>
    <row r="992" spans="2:10" ht="15.75" customHeight="1" x14ac:dyDescent="0.25">
      <c r="B992" s="62"/>
      <c r="C992" s="63"/>
      <c r="D992" s="64"/>
      <c r="E992" s="63"/>
      <c r="F992" s="63"/>
      <c r="G992" s="65"/>
      <c r="H992" s="65"/>
      <c r="I992" s="65"/>
      <c r="J992" s="50"/>
    </row>
  </sheetData>
  <autoFilter ref="A1:J5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70"/>
  <sheetViews>
    <sheetView workbookViewId="0">
      <pane ySplit="3" topLeftCell="A4" activePane="bottomLeft" state="frozen"/>
      <selection pane="bottomLeft" activeCell="B5" sqref="B5"/>
    </sheetView>
  </sheetViews>
  <sheetFormatPr defaultColWidth="11.25" defaultRowHeight="15" customHeight="1" x14ac:dyDescent="0.25"/>
  <cols>
    <col min="1" max="1" width="9.375" customWidth="1"/>
    <col min="2" max="2" width="10.125" customWidth="1"/>
    <col min="3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5" width="7.25" customWidth="1"/>
    <col min="16" max="16" width="27.625" customWidth="1"/>
    <col min="17" max="17" width="23.25" customWidth="1"/>
    <col min="18" max="28" width="10.5" customWidth="1"/>
  </cols>
  <sheetData>
    <row r="1" spans="1:28" ht="60" x14ac:dyDescent="0.25">
      <c r="A1" s="66" t="s">
        <v>0</v>
      </c>
      <c r="B1" s="67" t="s">
        <v>142</v>
      </c>
      <c r="C1" s="2" t="s">
        <v>143</v>
      </c>
      <c r="D1" s="3" t="s">
        <v>2</v>
      </c>
      <c r="E1" s="2" t="s">
        <v>144</v>
      </c>
      <c r="F1" s="3" t="s">
        <v>145</v>
      </c>
      <c r="G1" s="4" t="s">
        <v>146</v>
      </c>
      <c r="H1" s="68" t="s">
        <v>147</v>
      </c>
      <c r="I1" s="4" t="s">
        <v>148</v>
      </c>
      <c r="J1" s="4" t="s">
        <v>149</v>
      </c>
      <c r="K1" s="4" t="s">
        <v>150</v>
      </c>
      <c r="L1" s="5" t="s">
        <v>151</v>
      </c>
      <c r="M1" s="5" t="s">
        <v>14</v>
      </c>
      <c r="N1" s="4" t="s">
        <v>152</v>
      </c>
      <c r="O1" s="69" t="s">
        <v>13</v>
      </c>
      <c r="P1" s="70" t="s">
        <v>153</v>
      </c>
      <c r="Q1" s="71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 spans="1:28" ht="15.75" customHeight="1" x14ac:dyDescent="0.25">
      <c r="A2" s="73" t="s">
        <v>24</v>
      </c>
      <c r="B2" s="74" t="s">
        <v>17</v>
      </c>
      <c r="C2" s="74" t="s">
        <v>17</v>
      </c>
      <c r="D2" s="20" t="s">
        <v>17</v>
      </c>
      <c r="E2" s="19">
        <v>45709</v>
      </c>
      <c r="F2" s="20">
        <v>0.59375</v>
      </c>
      <c r="G2" s="74">
        <v>113.8</v>
      </c>
      <c r="H2" s="75">
        <v>1</v>
      </c>
      <c r="I2" s="74">
        <v>115.1</v>
      </c>
      <c r="J2" s="74">
        <v>114.1</v>
      </c>
      <c r="K2" s="74">
        <v>114</v>
      </c>
      <c r="L2" s="61" t="s">
        <v>154</v>
      </c>
      <c r="M2" s="61" t="s">
        <v>20</v>
      </c>
      <c r="N2" s="76">
        <f t="shared" ref="N2:N51" si="0">(J2-G2)/H2</f>
        <v>0.29999999999999716</v>
      </c>
      <c r="O2" s="77" t="s">
        <v>19</v>
      </c>
      <c r="P2" s="77"/>
      <c r="Q2" s="49"/>
      <c r="R2" s="78"/>
      <c r="S2" s="79"/>
      <c r="T2" s="80"/>
      <c r="U2" s="80"/>
      <c r="V2" s="81"/>
      <c r="W2" s="81"/>
      <c r="X2" s="81"/>
      <c r="Y2" s="81"/>
      <c r="Z2" s="81"/>
      <c r="AA2" s="81"/>
      <c r="AB2" s="81"/>
    </row>
    <row r="3" spans="1:28" ht="15.75" customHeight="1" x14ac:dyDescent="0.25">
      <c r="A3" s="17" t="s">
        <v>155</v>
      </c>
      <c r="B3" s="74">
        <v>100.1</v>
      </c>
      <c r="C3" s="24" t="s">
        <v>17</v>
      </c>
      <c r="D3" s="20" t="s">
        <v>17</v>
      </c>
      <c r="E3" s="19">
        <v>45709</v>
      </c>
      <c r="F3" s="20">
        <v>0.59027777777777779</v>
      </c>
      <c r="G3" s="74">
        <v>115.1</v>
      </c>
      <c r="H3" s="75">
        <v>1</v>
      </c>
      <c r="I3" s="74">
        <v>211.8</v>
      </c>
      <c r="J3" s="74">
        <v>212.7</v>
      </c>
      <c r="K3" s="74">
        <v>212.69</v>
      </c>
      <c r="L3" s="61" t="s">
        <v>156</v>
      </c>
      <c r="M3" s="61" t="s">
        <v>20</v>
      </c>
      <c r="N3" s="76">
        <f t="shared" si="0"/>
        <v>97.6</v>
      </c>
      <c r="O3" s="77" t="s">
        <v>19</v>
      </c>
      <c r="P3" s="77"/>
      <c r="Q3" s="49"/>
      <c r="R3" s="78"/>
      <c r="S3" s="79"/>
      <c r="T3" s="82"/>
      <c r="U3" s="81"/>
      <c r="V3" s="81"/>
      <c r="W3" s="81"/>
      <c r="X3" s="81"/>
      <c r="Y3" s="81"/>
      <c r="Z3" s="81"/>
      <c r="AA3" s="81"/>
      <c r="AB3" s="81"/>
    </row>
    <row r="4" spans="1:28" ht="15.75" x14ac:dyDescent="0.25">
      <c r="A4" s="17" t="s">
        <v>157</v>
      </c>
      <c r="B4" s="74" t="s">
        <v>17</v>
      </c>
      <c r="C4" s="19">
        <v>45708</v>
      </c>
      <c r="D4" s="20">
        <v>0.33819444444444446</v>
      </c>
      <c r="E4" s="19">
        <v>45709</v>
      </c>
      <c r="F4" s="20">
        <v>0.45624999999999999</v>
      </c>
      <c r="G4" s="74">
        <v>114</v>
      </c>
      <c r="H4" s="75">
        <v>1</v>
      </c>
      <c r="I4" s="74">
        <v>126</v>
      </c>
      <c r="J4" s="74">
        <v>125.4</v>
      </c>
      <c r="K4" s="74" t="s">
        <v>17</v>
      </c>
      <c r="L4" s="61" t="s">
        <v>158</v>
      </c>
      <c r="M4" s="61" t="s">
        <v>20</v>
      </c>
      <c r="N4" s="76">
        <f t="shared" si="0"/>
        <v>11.400000000000006</v>
      </c>
      <c r="O4" s="77" t="s">
        <v>19</v>
      </c>
      <c r="P4" s="77"/>
      <c r="Q4" s="83"/>
      <c r="R4" s="78"/>
      <c r="S4" s="81"/>
      <c r="T4" s="80"/>
      <c r="U4" s="81"/>
      <c r="V4" s="81"/>
      <c r="W4" s="81"/>
      <c r="X4" s="81"/>
      <c r="Y4" s="81"/>
      <c r="Z4" s="81"/>
      <c r="AA4" s="81"/>
      <c r="AB4" s="81"/>
    </row>
    <row r="5" spans="1:28" ht="15.75" x14ac:dyDescent="0.25">
      <c r="A5" s="17" t="s">
        <v>159</v>
      </c>
      <c r="B5" s="74" t="s">
        <v>17</v>
      </c>
      <c r="C5" s="19">
        <v>45708</v>
      </c>
      <c r="D5" s="20">
        <v>0.3576388888888889</v>
      </c>
      <c r="E5" s="19">
        <v>45709</v>
      </c>
      <c r="F5" s="20">
        <v>0.44930555555555557</v>
      </c>
      <c r="G5" s="74">
        <v>114.4</v>
      </c>
      <c r="H5" s="75">
        <v>1</v>
      </c>
      <c r="I5" s="74">
        <v>120.6</v>
      </c>
      <c r="J5" s="74">
        <v>120.3</v>
      </c>
      <c r="K5" s="74" t="s">
        <v>17</v>
      </c>
      <c r="L5" s="61" t="s">
        <v>160</v>
      </c>
      <c r="M5" s="61" t="s">
        <v>20</v>
      </c>
      <c r="N5" s="76">
        <f t="shared" si="0"/>
        <v>5.8999999999999915</v>
      </c>
      <c r="O5" s="77" t="s">
        <v>19</v>
      </c>
      <c r="P5" s="77"/>
      <c r="Q5" s="83"/>
      <c r="R5" s="78"/>
      <c r="S5" s="84"/>
      <c r="T5" s="84"/>
      <c r="U5" s="84"/>
      <c r="V5" s="84"/>
      <c r="W5" s="84"/>
      <c r="X5" s="84"/>
      <c r="Y5" s="84"/>
      <c r="Z5" s="84"/>
      <c r="AA5" s="84"/>
      <c r="AB5" s="84"/>
    </row>
    <row r="6" spans="1:28" ht="15.75" customHeight="1" x14ac:dyDescent="0.25">
      <c r="A6" s="17" t="s">
        <v>161</v>
      </c>
      <c r="B6" s="74" t="s">
        <v>17</v>
      </c>
      <c r="C6" s="19">
        <v>45708</v>
      </c>
      <c r="D6" s="20">
        <v>0.43055555555555558</v>
      </c>
      <c r="E6" s="19">
        <v>45709</v>
      </c>
      <c r="F6" s="20">
        <v>0.44930555555555557</v>
      </c>
      <c r="G6" s="74">
        <v>114.9</v>
      </c>
      <c r="H6" s="75">
        <v>1</v>
      </c>
      <c r="I6" s="74">
        <v>125</v>
      </c>
      <c r="J6" s="74">
        <v>123.8</v>
      </c>
      <c r="K6" s="74">
        <v>123.8</v>
      </c>
      <c r="L6" s="61" t="s">
        <v>162</v>
      </c>
      <c r="M6" s="61" t="s">
        <v>20</v>
      </c>
      <c r="N6" s="76">
        <f t="shared" si="0"/>
        <v>8.8999999999999915</v>
      </c>
      <c r="O6" s="77" t="s">
        <v>19</v>
      </c>
      <c r="P6" s="77"/>
      <c r="Q6" s="83"/>
      <c r="R6" s="78"/>
      <c r="S6" s="84"/>
      <c r="T6" s="84"/>
      <c r="U6" s="84"/>
      <c r="V6" s="84"/>
      <c r="W6" s="84"/>
      <c r="X6" s="84"/>
      <c r="Y6" s="84"/>
      <c r="Z6" s="84"/>
      <c r="AA6" s="84"/>
      <c r="AB6" s="84"/>
    </row>
    <row r="7" spans="1:28" ht="15.75" customHeight="1" x14ac:dyDescent="0.25">
      <c r="A7" s="17" t="s">
        <v>163</v>
      </c>
      <c r="B7" s="74" t="s">
        <v>17</v>
      </c>
      <c r="C7" s="19">
        <v>45708</v>
      </c>
      <c r="D7" s="20">
        <v>0.44583333333333336</v>
      </c>
      <c r="E7" s="19">
        <v>45709</v>
      </c>
      <c r="F7" s="20">
        <v>0.45347222222222222</v>
      </c>
      <c r="G7" s="74">
        <v>114.4</v>
      </c>
      <c r="H7" s="75">
        <v>1</v>
      </c>
      <c r="I7" s="74">
        <v>120.6</v>
      </c>
      <c r="J7" s="74">
        <v>120.2</v>
      </c>
      <c r="K7" s="74">
        <v>120.2</v>
      </c>
      <c r="L7" s="61" t="s">
        <v>164</v>
      </c>
      <c r="M7" s="61" t="s">
        <v>20</v>
      </c>
      <c r="N7" s="76">
        <f t="shared" si="0"/>
        <v>5.7999999999999972</v>
      </c>
      <c r="O7" s="77" t="s">
        <v>19</v>
      </c>
      <c r="P7" s="77"/>
      <c r="Q7" s="83"/>
      <c r="R7" s="78"/>
      <c r="S7" s="84"/>
      <c r="T7" s="84"/>
      <c r="U7" s="84"/>
      <c r="V7" s="84"/>
      <c r="W7" s="84"/>
      <c r="X7" s="84"/>
      <c r="Y7" s="84"/>
      <c r="Z7" s="84"/>
      <c r="AA7" s="84"/>
      <c r="AB7" s="84"/>
    </row>
    <row r="8" spans="1:28" ht="15.75" customHeight="1" x14ac:dyDescent="0.25">
      <c r="A8" s="17" t="s">
        <v>165</v>
      </c>
      <c r="B8" s="74" t="s">
        <v>17</v>
      </c>
      <c r="C8" s="21">
        <v>45709</v>
      </c>
      <c r="D8" s="20">
        <v>0.32291666666666669</v>
      </c>
      <c r="E8" s="21">
        <v>45709</v>
      </c>
      <c r="F8" s="20">
        <v>0.60416666666666663</v>
      </c>
      <c r="G8" s="74">
        <v>113.9</v>
      </c>
      <c r="H8" s="75">
        <v>1</v>
      </c>
      <c r="I8" s="74">
        <v>140.1</v>
      </c>
      <c r="J8" s="74">
        <v>140.30000000000001</v>
      </c>
      <c r="K8" s="74" t="s">
        <v>17</v>
      </c>
      <c r="L8" s="61" t="s">
        <v>166</v>
      </c>
      <c r="M8" s="61" t="s">
        <v>20</v>
      </c>
      <c r="N8" s="76">
        <f t="shared" si="0"/>
        <v>26.400000000000006</v>
      </c>
      <c r="O8" s="77" t="s">
        <v>19</v>
      </c>
      <c r="P8" s="77"/>
      <c r="Q8" s="83"/>
      <c r="R8" s="78"/>
      <c r="S8" s="84"/>
      <c r="T8" s="84"/>
      <c r="U8" s="84"/>
      <c r="V8" s="84"/>
      <c r="W8" s="84"/>
      <c r="X8" s="84"/>
      <c r="Y8" s="84"/>
      <c r="Z8" s="84"/>
      <c r="AA8" s="84"/>
      <c r="AB8" s="84"/>
    </row>
    <row r="9" spans="1:28" ht="15.75" customHeight="1" x14ac:dyDescent="0.25">
      <c r="A9" s="17" t="s">
        <v>167</v>
      </c>
      <c r="B9" s="74" t="s">
        <v>17</v>
      </c>
      <c r="C9" s="21">
        <v>45709</v>
      </c>
      <c r="D9" s="20">
        <v>0.34027777777777779</v>
      </c>
      <c r="E9" s="21">
        <v>45709</v>
      </c>
      <c r="F9" s="20">
        <v>0.60416666666666663</v>
      </c>
      <c r="G9" s="74">
        <v>114.7</v>
      </c>
      <c r="H9" s="75">
        <v>1</v>
      </c>
      <c r="I9" s="74">
        <v>117.7</v>
      </c>
      <c r="J9" s="74">
        <v>117.6</v>
      </c>
      <c r="K9" s="74" t="s">
        <v>17</v>
      </c>
      <c r="L9" s="61" t="s">
        <v>168</v>
      </c>
      <c r="M9" s="61" t="s">
        <v>20</v>
      </c>
      <c r="N9" s="76">
        <f t="shared" si="0"/>
        <v>2.8999999999999915</v>
      </c>
      <c r="O9" s="77" t="s">
        <v>19</v>
      </c>
      <c r="P9" s="77"/>
      <c r="Q9" s="83"/>
      <c r="R9" s="78"/>
      <c r="S9" s="84"/>
      <c r="T9" s="84"/>
      <c r="U9" s="84"/>
      <c r="V9" s="84"/>
      <c r="W9" s="84"/>
      <c r="X9" s="84"/>
      <c r="Y9" s="84"/>
      <c r="Z9" s="84"/>
      <c r="AA9" s="84"/>
      <c r="AB9" s="84"/>
    </row>
    <row r="10" spans="1:28" ht="15.75" customHeight="1" x14ac:dyDescent="0.25">
      <c r="A10" s="17" t="s">
        <v>169</v>
      </c>
      <c r="B10" s="74" t="s">
        <v>17</v>
      </c>
      <c r="C10" s="21">
        <v>45709</v>
      </c>
      <c r="D10" s="20">
        <v>0.35833333333333334</v>
      </c>
      <c r="E10" s="21">
        <v>45709</v>
      </c>
      <c r="F10" s="20">
        <v>0.60902777777777772</v>
      </c>
      <c r="G10" s="74">
        <v>114.8</v>
      </c>
      <c r="H10" s="75">
        <v>1</v>
      </c>
      <c r="I10" s="74">
        <v>122</v>
      </c>
      <c r="J10" s="74">
        <v>122</v>
      </c>
      <c r="K10" s="74" t="s">
        <v>17</v>
      </c>
      <c r="L10" s="61" t="s">
        <v>170</v>
      </c>
      <c r="M10" s="61" t="s">
        <v>20</v>
      </c>
      <c r="N10" s="76">
        <f t="shared" si="0"/>
        <v>7.2000000000000028</v>
      </c>
      <c r="O10" s="77" t="s">
        <v>19</v>
      </c>
      <c r="P10" s="77"/>
      <c r="Q10" s="83"/>
      <c r="R10" s="78"/>
      <c r="S10" s="84"/>
      <c r="T10" s="84"/>
      <c r="U10" s="84"/>
      <c r="V10" s="84"/>
      <c r="W10" s="84"/>
      <c r="X10" s="84"/>
      <c r="Y10" s="84"/>
      <c r="Z10" s="84"/>
      <c r="AA10" s="84"/>
      <c r="AB10" s="84"/>
    </row>
    <row r="11" spans="1:28" ht="15.75" customHeight="1" x14ac:dyDescent="0.25">
      <c r="A11" s="17" t="s">
        <v>171</v>
      </c>
      <c r="B11" s="74" t="s">
        <v>17</v>
      </c>
      <c r="C11" s="21">
        <v>45709</v>
      </c>
      <c r="D11" s="20">
        <v>0.40763888888888888</v>
      </c>
      <c r="E11" s="21">
        <v>45709</v>
      </c>
      <c r="F11" s="20">
        <v>0.60833333333333328</v>
      </c>
      <c r="G11" s="74">
        <v>114</v>
      </c>
      <c r="H11" s="75">
        <v>1</v>
      </c>
      <c r="I11" s="74">
        <v>117.8</v>
      </c>
      <c r="J11" s="74">
        <v>117.6</v>
      </c>
      <c r="K11" s="74" t="s">
        <v>17</v>
      </c>
      <c r="L11" s="61" t="s">
        <v>172</v>
      </c>
      <c r="M11" s="61" t="s">
        <v>20</v>
      </c>
      <c r="N11" s="76">
        <f t="shared" si="0"/>
        <v>3.5999999999999943</v>
      </c>
      <c r="O11" s="77" t="s">
        <v>19</v>
      </c>
      <c r="P11" s="77"/>
      <c r="Q11" s="83"/>
      <c r="R11" s="78"/>
      <c r="S11" s="84"/>
      <c r="T11" s="84"/>
      <c r="U11" s="84"/>
      <c r="V11" s="84"/>
      <c r="W11" s="84"/>
      <c r="X11" s="84"/>
      <c r="Y11" s="84"/>
      <c r="Z11" s="84"/>
      <c r="AA11" s="84"/>
      <c r="AB11" s="84"/>
    </row>
    <row r="12" spans="1:28" ht="15.75" customHeight="1" x14ac:dyDescent="0.25">
      <c r="A12" s="17" t="s">
        <v>173</v>
      </c>
      <c r="B12" s="74" t="s">
        <v>17</v>
      </c>
      <c r="C12" s="21">
        <v>45709</v>
      </c>
      <c r="D12" s="20">
        <v>0.42708333333333331</v>
      </c>
      <c r="E12" s="21">
        <v>45709</v>
      </c>
      <c r="F12" s="20">
        <v>0.61319444444444449</v>
      </c>
      <c r="G12" s="74">
        <v>114.3</v>
      </c>
      <c r="H12" s="75">
        <v>1</v>
      </c>
      <c r="I12" s="74">
        <v>118.7</v>
      </c>
      <c r="J12" s="74">
        <v>118.8</v>
      </c>
      <c r="K12" s="74" t="s">
        <v>17</v>
      </c>
      <c r="L12" s="61" t="s">
        <v>174</v>
      </c>
      <c r="M12" s="61" t="s">
        <v>20</v>
      </c>
      <c r="N12" s="76">
        <f t="shared" si="0"/>
        <v>4.5</v>
      </c>
      <c r="O12" s="77" t="s">
        <v>19</v>
      </c>
      <c r="P12" s="77"/>
      <c r="Q12" s="83"/>
      <c r="R12" s="78"/>
      <c r="S12" s="84"/>
      <c r="T12" s="84"/>
      <c r="U12" s="84"/>
      <c r="V12" s="84"/>
      <c r="W12" s="84"/>
      <c r="X12" s="84"/>
      <c r="Y12" s="84"/>
      <c r="Z12" s="84"/>
      <c r="AA12" s="84"/>
      <c r="AB12" s="84"/>
    </row>
    <row r="13" spans="1:28" ht="15.75" customHeight="1" x14ac:dyDescent="0.25">
      <c r="A13" s="17" t="s">
        <v>175</v>
      </c>
      <c r="B13" s="74" t="s">
        <v>17</v>
      </c>
      <c r="C13" s="21">
        <v>45709</v>
      </c>
      <c r="D13" s="20">
        <v>0.44097222222222221</v>
      </c>
      <c r="E13" s="21">
        <v>45709</v>
      </c>
      <c r="F13" s="20">
        <v>0.61388888888888893</v>
      </c>
      <c r="G13" s="74">
        <v>113.7</v>
      </c>
      <c r="H13" s="75">
        <v>1</v>
      </c>
      <c r="I13" s="74">
        <v>117.4</v>
      </c>
      <c r="J13" s="74">
        <v>117.4</v>
      </c>
      <c r="K13" s="74" t="s">
        <v>17</v>
      </c>
      <c r="L13" s="61" t="s">
        <v>176</v>
      </c>
      <c r="M13" s="61" t="s">
        <v>20</v>
      </c>
      <c r="N13" s="76">
        <f t="shared" si="0"/>
        <v>3.7000000000000028</v>
      </c>
      <c r="O13" s="77" t="s">
        <v>19</v>
      </c>
      <c r="P13" s="85"/>
      <c r="Q13" s="83"/>
      <c r="R13" s="78"/>
      <c r="S13" s="84"/>
      <c r="T13" s="84"/>
      <c r="U13" s="84"/>
      <c r="V13" s="84"/>
      <c r="W13" s="84"/>
      <c r="X13" s="84"/>
      <c r="Y13" s="84"/>
      <c r="Z13" s="84"/>
      <c r="AA13" s="84"/>
      <c r="AB13" s="84"/>
    </row>
    <row r="14" spans="1:28" ht="15.75" customHeight="1" x14ac:dyDescent="0.25">
      <c r="A14" s="17" t="s">
        <v>177</v>
      </c>
      <c r="B14" s="74" t="s">
        <v>17</v>
      </c>
      <c r="C14" s="21">
        <v>45709</v>
      </c>
      <c r="D14" s="20">
        <v>0.46736111111111112</v>
      </c>
      <c r="E14" s="21">
        <v>45709</v>
      </c>
      <c r="F14" s="20">
        <v>0.61736111111111114</v>
      </c>
      <c r="G14" s="74">
        <v>114.9</v>
      </c>
      <c r="H14" s="75">
        <v>1</v>
      </c>
      <c r="I14" s="74">
        <v>117.9</v>
      </c>
      <c r="J14" s="74">
        <v>117.8</v>
      </c>
      <c r="K14" s="74" t="s">
        <v>17</v>
      </c>
      <c r="L14" s="61" t="s">
        <v>178</v>
      </c>
      <c r="M14" s="61" t="s">
        <v>20</v>
      </c>
      <c r="N14" s="76">
        <f t="shared" si="0"/>
        <v>2.8999999999999915</v>
      </c>
      <c r="O14" s="77" t="s">
        <v>19</v>
      </c>
      <c r="P14" s="77"/>
      <c r="Q14" s="49"/>
      <c r="R14" s="78"/>
      <c r="S14" s="79"/>
      <c r="T14" s="80"/>
      <c r="U14" s="80"/>
      <c r="V14" s="81"/>
      <c r="W14" s="81"/>
      <c r="X14" s="81"/>
      <c r="Y14" s="81"/>
      <c r="Z14" s="81"/>
      <c r="AA14" s="81"/>
      <c r="AB14" s="81"/>
    </row>
    <row r="15" spans="1:28" ht="15.75" customHeight="1" x14ac:dyDescent="0.25">
      <c r="A15" s="34" t="s">
        <v>179</v>
      </c>
      <c r="B15" s="74" t="s">
        <v>17</v>
      </c>
      <c r="C15" s="21">
        <v>45709</v>
      </c>
      <c r="D15" s="20">
        <v>0.48402777777777778</v>
      </c>
      <c r="E15" s="21">
        <v>45709</v>
      </c>
      <c r="F15" s="20">
        <v>0.61736111111111114</v>
      </c>
      <c r="G15" s="74">
        <v>115.3</v>
      </c>
      <c r="H15" s="75">
        <v>1</v>
      </c>
      <c r="I15" s="74">
        <v>118.1</v>
      </c>
      <c r="J15" s="74">
        <v>118</v>
      </c>
      <c r="K15" s="74" t="s">
        <v>17</v>
      </c>
      <c r="L15" s="61" t="s">
        <v>180</v>
      </c>
      <c r="M15" s="61" t="s">
        <v>20</v>
      </c>
      <c r="N15" s="76">
        <f t="shared" si="0"/>
        <v>2.7000000000000028</v>
      </c>
      <c r="O15" s="77" t="s">
        <v>19</v>
      </c>
      <c r="P15" s="77"/>
      <c r="Q15" s="49"/>
      <c r="R15" s="78"/>
      <c r="S15" s="79"/>
      <c r="T15" s="82"/>
      <c r="U15" s="81"/>
      <c r="V15" s="81"/>
      <c r="W15" s="81"/>
      <c r="X15" s="81"/>
      <c r="Y15" s="81"/>
      <c r="Z15" s="81"/>
      <c r="AA15" s="81"/>
      <c r="AB15" s="81"/>
    </row>
    <row r="16" spans="1:28" ht="15.75" customHeight="1" x14ac:dyDescent="0.25">
      <c r="A16" s="86" t="s">
        <v>181</v>
      </c>
      <c r="B16" s="74" t="s">
        <v>17</v>
      </c>
      <c r="C16" s="19">
        <v>45719</v>
      </c>
      <c r="D16" s="20">
        <v>0.36249999999999999</v>
      </c>
      <c r="E16" s="19">
        <v>45720</v>
      </c>
      <c r="F16" s="53">
        <v>0.77638888888888891</v>
      </c>
      <c r="G16" s="74">
        <v>115.8</v>
      </c>
      <c r="H16" s="75">
        <v>1</v>
      </c>
      <c r="I16" s="74">
        <v>120.3</v>
      </c>
      <c r="J16" s="74">
        <v>120.2</v>
      </c>
      <c r="K16" s="74" t="s">
        <v>17</v>
      </c>
      <c r="L16" s="61" t="s">
        <v>182</v>
      </c>
      <c r="M16" s="61" t="s">
        <v>20</v>
      </c>
      <c r="N16" s="76">
        <f t="shared" si="0"/>
        <v>4.4000000000000057</v>
      </c>
      <c r="O16" s="77" t="s">
        <v>19</v>
      </c>
      <c r="P16" s="77"/>
      <c r="Q16" s="83"/>
      <c r="R16" s="78"/>
      <c r="S16" s="84"/>
      <c r="T16" s="84"/>
      <c r="U16" s="84"/>
      <c r="V16" s="84"/>
      <c r="W16" s="84"/>
      <c r="X16" s="84"/>
      <c r="Y16" s="84"/>
      <c r="Z16" s="84"/>
      <c r="AA16" s="84"/>
      <c r="AB16" s="84"/>
    </row>
    <row r="17" spans="1:28" ht="15.75" customHeight="1" x14ac:dyDescent="0.25">
      <c r="A17" s="34" t="s">
        <v>183</v>
      </c>
      <c r="B17" s="74" t="s">
        <v>17</v>
      </c>
      <c r="C17" s="19">
        <v>45719</v>
      </c>
      <c r="D17" s="53">
        <v>0.42916666666666664</v>
      </c>
      <c r="E17" s="19">
        <v>45720</v>
      </c>
      <c r="F17" s="20">
        <v>0.77916666666666667</v>
      </c>
      <c r="G17" s="74">
        <v>115</v>
      </c>
      <c r="H17" s="75">
        <v>1</v>
      </c>
      <c r="I17" s="74">
        <v>119.3</v>
      </c>
      <c r="J17" s="74">
        <v>119</v>
      </c>
      <c r="K17" s="74" t="s">
        <v>17</v>
      </c>
      <c r="L17" s="61" t="s">
        <v>184</v>
      </c>
      <c r="M17" s="61" t="s">
        <v>20</v>
      </c>
      <c r="N17" s="76">
        <f t="shared" si="0"/>
        <v>4</v>
      </c>
      <c r="O17" s="77" t="s">
        <v>19</v>
      </c>
      <c r="P17" s="77"/>
      <c r="Q17" s="49"/>
      <c r="R17" s="78"/>
      <c r="S17" s="84"/>
      <c r="T17" s="84"/>
      <c r="U17" s="84"/>
      <c r="V17" s="84"/>
      <c r="W17" s="84"/>
      <c r="X17" s="84"/>
      <c r="Y17" s="84"/>
      <c r="Z17" s="84"/>
      <c r="AA17" s="84"/>
      <c r="AB17" s="84"/>
    </row>
    <row r="18" spans="1:28" ht="15.75" customHeight="1" x14ac:dyDescent="0.25">
      <c r="A18" s="34" t="s">
        <v>185</v>
      </c>
      <c r="B18" s="74" t="s">
        <v>17</v>
      </c>
      <c r="C18" s="19">
        <v>45719</v>
      </c>
      <c r="D18" s="20">
        <v>0.46458333333333335</v>
      </c>
      <c r="E18" s="19">
        <v>45720</v>
      </c>
      <c r="F18" s="20">
        <v>0.78333333333333333</v>
      </c>
      <c r="G18" s="74">
        <v>113.9</v>
      </c>
      <c r="H18" s="75">
        <v>1</v>
      </c>
      <c r="I18" s="74">
        <v>119.3</v>
      </c>
      <c r="J18" s="74">
        <v>119</v>
      </c>
      <c r="K18" s="74" t="s">
        <v>17</v>
      </c>
      <c r="L18" s="61" t="s">
        <v>186</v>
      </c>
      <c r="M18" s="61" t="s">
        <v>20</v>
      </c>
      <c r="N18" s="76">
        <f t="shared" si="0"/>
        <v>5.0999999999999943</v>
      </c>
      <c r="O18" s="77" t="s">
        <v>19</v>
      </c>
      <c r="P18" s="77"/>
      <c r="Q18" s="83"/>
      <c r="R18" s="78"/>
      <c r="S18" s="72"/>
      <c r="T18" s="81"/>
      <c r="U18" s="81"/>
      <c r="V18" s="81"/>
      <c r="W18" s="81"/>
      <c r="X18" s="81"/>
      <c r="Y18" s="81"/>
      <c r="Z18" s="81"/>
      <c r="AA18" s="81"/>
      <c r="AB18" s="81"/>
    </row>
    <row r="19" spans="1:28" ht="15.75" customHeight="1" x14ac:dyDescent="0.25">
      <c r="A19" s="34" t="s">
        <v>187</v>
      </c>
      <c r="B19" s="74" t="s">
        <v>17</v>
      </c>
      <c r="C19" s="19">
        <v>45719</v>
      </c>
      <c r="D19" s="53">
        <v>0.51944444444444449</v>
      </c>
      <c r="E19" s="19">
        <v>45720</v>
      </c>
      <c r="F19" s="20">
        <v>0.78541666666666665</v>
      </c>
      <c r="G19" s="74">
        <v>114.1</v>
      </c>
      <c r="H19" s="75">
        <v>1</v>
      </c>
      <c r="I19" s="74">
        <v>117.5</v>
      </c>
      <c r="J19" s="74">
        <v>117.2</v>
      </c>
      <c r="K19" s="74" t="s">
        <v>17</v>
      </c>
      <c r="L19" s="61" t="s">
        <v>188</v>
      </c>
      <c r="M19" s="61" t="s">
        <v>20</v>
      </c>
      <c r="N19" s="76">
        <f t="shared" si="0"/>
        <v>3.1000000000000085</v>
      </c>
      <c r="O19" s="77" t="s">
        <v>19</v>
      </c>
      <c r="P19" s="77"/>
      <c r="Q19" s="83"/>
      <c r="R19" s="78"/>
      <c r="S19" s="72"/>
      <c r="T19" s="81"/>
      <c r="U19" s="81"/>
      <c r="V19" s="81"/>
      <c r="W19" s="81"/>
      <c r="X19" s="81"/>
      <c r="Y19" s="81"/>
      <c r="Z19" s="81"/>
      <c r="AA19" s="81"/>
      <c r="AB19" s="81"/>
    </row>
    <row r="20" spans="1:28" ht="15.75" customHeight="1" x14ac:dyDescent="0.25">
      <c r="A20" s="34" t="s">
        <v>189</v>
      </c>
      <c r="B20" s="74" t="s">
        <v>17</v>
      </c>
      <c r="C20" s="19">
        <v>45720</v>
      </c>
      <c r="D20" s="20">
        <v>0.33958333333333335</v>
      </c>
      <c r="E20" s="19">
        <v>45720</v>
      </c>
      <c r="F20" s="20">
        <v>0.78611111111111109</v>
      </c>
      <c r="G20" s="74">
        <v>114.4</v>
      </c>
      <c r="H20" s="75">
        <v>1</v>
      </c>
      <c r="I20" s="74">
        <v>120.2</v>
      </c>
      <c r="J20" s="74">
        <v>119.7</v>
      </c>
      <c r="K20" s="74">
        <v>119.6</v>
      </c>
      <c r="L20" s="61" t="s">
        <v>190</v>
      </c>
      <c r="M20" s="61" t="s">
        <v>20</v>
      </c>
      <c r="N20" s="76">
        <f t="shared" si="0"/>
        <v>5.2999999999999972</v>
      </c>
      <c r="O20" s="77" t="s">
        <v>19</v>
      </c>
      <c r="P20" s="77"/>
      <c r="Q20" s="83"/>
      <c r="R20" s="84"/>
      <c r="S20" s="84"/>
      <c r="T20" s="84"/>
      <c r="U20" s="84"/>
      <c r="V20" s="84"/>
      <c r="W20" s="81"/>
      <c r="X20" s="81"/>
      <c r="Y20" s="81"/>
      <c r="Z20" s="81"/>
      <c r="AA20" s="81"/>
      <c r="AB20" s="81"/>
    </row>
    <row r="21" spans="1:28" ht="15.75" customHeight="1" x14ac:dyDescent="0.25">
      <c r="A21" s="34" t="s">
        <v>191</v>
      </c>
      <c r="B21" s="74" t="s">
        <v>17</v>
      </c>
      <c r="C21" s="19">
        <v>45720</v>
      </c>
      <c r="D21" s="54">
        <v>0.37152777777777779</v>
      </c>
      <c r="E21" s="19">
        <v>45720</v>
      </c>
      <c r="F21" s="20">
        <v>0.78749999999999998</v>
      </c>
      <c r="G21" s="74">
        <v>114.1</v>
      </c>
      <c r="H21" s="75">
        <v>1</v>
      </c>
      <c r="I21" s="74">
        <v>121.5</v>
      </c>
      <c r="J21" s="74">
        <v>121.2</v>
      </c>
      <c r="K21" s="74" t="s">
        <v>17</v>
      </c>
      <c r="L21" s="61" t="s">
        <v>192</v>
      </c>
      <c r="M21" s="61" t="s">
        <v>20</v>
      </c>
      <c r="N21" s="76">
        <f t="shared" si="0"/>
        <v>7.1000000000000085</v>
      </c>
      <c r="O21" s="77" t="s">
        <v>19</v>
      </c>
      <c r="P21" s="77"/>
      <c r="Q21" s="83"/>
      <c r="R21" s="84"/>
      <c r="S21" s="84"/>
      <c r="T21" s="84"/>
      <c r="U21" s="84"/>
      <c r="V21" s="84"/>
      <c r="W21" s="81"/>
      <c r="X21" s="81"/>
      <c r="Y21" s="81"/>
      <c r="Z21" s="81"/>
      <c r="AA21" s="81"/>
      <c r="AB21" s="81"/>
    </row>
    <row r="22" spans="1:28" ht="15.75" customHeight="1" x14ac:dyDescent="0.25">
      <c r="A22" s="34" t="s">
        <v>193</v>
      </c>
      <c r="B22" s="74" t="s">
        <v>17</v>
      </c>
      <c r="C22" s="19">
        <v>45720</v>
      </c>
      <c r="D22" s="54">
        <v>0.39374999999999999</v>
      </c>
      <c r="E22" s="19">
        <v>45720</v>
      </c>
      <c r="F22" s="20">
        <v>0.7895833333333333</v>
      </c>
      <c r="G22" s="74">
        <v>114.7</v>
      </c>
      <c r="H22" s="75">
        <v>1</v>
      </c>
      <c r="I22" s="74">
        <v>118.6</v>
      </c>
      <c r="J22" s="74">
        <v>118.2</v>
      </c>
      <c r="K22" s="74">
        <v>118.2</v>
      </c>
      <c r="L22" s="61" t="s">
        <v>194</v>
      </c>
      <c r="M22" s="61" t="s">
        <v>20</v>
      </c>
      <c r="N22" s="76">
        <f t="shared" si="0"/>
        <v>3.5</v>
      </c>
      <c r="O22" s="77" t="s">
        <v>19</v>
      </c>
      <c r="P22" s="77"/>
      <c r="Q22" s="83"/>
      <c r="R22" s="84"/>
      <c r="S22" s="84"/>
      <c r="T22" s="84"/>
      <c r="U22" s="84"/>
      <c r="V22" s="84"/>
      <c r="W22" s="81"/>
      <c r="X22" s="81"/>
      <c r="Y22" s="81"/>
      <c r="Z22" s="81"/>
      <c r="AA22" s="81"/>
      <c r="AB22" s="81"/>
    </row>
    <row r="23" spans="1:28" ht="15.75" x14ac:dyDescent="0.25">
      <c r="A23" s="34" t="s">
        <v>195</v>
      </c>
      <c r="B23" s="74" t="s">
        <v>17</v>
      </c>
      <c r="C23" s="19">
        <v>45720</v>
      </c>
      <c r="D23" s="20">
        <v>0.44513888888888886</v>
      </c>
      <c r="E23" s="19">
        <v>45720</v>
      </c>
      <c r="F23" s="20">
        <v>0.79097222222222219</v>
      </c>
      <c r="G23" s="74">
        <v>114.3</v>
      </c>
      <c r="H23" s="75">
        <v>1</v>
      </c>
      <c r="I23" s="87">
        <v>116.8</v>
      </c>
      <c r="J23" s="87">
        <v>116.9</v>
      </c>
      <c r="K23" s="74" t="s">
        <v>17</v>
      </c>
      <c r="L23" s="61" t="s">
        <v>196</v>
      </c>
      <c r="M23" s="61" t="s">
        <v>20</v>
      </c>
      <c r="N23" s="76">
        <f t="shared" si="0"/>
        <v>2.6000000000000085</v>
      </c>
      <c r="O23" s="77" t="s">
        <v>19</v>
      </c>
      <c r="P23" s="77"/>
      <c r="Q23" s="88"/>
      <c r="R23" s="84"/>
      <c r="S23" s="84"/>
      <c r="T23" s="84"/>
      <c r="U23" s="84"/>
      <c r="V23" s="84"/>
      <c r="W23" s="89"/>
      <c r="X23" s="89"/>
      <c r="Y23" s="89"/>
      <c r="Z23" s="89"/>
      <c r="AA23" s="89"/>
      <c r="AB23" s="89"/>
    </row>
    <row r="24" spans="1:28" ht="15.75" customHeight="1" x14ac:dyDescent="0.25">
      <c r="A24" s="73" t="s">
        <v>24</v>
      </c>
      <c r="B24" s="74" t="s">
        <v>17</v>
      </c>
      <c r="C24" s="74" t="s">
        <v>17</v>
      </c>
      <c r="D24" s="20" t="s">
        <v>17</v>
      </c>
      <c r="E24" s="19">
        <v>45720</v>
      </c>
      <c r="F24" s="20">
        <v>0.79166666666666663</v>
      </c>
      <c r="G24" s="74">
        <v>114.3</v>
      </c>
      <c r="H24" s="75">
        <v>1</v>
      </c>
      <c r="I24" s="74">
        <v>114.4</v>
      </c>
      <c r="J24" s="74">
        <v>114.3</v>
      </c>
      <c r="K24" s="74" t="s">
        <v>17</v>
      </c>
      <c r="L24" s="61" t="s">
        <v>197</v>
      </c>
      <c r="M24" s="61" t="s">
        <v>20</v>
      </c>
      <c r="N24" s="76">
        <f t="shared" si="0"/>
        <v>0</v>
      </c>
      <c r="O24" s="77" t="s">
        <v>19</v>
      </c>
      <c r="P24" s="77"/>
      <c r="Q24" s="88"/>
      <c r="R24" s="84"/>
      <c r="S24" s="84"/>
      <c r="T24" s="84"/>
      <c r="U24" s="84"/>
      <c r="V24" s="84"/>
      <c r="W24" s="89"/>
      <c r="X24" s="89"/>
      <c r="Y24" s="89"/>
      <c r="Z24" s="89"/>
      <c r="AA24" s="89"/>
      <c r="AB24" s="89"/>
    </row>
    <row r="25" spans="1:28" ht="15.75" customHeight="1" x14ac:dyDescent="0.25">
      <c r="A25" s="17" t="s">
        <v>155</v>
      </c>
      <c r="B25" s="74">
        <v>100</v>
      </c>
      <c r="C25" s="24" t="s">
        <v>17</v>
      </c>
      <c r="D25" s="20" t="s">
        <v>17</v>
      </c>
      <c r="E25" s="19">
        <v>45720</v>
      </c>
      <c r="F25" s="20">
        <v>0.79305555555555551</v>
      </c>
      <c r="G25" s="74">
        <v>114</v>
      </c>
      <c r="H25" s="75">
        <v>1</v>
      </c>
      <c r="I25" s="74">
        <v>215</v>
      </c>
      <c r="J25" s="74">
        <v>213.7</v>
      </c>
      <c r="K25" s="74">
        <v>213.7</v>
      </c>
      <c r="L25" s="61" t="s">
        <v>198</v>
      </c>
      <c r="M25" s="61" t="s">
        <v>20</v>
      </c>
      <c r="N25" s="76">
        <f t="shared" si="0"/>
        <v>99.699999999999989</v>
      </c>
      <c r="O25" s="77" t="s">
        <v>19</v>
      </c>
      <c r="P25" s="77"/>
      <c r="Q25" s="88"/>
      <c r="R25" s="84"/>
      <c r="S25" s="84"/>
      <c r="T25" s="84"/>
      <c r="U25" s="84"/>
      <c r="V25" s="84"/>
      <c r="W25" s="89"/>
      <c r="X25" s="89"/>
      <c r="Y25" s="89"/>
      <c r="Z25" s="89"/>
      <c r="AA25" s="89"/>
      <c r="AB25" s="89"/>
    </row>
    <row r="26" spans="1:28" ht="15.75" customHeight="1" x14ac:dyDescent="0.25">
      <c r="A26" s="34" t="s">
        <v>199</v>
      </c>
      <c r="B26" s="74" t="s">
        <v>17</v>
      </c>
      <c r="C26" s="19">
        <v>45720</v>
      </c>
      <c r="D26" s="20">
        <v>0.47430555555555554</v>
      </c>
      <c r="E26" s="19">
        <v>45720</v>
      </c>
      <c r="F26" s="20">
        <v>0.79374999999999996</v>
      </c>
      <c r="G26" s="87">
        <v>114.2</v>
      </c>
      <c r="H26" s="75">
        <v>1</v>
      </c>
      <c r="I26" s="87">
        <v>118.6</v>
      </c>
      <c r="J26" s="87">
        <v>118.3</v>
      </c>
      <c r="K26" s="74" t="s">
        <v>17</v>
      </c>
      <c r="L26" s="61" t="s">
        <v>200</v>
      </c>
      <c r="M26" s="61" t="s">
        <v>20</v>
      </c>
      <c r="N26" s="76">
        <f t="shared" si="0"/>
        <v>4.0999999999999943</v>
      </c>
      <c r="O26" s="77" t="s">
        <v>19</v>
      </c>
      <c r="P26" s="77"/>
      <c r="Q26" s="88"/>
      <c r="R26" s="84"/>
      <c r="S26" s="84"/>
      <c r="T26" s="84"/>
      <c r="U26" s="84"/>
      <c r="V26" s="84"/>
      <c r="W26" s="89"/>
      <c r="X26" s="89"/>
      <c r="Y26" s="89"/>
      <c r="Z26" s="89"/>
      <c r="AA26" s="89"/>
      <c r="AB26" s="89"/>
    </row>
    <row r="27" spans="1:28" ht="15.75" customHeight="1" x14ac:dyDescent="0.25">
      <c r="A27" s="34" t="s">
        <v>201</v>
      </c>
      <c r="B27" s="74" t="s">
        <v>17</v>
      </c>
      <c r="C27" s="19">
        <v>45720</v>
      </c>
      <c r="D27" s="20">
        <v>0.50486111111111109</v>
      </c>
      <c r="E27" s="19">
        <v>45720</v>
      </c>
      <c r="F27" s="20">
        <v>0.79513888888888884</v>
      </c>
      <c r="G27" s="87">
        <v>114.3</v>
      </c>
      <c r="H27" s="75">
        <v>1</v>
      </c>
      <c r="I27" s="87">
        <v>117.7</v>
      </c>
      <c r="J27" s="87">
        <v>117.7</v>
      </c>
      <c r="K27" s="74" t="s">
        <v>17</v>
      </c>
      <c r="L27" s="61" t="s">
        <v>202</v>
      </c>
      <c r="M27" s="61" t="s">
        <v>20</v>
      </c>
      <c r="N27" s="76">
        <f t="shared" si="0"/>
        <v>3.4000000000000057</v>
      </c>
      <c r="O27" s="77" t="s">
        <v>19</v>
      </c>
      <c r="P27" s="77"/>
      <c r="Q27" s="88"/>
      <c r="R27" s="84"/>
      <c r="S27" s="84"/>
      <c r="T27" s="84"/>
      <c r="U27" s="84"/>
      <c r="V27" s="84"/>
      <c r="W27" s="89"/>
      <c r="X27" s="89"/>
      <c r="Y27" s="89"/>
      <c r="Z27" s="89"/>
      <c r="AA27" s="89"/>
      <c r="AB27" s="89"/>
    </row>
    <row r="28" spans="1:28" ht="15.75" customHeight="1" x14ac:dyDescent="0.25">
      <c r="A28" s="34" t="s">
        <v>203</v>
      </c>
      <c r="B28" s="74" t="s">
        <v>17</v>
      </c>
      <c r="C28" s="24">
        <v>45722</v>
      </c>
      <c r="D28" s="20">
        <v>0.32291666666666669</v>
      </c>
      <c r="E28" s="24">
        <v>45722</v>
      </c>
      <c r="F28" s="20">
        <v>0.59375</v>
      </c>
      <c r="G28" s="87">
        <v>114.4</v>
      </c>
      <c r="H28" s="75">
        <v>1</v>
      </c>
      <c r="I28" s="87">
        <v>119.3</v>
      </c>
      <c r="J28" s="87">
        <v>118.9</v>
      </c>
      <c r="K28" s="74">
        <v>118.8</v>
      </c>
      <c r="L28" s="61" t="s">
        <v>204</v>
      </c>
      <c r="M28" s="61" t="s">
        <v>20</v>
      </c>
      <c r="N28" s="76">
        <f t="shared" si="0"/>
        <v>4.5</v>
      </c>
      <c r="O28" s="77" t="s">
        <v>19</v>
      </c>
      <c r="P28" s="77"/>
      <c r="Q28" s="88"/>
      <c r="R28" s="84"/>
      <c r="S28" s="84"/>
      <c r="T28" s="84"/>
      <c r="U28" s="84"/>
      <c r="V28" s="84"/>
      <c r="W28" s="89"/>
      <c r="X28" s="89"/>
      <c r="Y28" s="89"/>
      <c r="Z28" s="89"/>
      <c r="AA28" s="89"/>
      <c r="AB28" s="89"/>
    </row>
    <row r="29" spans="1:28" ht="15.75" customHeight="1" x14ac:dyDescent="0.25">
      <c r="A29" s="34" t="s">
        <v>205</v>
      </c>
      <c r="B29" s="74" t="s">
        <v>17</v>
      </c>
      <c r="C29" s="24">
        <v>45722</v>
      </c>
      <c r="D29" s="20">
        <v>0.34930555555555554</v>
      </c>
      <c r="E29" s="24">
        <v>45722</v>
      </c>
      <c r="F29" s="20">
        <v>0.59791666666666665</v>
      </c>
      <c r="G29" s="87">
        <v>113.3</v>
      </c>
      <c r="H29" s="75">
        <v>1</v>
      </c>
      <c r="I29" s="87">
        <v>120.6</v>
      </c>
      <c r="J29" s="87">
        <v>120.7</v>
      </c>
      <c r="K29" s="74" t="s">
        <v>17</v>
      </c>
      <c r="L29" s="61" t="s">
        <v>206</v>
      </c>
      <c r="M29" s="61" t="s">
        <v>20</v>
      </c>
      <c r="N29" s="76">
        <f t="shared" si="0"/>
        <v>7.4000000000000057</v>
      </c>
      <c r="O29" s="77" t="s">
        <v>19</v>
      </c>
      <c r="P29" s="77"/>
      <c r="Q29" s="88"/>
      <c r="R29" s="84"/>
      <c r="S29" s="84"/>
      <c r="T29" s="84"/>
      <c r="U29" s="84"/>
      <c r="V29" s="84"/>
      <c r="W29" s="89"/>
      <c r="X29" s="89"/>
      <c r="Y29" s="89"/>
      <c r="Z29" s="89"/>
      <c r="AA29" s="89"/>
      <c r="AB29" s="89"/>
    </row>
    <row r="30" spans="1:28" ht="15.75" customHeight="1" x14ac:dyDescent="0.25">
      <c r="A30" s="34" t="s">
        <v>207</v>
      </c>
      <c r="B30" s="74" t="s">
        <v>17</v>
      </c>
      <c r="C30" s="24">
        <v>45722</v>
      </c>
      <c r="D30" s="20">
        <v>0.39513888888888887</v>
      </c>
      <c r="E30" s="24">
        <v>45722</v>
      </c>
      <c r="F30" s="20">
        <v>0.59583333333333333</v>
      </c>
      <c r="G30" s="87">
        <v>114.5</v>
      </c>
      <c r="H30" s="75">
        <v>1</v>
      </c>
      <c r="I30" s="87">
        <v>118.8</v>
      </c>
      <c r="J30" s="74">
        <v>118.9</v>
      </c>
      <c r="K30" s="74" t="s">
        <v>17</v>
      </c>
      <c r="L30" s="61" t="s">
        <v>208</v>
      </c>
      <c r="M30" s="61" t="s">
        <v>20</v>
      </c>
      <c r="N30" s="76">
        <f t="shared" si="0"/>
        <v>4.4000000000000057</v>
      </c>
      <c r="O30" s="77" t="s">
        <v>19</v>
      </c>
      <c r="P30" s="77"/>
      <c r="Q30" s="88"/>
      <c r="R30" s="84"/>
      <c r="S30" s="84"/>
      <c r="T30" s="84"/>
      <c r="U30" s="84"/>
      <c r="V30" s="84"/>
      <c r="W30" s="89"/>
      <c r="X30" s="89"/>
      <c r="Y30" s="89"/>
      <c r="Z30" s="89"/>
      <c r="AA30" s="89"/>
      <c r="AB30" s="89"/>
    </row>
    <row r="31" spans="1:28" ht="15.75" x14ac:dyDescent="0.25">
      <c r="A31" s="34" t="s">
        <v>209</v>
      </c>
      <c r="B31" s="74" t="s">
        <v>17</v>
      </c>
      <c r="C31" s="24">
        <v>45722</v>
      </c>
      <c r="D31" s="20">
        <v>0.4201388888888889</v>
      </c>
      <c r="E31" s="24">
        <v>45722</v>
      </c>
      <c r="F31" s="20">
        <v>0.60069444444444442</v>
      </c>
      <c r="G31" s="90">
        <v>114.1</v>
      </c>
      <c r="H31" s="75">
        <v>1</v>
      </c>
      <c r="I31" s="90">
        <v>123.6</v>
      </c>
      <c r="J31" s="90">
        <v>123.5</v>
      </c>
      <c r="K31" s="74">
        <v>123.6</v>
      </c>
      <c r="L31" s="61" t="s">
        <v>210</v>
      </c>
      <c r="M31" s="61" t="s">
        <v>20</v>
      </c>
      <c r="N31" s="76">
        <f t="shared" si="0"/>
        <v>9.4000000000000057</v>
      </c>
      <c r="O31" s="77" t="s">
        <v>19</v>
      </c>
      <c r="P31" s="77"/>
      <c r="Q31" s="83"/>
      <c r="R31" s="84"/>
      <c r="S31" s="84"/>
      <c r="T31" s="84"/>
      <c r="U31" s="84"/>
      <c r="V31" s="84"/>
      <c r="W31" s="91"/>
      <c r="X31" s="91"/>
      <c r="Y31" s="91"/>
      <c r="Z31" s="91"/>
      <c r="AA31" s="91"/>
      <c r="AB31" s="91"/>
    </row>
    <row r="32" spans="1:28" ht="15.75" customHeight="1" x14ac:dyDescent="0.25">
      <c r="A32" s="34" t="s">
        <v>211</v>
      </c>
      <c r="B32" s="74" t="s">
        <v>17</v>
      </c>
      <c r="C32" s="24">
        <v>45722</v>
      </c>
      <c r="D32" s="20">
        <v>0.45902777777777776</v>
      </c>
      <c r="E32" s="24">
        <v>45722</v>
      </c>
      <c r="F32" s="20">
        <v>0.6020833333333333</v>
      </c>
      <c r="G32" s="74">
        <v>114.2</v>
      </c>
      <c r="H32" s="75">
        <v>1</v>
      </c>
      <c r="I32" s="74">
        <v>120.2</v>
      </c>
      <c r="J32" s="76">
        <v>119.8</v>
      </c>
      <c r="K32" s="76">
        <v>119.8</v>
      </c>
      <c r="L32" s="61" t="s">
        <v>212</v>
      </c>
      <c r="M32" s="61" t="s">
        <v>20</v>
      </c>
      <c r="N32" s="76">
        <f t="shared" si="0"/>
        <v>5.5999999999999943</v>
      </c>
      <c r="O32" s="77" t="s">
        <v>19</v>
      </c>
      <c r="P32" s="77"/>
      <c r="Q32" s="92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</row>
    <row r="33" spans="1:28" ht="15.75" customHeight="1" x14ac:dyDescent="0.25">
      <c r="A33" s="34" t="s">
        <v>213</v>
      </c>
      <c r="B33" s="74" t="s">
        <v>17</v>
      </c>
      <c r="C33" s="24">
        <v>45722</v>
      </c>
      <c r="D33" s="20">
        <v>0.47430555555555554</v>
      </c>
      <c r="E33" s="24">
        <v>45722</v>
      </c>
      <c r="F33" s="20">
        <v>0.60416666666666663</v>
      </c>
      <c r="G33" s="74">
        <v>114.7</v>
      </c>
      <c r="H33" s="75">
        <v>1</v>
      </c>
      <c r="I33" s="74">
        <v>120.9</v>
      </c>
      <c r="J33" s="74">
        <v>120.9</v>
      </c>
      <c r="K33" s="74">
        <v>120.8</v>
      </c>
      <c r="L33" s="61" t="s">
        <v>214</v>
      </c>
      <c r="M33" s="61" t="s">
        <v>20</v>
      </c>
      <c r="N33" s="76">
        <f t="shared" si="0"/>
        <v>6.2000000000000028</v>
      </c>
      <c r="O33" s="77" t="s">
        <v>19</v>
      </c>
      <c r="P33" s="77"/>
      <c r="Q33" s="93"/>
      <c r="R33" s="78"/>
      <c r="S33" s="84"/>
      <c r="T33" s="84"/>
      <c r="U33" s="84"/>
      <c r="V33" s="84"/>
      <c r="W33" s="84"/>
      <c r="X33" s="84"/>
      <c r="Y33" s="84"/>
      <c r="Z33" s="84"/>
      <c r="AA33" s="84"/>
      <c r="AB33" s="84"/>
    </row>
    <row r="34" spans="1:28" ht="15.75" customHeight="1" x14ac:dyDescent="0.25">
      <c r="A34" s="34" t="s">
        <v>215</v>
      </c>
      <c r="B34" s="74" t="s">
        <v>17</v>
      </c>
      <c r="C34" s="24">
        <v>45722</v>
      </c>
      <c r="D34" s="54">
        <v>0.49027777777777776</v>
      </c>
      <c r="E34" s="24">
        <v>45722</v>
      </c>
      <c r="F34" s="20">
        <v>0.59097222222222223</v>
      </c>
      <c r="G34" s="90">
        <v>114.7</v>
      </c>
      <c r="H34" s="75">
        <v>1</v>
      </c>
      <c r="I34" s="90">
        <v>122</v>
      </c>
      <c r="J34" s="87">
        <v>121.8</v>
      </c>
      <c r="K34" s="74">
        <v>121.9</v>
      </c>
      <c r="L34" s="61" t="s">
        <v>216</v>
      </c>
      <c r="M34" s="61" t="s">
        <v>20</v>
      </c>
      <c r="N34" s="76">
        <f t="shared" si="0"/>
        <v>7.0999999999999943</v>
      </c>
      <c r="O34" s="77" t="s">
        <v>19</v>
      </c>
      <c r="P34" s="77"/>
      <c r="Q34" s="94"/>
      <c r="R34" s="78"/>
      <c r="S34" s="95"/>
      <c r="T34" s="95"/>
      <c r="U34" s="95"/>
      <c r="V34" s="95"/>
      <c r="W34" s="95"/>
      <c r="X34" s="95"/>
      <c r="Y34" s="95"/>
      <c r="Z34" s="95"/>
      <c r="AA34" s="95"/>
      <c r="AB34" s="95"/>
    </row>
    <row r="35" spans="1:28" ht="15.75" customHeight="1" x14ac:dyDescent="0.25">
      <c r="A35" s="34" t="s">
        <v>217</v>
      </c>
      <c r="B35" s="74" t="s">
        <v>17</v>
      </c>
      <c r="C35" s="24">
        <v>45726</v>
      </c>
      <c r="D35" s="20">
        <v>0.3</v>
      </c>
      <c r="E35" s="24">
        <v>45726</v>
      </c>
      <c r="F35" s="20">
        <v>0.63055555555555554</v>
      </c>
      <c r="G35" s="96">
        <v>113.4</v>
      </c>
      <c r="H35" s="75">
        <v>1</v>
      </c>
      <c r="I35" s="87">
        <v>119.7</v>
      </c>
      <c r="J35" s="90">
        <v>119.5</v>
      </c>
      <c r="K35" s="20" t="s">
        <v>17</v>
      </c>
      <c r="L35" s="97" t="s">
        <v>218</v>
      </c>
      <c r="M35" s="61" t="s">
        <v>20</v>
      </c>
      <c r="N35" s="76">
        <f t="shared" si="0"/>
        <v>6.0999999999999943</v>
      </c>
      <c r="O35" s="77" t="s">
        <v>19</v>
      </c>
      <c r="P35" s="77"/>
      <c r="Q35" s="94"/>
      <c r="R35" s="78"/>
      <c r="S35" s="95"/>
      <c r="T35" s="95"/>
      <c r="U35" s="95"/>
      <c r="V35" s="95"/>
      <c r="W35" s="95"/>
      <c r="X35" s="95"/>
      <c r="Y35" s="95"/>
      <c r="Z35" s="95"/>
      <c r="AA35" s="95"/>
      <c r="AB35" s="95"/>
    </row>
    <row r="36" spans="1:28" ht="15.75" customHeight="1" x14ac:dyDescent="0.25">
      <c r="A36" s="34" t="s">
        <v>219</v>
      </c>
      <c r="B36" s="74" t="s">
        <v>17</v>
      </c>
      <c r="C36" s="24">
        <v>45726</v>
      </c>
      <c r="D36" s="98">
        <v>0.34513888888888888</v>
      </c>
      <c r="E36" s="24">
        <v>45726</v>
      </c>
      <c r="F36" s="54">
        <v>0.6381944444444444</v>
      </c>
      <c r="G36" s="90">
        <v>115.8</v>
      </c>
      <c r="H36" s="75">
        <v>1</v>
      </c>
      <c r="I36" s="90">
        <v>124.8</v>
      </c>
      <c r="J36" s="90">
        <v>124.6</v>
      </c>
      <c r="K36" s="74">
        <v>124.5</v>
      </c>
      <c r="L36" s="99" t="s">
        <v>220</v>
      </c>
      <c r="M36" s="61" t="s">
        <v>20</v>
      </c>
      <c r="N36" s="76">
        <f t="shared" si="0"/>
        <v>8.7999999999999972</v>
      </c>
      <c r="O36" s="77" t="s">
        <v>19</v>
      </c>
      <c r="P36" s="77"/>
      <c r="Q36" s="94"/>
      <c r="R36" s="78"/>
      <c r="S36" s="95"/>
      <c r="T36" s="95"/>
      <c r="U36" s="95"/>
      <c r="V36" s="95"/>
      <c r="W36" s="95"/>
      <c r="X36" s="95"/>
      <c r="Y36" s="95"/>
      <c r="Z36" s="95"/>
      <c r="AA36" s="95"/>
      <c r="AB36" s="95"/>
    </row>
    <row r="37" spans="1:28" ht="15.75" customHeight="1" x14ac:dyDescent="0.25">
      <c r="A37" s="34" t="s">
        <v>221</v>
      </c>
      <c r="B37" s="74" t="s">
        <v>17</v>
      </c>
      <c r="C37" s="24">
        <v>45726</v>
      </c>
      <c r="D37" s="20">
        <v>0.38055555555555554</v>
      </c>
      <c r="E37" s="24">
        <v>45726</v>
      </c>
      <c r="F37" s="54">
        <v>0.64027777777777772</v>
      </c>
      <c r="G37" s="90">
        <v>115.2</v>
      </c>
      <c r="H37" s="75">
        <v>1</v>
      </c>
      <c r="I37" s="90">
        <v>120</v>
      </c>
      <c r="J37" s="90">
        <v>119.7</v>
      </c>
      <c r="K37" s="20" t="s">
        <v>17</v>
      </c>
      <c r="L37" s="34" t="s">
        <v>222</v>
      </c>
      <c r="M37" s="61" t="s">
        <v>20</v>
      </c>
      <c r="N37" s="76">
        <f t="shared" si="0"/>
        <v>4.5</v>
      </c>
      <c r="O37" s="77" t="s">
        <v>19</v>
      </c>
      <c r="P37" s="77"/>
      <c r="Q37" s="94"/>
      <c r="R37" s="78"/>
      <c r="S37" s="95"/>
      <c r="T37" s="95"/>
      <c r="U37" s="95"/>
      <c r="V37" s="95"/>
      <c r="W37" s="95"/>
      <c r="X37" s="95"/>
      <c r="Y37" s="95"/>
      <c r="Z37" s="95"/>
      <c r="AA37" s="95"/>
      <c r="AB37" s="95"/>
    </row>
    <row r="38" spans="1:28" ht="15.75" customHeight="1" x14ac:dyDescent="0.25">
      <c r="A38" s="34" t="s">
        <v>223</v>
      </c>
      <c r="B38" s="74" t="s">
        <v>17</v>
      </c>
      <c r="C38" s="24">
        <v>45726</v>
      </c>
      <c r="D38" s="20">
        <v>0.39513888888888887</v>
      </c>
      <c r="E38" s="24">
        <v>45726</v>
      </c>
      <c r="F38" s="54">
        <v>0.64375000000000004</v>
      </c>
      <c r="G38" s="90">
        <v>114.7</v>
      </c>
      <c r="H38" s="75">
        <v>1</v>
      </c>
      <c r="I38" s="74">
        <v>119.6</v>
      </c>
      <c r="J38" s="74">
        <v>119.6</v>
      </c>
      <c r="K38" s="20" t="s">
        <v>17</v>
      </c>
      <c r="L38" s="34" t="s">
        <v>224</v>
      </c>
      <c r="M38" s="61" t="s">
        <v>20</v>
      </c>
      <c r="N38" s="76">
        <f t="shared" si="0"/>
        <v>4.8999999999999915</v>
      </c>
      <c r="O38" s="77" t="s">
        <v>19</v>
      </c>
      <c r="P38" s="77"/>
      <c r="Q38" s="94"/>
      <c r="R38" s="78"/>
      <c r="S38" s="84"/>
      <c r="T38" s="84"/>
      <c r="U38" s="84"/>
      <c r="V38" s="84"/>
      <c r="W38" s="84"/>
      <c r="X38" s="84"/>
      <c r="Y38" s="84"/>
      <c r="Z38" s="84"/>
      <c r="AA38" s="84"/>
      <c r="AB38" s="84"/>
    </row>
    <row r="39" spans="1:28" ht="15.75" customHeight="1" x14ac:dyDescent="0.25">
      <c r="A39" s="34" t="s">
        <v>225</v>
      </c>
      <c r="B39" s="74" t="s">
        <v>17</v>
      </c>
      <c r="C39" s="24">
        <v>45726</v>
      </c>
      <c r="D39" s="54">
        <v>0.41458333333333336</v>
      </c>
      <c r="E39" s="24">
        <v>45726</v>
      </c>
      <c r="F39" s="100">
        <v>0.64930555555555558</v>
      </c>
      <c r="G39" s="101">
        <v>115.3</v>
      </c>
      <c r="H39" s="75">
        <v>1</v>
      </c>
      <c r="I39" s="87">
        <v>119.3</v>
      </c>
      <c r="J39" s="87">
        <v>119.4</v>
      </c>
      <c r="K39" s="20" t="s">
        <v>17</v>
      </c>
      <c r="L39" s="102" t="s">
        <v>226</v>
      </c>
      <c r="M39" s="61" t="s">
        <v>20</v>
      </c>
      <c r="N39" s="76">
        <f t="shared" si="0"/>
        <v>4.1000000000000085</v>
      </c>
      <c r="O39" s="77" t="s">
        <v>19</v>
      </c>
      <c r="P39" s="77"/>
      <c r="Q39" s="94"/>
      <c r="R39" s="78"/>
      <c r="S39" s="84"/>
      <c r="T39" s="84"/>
      <c r="U39" s="84"/>
      <c r="V39" s="84"/>
      <c r="W39" s="84"/>
      <c r="X39" s="84"/>
      <c r="Y39" s="84"/>
      <c r="Z39" s="84"/>
      <c r="AA39" s="84"/>
      <c r="AB39" s="84"/>
    </row>
    <row r="40" spans="1:28" ht="15.75" customHeight="1" x14ac:dyDescent="0.25">
      <c r="A40" s="34" t="s">
        <v>227</v>
      </c>
      <c r="B40" s="74" t="s">
        <v>17</v>
      </c>
      <c r="C40" s="24">
        <v>45726</v>
      </c>
      <c r="D40" s="98">
        <v>0.43402777777777779</v>
      </c>
      <c r="E40" s="24">
        <v>45726</v>
      </c>
      <c r="F40" s="54">
        <v>0.65347222222222223</v>
      </c>
      <c r="G40" s="90">
        <v>114.9</v>
      </c>
      <c r="H40" s="75">
        <v>1</v>
      </c>
      <c r="I40" s="90">
        <v>122</v>
      </c>
      <c r="J40" s="90">
        <v>121.6</v>
      </c>
      <c r="K40" s="74">
        <v>121.6</v>
      </c>
      <c r="L40" s="102" t="s">
        <v>228</v>
      </c>
      <c r="M40" s="61" t="s">
        <v>20</v>
      </c>
      <c r="N40" s="76">
        <f t="shared" si="0"/>
        <v>6.6999999999999886</v>
      </c>
      <c r="O40" s="77" t="s">
        <v>19</v>
      </c>
      <c r="P40" s="77"/>
      <c r="Q40" s="94"/>
      <c r="R40" s="78"/>
      <c r="S40" s="95"/>
      <c r="T40" s="95"/>
      <c r="U40" s="95"/>
      <c r="V40" s="95"/>
      <c r="W40" s="95"/>
      <c r="X40" s="95"/>
      <c r="Y40" s="95"/>
      <c r="Z40" s="95"/>
      <c r="AA40" s="95"/>
      <c r="AB40" s="95"/>
    </row>
    <row r="41" spans="1:28" ht="15.75" customHeight="1" x14ac:dyDescent="0.25">
      <c r="A41" s="34" t="s">
        <v>229</v>
      </c>
      <c r="B41" s="74" t="s">
        <v>17</v>
      </c>
      <c r="C41" s="24">
        <v>45726</v>
      </c>
      <c r="D41" s="98">
        <v>0.45</v>
      </c>
      <c r="E41" s="24">
        <v>45726</v>
      </c>
      <c r="F41" s="103">
        <v>0.65763888888888888</v>
      </c>
      <c r="G41" s="87">
        <v>114.6</v>
      </c>
      <c r="H41" s="75">
        <v>1</v>
      </c>
      <c r="I41" s="87">
        <v>120.2</v>
      </c>
      <c r="J41" s="87">
        <v>120</v>
      </c>
      <c r="K41" s="20" t="s">
        <v>17</v>
      </c>
      <c r="L41" s="102" t="s">
        <v>230</v>
      </c>
      <c r="M41" s="61" t="s">
        <v>20</v>
      </c>
      <c r="N41" s="76">
        <f t="shared" si="0"/>
        <v>5.4000000000000057</v>
      </c>
      <c r="O41" s="77" t="s">
        <v>19</v>
      </c>
      <c r="P41" s="77"/>
      <c r="Q41" s="94"/>
      <c r="R41" s="78"/>
      <c r="S41" s="95"/>
      <c r="T41" s="95"/>
      <c r="U41" s="95"/>
      <c r="V41" s="95"/>
      <c r="W41" s="95"/>
      <c r="X41" s="95"/>
      <c r="Y41" s="95"/>
      <c r="Z41" s="95"/>
      <c r="AA41" s="95"/>
      <c r="AB41" s="95"/>
    </row>
    <row r="42" spans="1:28" ht="15.75" customHeight="1" x14ac:dyDescent="0.25">
      <c r="A42" s="34" t="s">
        <v>231</v>
      </c>
      <c r="B42" s="74" t="s">
        <v>17</v>
      </c>
      <c r="C42" s="24">
        <v>45726</v>
      </c>
      <c r="D42" s="59">
        <v>0.46944444444444444</v>
      </c>
      <c r="E42" s="24">
        <v>45726</v>
      </c>
      <c r="F42" s="20">
        <v>0.66111111111111109</v>
      </c>
      <c r="G42" s="87">
        <v>113.8</v>
      </c>
      <c r="H42" s="75">
        <v>1</v>
      </c>
      <c r="I42" s="87">
        <v>121.2</v>
      </c>
      <c r="J42" s="87">
        <v>121</v>
      </c>
      <c r="K42" s="20" t="s">
        <v>17</v>
      </c>
      <c r="L42" s="104" t="s">
        <v>232</v>
      </c>
      <c r="M42" s="61" t="s">
        <v>20</v>
      </c>
      <c r="N42" s="76">
        <f t="shared" si="0"/>
        <v>7.2000000000000028</v>
      </c>
      <c r="O42" s="77" t="s">
        <v>19</v>
      </c>
      <c r="P42" s="77"/>
      <c r="Q42" s="94"/>
      <c r="R42" s="78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 spans="1:28" ht="15.75" customHeight="1" x14ac:dyDescent="0.25">
      <c r="A43" s="34" t="s">
        <v>233</v>
      </c>
      <c r="B43" s="74" t="s">
        <v>17</v>
      </c>
      <c r="C43" s="24">
        <v>45726</v>
      </c>
      <c r="D43" s="59">
        <v>0.49722222222222223</v>
      </c>
      <c r="E43" s="24">
        <v>45726</v>
      </c>
      <c r="F43" s="28">
        <v>0.66388888888888886</v>
      </c>
      <c r="G43" s="34">
        <v>115.2</v>
      </c>
      <c r="H43" s="75">
        <v>1</v>
      </c>
      <c r="I43" s="105">
        <v>121.6</v>
      </c>
      <c r="J43" s="34">
        <v>121.3</v>
      </c>
      <c r="K43" s="74">
        <v>121.3</v>
      </c>
      <c r="L43" s="34" t="s">
        <v>234</v>
      </c>
      <c r="M43" s="61" t="s">
        <v>20</v>
      </c>
      <c r="N43" s="76">
        <f t="shared" si="0"/>
        <v>6.0999999999999943</v>
      </c>
      <c r="O43" s="77" t="s">
        <v>19</v>
      </c>
      <c r="P43" s="77"/>
      <c r="Q43" s="94"/>
      <c r="R43" s="78"/>
      <c r="S43" s="84"/>
      <c r="T43" s="84"/>
      <c r="U43" s="84"/>
      <c r="V43" s="84"/>
      <c r="W43" s="84"/>
      <c r="X43" s="84"/>
      <c r="Y43" s="84"/>
      <c r="Z43" s="84"/>
      <c r="AA43" s="84"/>
      <c r="AB43" s="84"/>
    </row>
    <row r="44" spans="1:28" ht="15.75" customHeight="1" x14ac:dyDescent="0.25">
      <c r="A44" s="34" t="s">
        <v>235</v>
      </c>
      <c r="B44" s="74" t="s">
        <v>17</v>
      </c>
      <c r="C44" s="24">
        <v>45728</v>
      </c>
      <c r="D44" s="59">
        <v>0.3</v>
      </c>
      <c r="E44" s="24">
        <v>45728</v>
      </c>
      <c r="F44" s="20">
        <v>0.56666666666666665</v>
      </c>
      <c r="G44" s="87">
        <v>114.4</v>
      </c>
      <c r="H44" s="75">
        <v>1</v>
      </c>
      <c r="I44" s="87">
        <v>116.6</v>
      </c>
      <c r="J44" s="87">
        <v>116.9</v>
      </c>
      <c r="K44" s="20" t="s">
        <v>17</v>
      </c>
      <c r="L44" s="106" t="s">
        <v>236</v>
      </c>
      <c r="M44" s="61" t="s">
        <v>20</v>
      </c>
      <c r="N44" s="76">
        <f t="shared" si="0"/>
        <v>2.5</v>
      </c>
      <c r="O44" s="77" t="s">
        <v>19</v>
      </c>
      <c r="P44" s="77"/>
      <c r="Q44" s="88"/>
      <c r="R44" s="78"/>
      <c r="S44" s="84"/>
      <c r="T44" s="84"/>
      <c r="U44" s="84"/>
      <c r="V44" s="84"/>
      <c r="W44" s="84"/>
      <c r="X44" s="84"/>
      <c r="Y44" s="84"/>
      <c r="Z44" s="84"/>
      <c r="AA44" s="84"/>
      <c r="AB44" s="84"/>
    </row>
    <row r="45" spans="1:28" ht="15.75" customHeight="1" x14ac:dyDescent="0.25">
      <c r="A45" s="34" t="s">
        <v>237</v>
      </c>
      <c r="B45" s="74" t="s">
        <v>17</v>
      </c>
      <c r="C45" s="24">
        <v>45728</v>
      </c>
      <c r="D45" s="59">
        <v>0.32013888888888886</v>
      </c>
      <c r="E45" s="24">
        <v>45728</v>
      </c>
      <c r="F45" s="20">
        <v>0.56944444444444442</v>
      </c>
      <c r="G45" s="87">
        <v>114.4</v>
      </c>
      <c r="H45" s="75">
        <v>1</v>
      </c>
      <c r="I45" s="87">
        <v>116.1</v>
      </c>
      <c r="J45" s="87">
        <v>115.6</v>
      </c>
      <c r="K45" s="20" t="s">
        <v>17</v>
      </c>
      <c r="L45" s="106" t="s">
        <v>238</v>
      </c>
      <c r="M45" s="61" t="s">
        <v>20</v>
      </c>
      <c r="N45" s="76">
        <f t="shared" si="0"/>
        <v>1.1999999999999886</v>
      </c>
      <c r="O45" s="77" t="s">
        <v>19</v>
      </c>
      <c r="P45" s="77"/>
      <c r="Q45" s="88"/>
      <c r="R45" s="78"/>
      <c r="S45" s="89"/>
      <c r="T45" s="89"/>
      <c r="U45" s="89"/>
      <c r="V45" s="89"/>
      <c r="W45" s="89"/>
      <c r="X45" s="89"/>
      <c r="Y45" s="89"/>
      <c r="Z45" s="89"/>
      <c r="AA45" s="89"/>
      <c r="AB45" s="89"/>
    </row>
    <row r="46" spans="1:28" ht="15.75" customHeight="1" x14ac:dyDescent="0.25">
      <c r="A46" s="73" t="s">
        <v>24</v>
      </c>
      <c r="B46" s="74" t="s">
        <v>17</v>
      </c>
      <c r="C46" s="74" t="s">
        <v>17</v>
      </c>
      <c r="D46" s="20" t="s">
        <v>17</v>
      </c>
      <c r="E46" s="24">
        <v>45728</v>
      </c>
      <c r="F46" s="20">
        <v>0.58819444444444446</v>
      </c>
      <c r="G46" s="74">
        <v>114.7</v>
      </c>
      <c r="H46" s="75">
        <v>1</v>
      </c>
      <c r="I46" s="74">
        <v>115</v>
      </c>
      <c r="J46" s="74">
        <v>115.3</v>
      </c>
      <c r="K46" s="20" t="s">
        <v>17</v>
      </c>
      <c r="L46" s="61" t="s">
        <v>239</v>
      </c>
      <c r="M46" s="61" t="s">
        <v>20</v>
      </c>
      <c r="N46" s="76">
        <f t="shared" si="0"/>
        <v>0.59999999999999432</v>
      </c>
      <c r="O46" s="77" t="s">
        <v>19</v>
      </c>
      <c r="P46" s="77"/>
      <c r="Q46" s="49"/>
      <c r="R46" s="78"/>
      <c r="S46" s="79"/>
      <c r="T46" s="80"/>
      <c r="U46" s="80"/>
      <c r="V46" s="81"/>
      <c r="W46" s="81"/>
      <c r="X46" s="81"/>
      <c r="Y46" s="81"/>
      <c r="Z46" s="81"/>
      <c r="AA46" s="81"/>
      <c r="AB46" s="81"/>
    </row>
    <row r="47" spans="1:28" ht="15.75" customHeight="1" x14ac:dyDescent="0.25">
      <c r="A47" s="17" t="s">
        <v>155</v>
      </c>
      <c r="B47" s="74">
        <v>100</v>
      </c>
      <c r="C47" s="24" t="s">
        <v>17</v>
      </c>
      <c r="D47" s="20" t="s">
        <v>17</v>
      </c>
      <c r="E47" s="24">
        <v>45728</v>
      </c>
      <c r="F47" s="20">
        <v>0.59305555555555556</v>
      </c>
      <c r="G47" s="74">
        <v>115</v>
      </c>
      <c r="H47" s="75">
        <v>1</v>
      </c>
      <c r="I47" s="74">
        <v>213.8</v>
      </c>
      <c r="J47" s="74">
        <v>213.4</v>
      </c>
      <c r="K47" s="20" t="s">
        <v>17</v>
      </c>
      <c r="L47" s="61" t="s">
        <v>240</v>
      </c>
      <c r="M47" s="61" t="s">
        <v>20</v>
      </c>
      <c r="N47" s="76">
        <f t="shared" si="0"/>
        <v>98.4</v>
      </c>
      <c r="O47" s="77" t="s">
        <v>19</v>
      </c>
      <c r="P47" s="77"/>
      <c r="Q47" s="49"/>
      <c r="R47" s="78"/>
      <c r="S47" s="79"/>
      <c r="T47" s="82"/>
      <c r="U47" s="81"/>
      <c r="V47" s="81"/>
      <c r="W47" s="81"/>
      <c r="X47" s="81"/>
      <c r="Y47" s="81"/>
      <c r="Z47" s="81"/>
      <c r="AA47" s="81"/>
      <c r="AB47" s="81"/>
    </row>
    <row r="48" spans="1:28" ht="15.75" x14ac:dyDescent="0.25">
      <c r="A48" s="34" t="s">
        <v>241</v>
      </c>
      <c r="B48" s="74" t="s">
        <v>17</v>
      </c>
      <c r="C48" s="24">
        <v>45728</v>
      </c>
      <c r="D48" s="20">
        <v>0.34236111111111112</v>
      </c>
      <c r="E48" s="24">
        <v>45728</v>
      </c>
      <c r="F48" s="20">
        <v>0.57152777777777775</v>
      </c>
      <c r="G48" s="87">
        <v>114.8</v>
      </c>
      <c r="H48" s="75">
        <v>1</v>
      </c>
      <c r="I48" s="75">
        <v>117.8</v>
      </c>
      <c r="J48" s="74">
        <v>117.6</v>
      </c>
      <c r="K48" s="20" t="s">
        <v>17</v>
      </c>
      <c r="L48" s="107" t="s">
        <v>242</v>
      </c>
      <c r="M48" s="61" t="s">
        <v>20</v>
      </c>
      <c r="N48" s="76">
        <f t="shared" si="0"/>
        <v>2.7999999999999972</v>
      </c>
      <c r="O48" s="77" t="s">
        <v>19</v>
      </c>
      <c r="P48" s="77"/>
      <c r="Q48" s="83"/>
      <c r="R48" s="78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 spans="1:28" ht="15.75" customHeight="1" x14ac:dyDescent="0.25">
      <c r="A49" s="34" t="s">
        <v>243</v>
      </c>
      <c r="B49" s="74" t="s">
        <v>17</v>
      </c>
      <c r="C49" s="24">
        <v>45728</v>
      </c>
      <c r="D49" s="20">
        <v>0.35972222222222222</v>
      </c>
      <c r="E49" s="24">
        <v>45728</v>
      </c>
      <c r="F49" s="20">
        <v>0.57361111111111107</v>
      </c>
      <c r="G49" s="87">
        <v>114.6</v>
      </c>
      <c r="H49" s="75">
        <v>1</v>
      </c>
      <c r="I49" s="87">
        <v>117.9</v>
      </c>
      <c r="J49" s="87">
        <v>117.6</v>
      </c>
      <c r="K49" s="20" t="s">
        <v>17</v>
      </c>
      <c r="L49" s="104" t="s">
        <v>244</v>
      </c>
      <c r="M49" s="61" t="s">
        <v>20</v>
      </c>
      <c r="N49" s="76">
        <f t="shared" si="0"/>
        <v>3</v>
      </c>
      <c r="O49" s="77" t="s">
        <v>19</v>
      </c>
      <c r="P49" s="77"/>
      <c r="Q49" s="88"/>
      <c r="R49" s="78"/>
      <c r="S49" s="84"/>
      <c r="T49" s="84"/>
      <c r="U49" s="84"/>
      <c r="V49" s="84"/>
      <c r="W49" s="84"/>
      <c r="X49" s="84"/>
      <c r="Y49" s="84"/>
      <c r="Z49" s="84"/>
      <c r="AA49" s="84"/>
      <c r="AB49" s="84"/>
    </row>
    <row r="50" spans="1:28" ht="15.75" customHeight="1" x14ac:dyDescent="0.25">
      <c r="A50" s="34" t="s">
        <v>245</v>
      </c>
      <c r="B50" s="74" t="s">
        <v>17</v>
      </c>
      <c r="C50" s="24">
        <v>45728</v>
      </c>
      <c r="D50" s="59">
        <v>0.37638888888888888</v>
      </c>
      <c r="E50" s="24">
        <v>45728</v>
      </c>
      <c r="F50" s="20">
        <v>0.57708333333333328</v>
      </c>
      <c r="G50" s="87">
        <v>114.4</v>
      </c>
      <c r="H50" s="75">
        <v>1</v>
      </c>
      <c r="I50" s="74">
        <v>117</v>
      </c>
      <c r="J50" s="74">
        <v>116.8</v>
      </c>
      <c r="K50" s="20" t="s">
        <v>17</v>
      </c>
      <c r="L50" s="107" t="s">
        <v>246</v>
      </c>
      <c r="M50" s="61" t="s">
        <v>20</v>
      </c>
      <c r="N50" s="76">
        <f t="shared" si="0"/>
        <v>2.3999999999999915</v>
      </c>
      <c r="O50" s="77" t="s">
        <v>19</v>
      </c>
      <c r="P50" s="77"/>
      <c r="Q50" s="88"/>
      <c r="R50" s="78"/>
      <c r="S50" s="84"/>
      <c r="T50" s="84"/>
      <c r="U50" s="84"/>
      <c r="V50" s="84"/>
      <c r="W50" s="84"/>
      <c r="X50" s="84"/>
      <c r="Y50" s="84"/>
      <c r="Z50" s="84"/>
      <c r="AA50" s="84"/>
      <c r="AB50" s="84"/>
    </row>
    <row r="51" spans="1:28" ht="15.75" customHeight="1" x14ac:dyDescent="0.25">
      <c r="A51" s="34" t="s">
        <v>247</v>
      </c>
      <c r="B51" s="74" t="s">
        <v>17</v>
      </c>
      <c r="C51" s="24">
        <v>45728</v>
      </c>
      <c r="D51" s="59">
        <v>0.38750000000000001</v>
      </c>
      <c r="E51" s="24">
        <v>45728</v>
      </c>
      <c r="F51" s="20">
        <v>0.57777777777777772</v>
      </c>
      <c r="G51" s="87">
        <v>114.4</v>
      </c>
      <c r="H51" s="75">
        <v>1</v>
      </c>
      <c r="I51" s="74">
        <v>116.3</v>
      </c>
      <c r="J51" s="74">
        <v>116.4</v>
      </c>
      <c r="K51" s="20" t="s">
        <v>17</v>
      </c>
      <c r="L51" s="107" t="s">
        <v>236</v>
      </c>
      <c r="M51" s="61" t="s">
        <v>20</v>
      </c>
      <c r="N51" s="76">
        <f t="shared" si="0"/>
        <v>2</v>
      </c>
      <c r="O51" s="77" t="s">
        <v>19</v>
      </c>
      <c r="P51" s="77"/>
      <c r="Q51" s="88"/>
      <c r="R51" s="78"/>
      <c r="S51" s="84"/>
      <c r="T51" s="84"/>
      <c r="U51" s="84"/>
      <c r="V51" s="84"/>
      <c r="W51" s="84"/>
      <c r="X51" s="84"/>
      <c r="Y51" s="84"/>
      <c r="Z51" s="84"/>
      <c r="AA51" s="84"/>
      <c r="AB51" s="84"/>
    </row>
    <row r="52" spans="1:28" ht="15.75" customHeight="1" x14ac:dyDescent="0.25">
      <c r="A52" s="34" t="s">
        <v>248</v>
      </c>
      <c r="B52" s="74" t="s">
        <v>17</v>
      </c>
      <c r="C52" s="24">
        <v>45728</v>
      </c>
      <c r="D52" s="20">
        <v>0.41041666666666665</v>
      </c>
      <c r="E52" s="24">
        <v>45728</v>
      </c>
      <c r="F52" s="54">
        <v>0.57986111111111116</v>
      </c>
      <c r="G52" s="87">
        <v>115.7</v>
      </c>
      <c r="H52" s="75">
        <v>1</v>
      </c>
      <c r="I52" s="75">
        <v>119.8</v>
      </c>
      <c r="J52" s="108">
        <v>119.5</v>
      </c>
      <c r="K52" s="108">
        <v>119.5</v>
      </c>
      <c r="L52" s="107" t="s">
        <v>249</v>
      </c>
      <c r="M52" s="61" t="s">
        <v>20</v>
      </c>
      <c r="N52" s="76">
        <f>(K52-G52)/I52</f>
        <v>3.1719532554257072E-2</v>
      </c>
      <c r="O52" s="77" t="s">
        <v>19</v>
      </c>
      <c r="P52" s="77"/>
      <c r="Q52" s="88"/>
      <c r="R52" s="78"/>
      <c r="S52" s="84"/>
      <c r="T52" s="84"/>
      <c r="U52" s="84"/>
      <c r="V52" s="84"/>
      <c r="W52" s="84"/>
      <c r="X52" s="84"/>
      <c r="Y52" s="84"/>
      <c r="Z52" s="84"/>
      <c r="AA52" s="84"/>
      <c r="AB52" s="84"/>
    </row>
    <row r="53" spans="1:28" ht="15.75" customHeight="1" x14ac:dyDescent="0.25">
      <c r="A53" s="34" t="s">
        <v>250</v>
      </c>
      <c r="B53" s="74" t="s">
        <v>17</v>
      </c>
      <c r="C53" s="24">
        <v>45728</v>
      </c>
      <c r="D53" s="20">
        <v>0.43402777777777779</v>
      </c>
      <c r="E53" s="24">
        <v>45728</v>
      </c>
      <c r="F53" s="109">
        <v>0.58333333333333337</v>
      </c>
      <c r="G53" s="87">
        <v>113.4</v>
      </c>
      <c r="H53" s="75">
        <v>1</v>
      </c>
      <c r="I53" s="108">
        <v>117</v>
      </c>
      <c r="J53" s="108">
        <v>116.8</v>
      </c>
      <c r="K53" s="20" t="s">
        <v>17</v>
      </c>
      <c r="L53" s="107" t="s">
        <v>251</v>
      </c>
      <c r="M53" s="61" t="s">
        <v>20</v>
      </c>
      <c r="N53" s="76">
        <f t="shared" ref="N53:N58" si="1">(J53-G53)/H53</f>
        <v>3.3999999999999915</v>
      </c>
      <c r="O53" s="77" t="s">
        <v>19</v>
      </c>
      <c r="P53" s="77"/>
      <c r="Q53" s="88"/>
      <c r="R53" s="78"/>
      <c r="S53" s="84"/>
      <c r="T53" s="84"/>
      <c r="U53" s="84"/>
      <c r="V53" s="84"/>
      <c r="W53" s="84"/>
      <c r="X53" s="84"/>
      <c r="Y53" s="84"/>
      <c r="Z53" s="84"/>
      <c r="AA53" s="84"/>
      <c r="AB53" s="84"/>
    </row>
    <row r="54" spans="1:28" ht="15.75" customHeight="1" x14ac:dyDescent="0.25">
      <c r="A54" s="34" t="s">
        <v>252</v>
      </c>
      <c r="B54" s="74" t="s">
        <v>17</v>
      </c>
      <c r="C54" s="24">
        <v>45728</v>
      </c>
      <c r="D54" s="20">
        <v>0.44930555555555557</v>
      </c>
      <c r="E54" s="24">
        <v>45728</v>
      </c>
      <c r="F54" s="20">
        <v>0.58402777777777781</v>
      </c>
      <c r="G54" s="87">
        <v>114.6</v>
      </c>
      <c r="H54" s="75">
        <v>1</v>
      </c>
      <c r="I54" s="75">
        <v>118</v>
      </c>
      <c r="J54" s="75">
        <v>118.1</v>
      </c>
      <c r="K54" s="20" t="s">
        <v>17</v>
      </c>
      <c r="L54" s="107" t="s">
        <v>253</v>
      </c>
      <c r="M54" s="61" t="s">
        <v>20</v>
      </c>
      <c r="N54" s="76">
        <f t="shared" si="1"/>
        <v>3.5</v>
      </c>
      <c r="O54" s="77" t="s">
        <v>19</v>
      </c>
      <c r="P54" s="75"/>
      <c r="Q54" s="75"/>
      <c r="R54" s="110"/>
      <c r="S54" s="84"/>
      <c r="T54" s="84"/>
      <c r="U54" s="84"/>
      <c r="V54" s="84"/>
      <c r="W54" s="84"/>
      <c r="X54" s="84"/>
      <c r="Y54" s="84"/>
      <c r="Z54" s="84"/>
      <c r="AA54" s="84"/>
      <c r="AB54" s="84"/>
    </row>
    <row r="55" spans="1:28" ht="15.75" customHeight="1" x14ac:dyDescent="0.25">
      <c r="A55" s="34" t="s">
        <v>254</v>
      </c>
      <c r="B55" s="74" t="s">
        <v>17</v>
      </c>
      <c r="C55" s="24">
        <v>45755</v>
      </c>
      <c r="D55" s="20">
        <v>0.34027777777777779</v>
      </c>
      <c r="E55" s="19">
        <v>45756</v>
      </c>
      <c r="F55" s="20">
        <v>0.39513888888888887</v>
      </c>
      <c r="G55" s="87">
        <v>115.1</v>
      </c>
      <c r="H55" s="75">
        <v>1</v>
      </c>
      <c r="I55" s="75">
        <v>121.4</v>
      </c>
      <c r="J55" s="75">
        <v>121.7</v>
      </c>
      <c r="K55" s="20" t="s">
        <v>17</v>
      </c>
      <c r="L55" s="107" t="s">
        <v>255</v>
      </c>
      <c r="M55" s="61" t="s">
        <v>138</v>
      </c>
      <c r="N55" s="76">
        <f t="shared" si="1"/>
        <v>6.6000000000000085</v>
      </c>
      <c r="O55" s="77" t="s">
        <v>19</v>
      </c>
      <c r="P55" s="75"/>
      <c r="Q55" s="75"/>
      <c r="R55" s="110"/>
      <c r="S55" s="84"/>
      <c r="T55" s="84"/>
      <c r="U55" s="84"/>
      <c r="V55" s="84"/>
      <c r="W55" s="84"/>
      <c r="X55" s="84"/>
      <c r="Y55" s="84"/>
      <c r="Z55" s="84"/>
      <c r="AA55" s="84"/>
      <c r="AB55" s="84"/>
    </row>
    <row r="56" spans="1:28" ht="15.75" customHeight="1" x14ac:dyDescent="0.25">
      <c r="A56" s="34" t="s">
        <v>256</v>
      </c>
      <c r="B56" s="74" t="s">
        <v>17</v>
      </c>
      <c r="C56" s="24">
        <v>45755</v>
      </c>
      <c r="D56" s="20">
        <v>0.35625000000000001</v>
      </c>
      <c r="E56" s="19">
        <v>45756</v>
      </c>
      <c r="F56" s="20">
        <v>0.39513888888888887</v>
      </c>
      <c r="G56" s="87">
        <v>114.7</v>
      </c>
      <c r="H56" s="75">
        <v>1</v>
      </c>
      <c r="I56" s="75">
        <v>120.9</v>
      </c>
      <c r="J56" s="75">
        <v>120.7</v>
      </c>
      <c r="K56" s="20" t="s">
        <v>17</v>
      </c>
      <c r="L56" s="107" t="s">
        <v>257</v>
      </c>
      <c r="M56" s="61" t="s">
        <v>138</v>
      </c>
      <c r="N56" s="76">
        <f t="shared" si="1"/>
        <v>6</v>
      </c>
      <c r="O56" s="77" t="s">
        <v>19</v>
      </c>
      <c r="P56" s="75"/>
      <c r="Q56" s="75"/>
      <c r="R56" s="110"/>
      <c r="S56" s="84"/>
      <c r="T56" s="84"/>
      <c r="U56" s="84"/>
      <c r="V56" s="84"/>
      <c r="W56" s="84"/>
      <c r="X56" s="84"/>
      <c r="Y56" s="84"/>
      <c r="Z56" s="84"/>
      <c r="AA56" s="84"/>
      <c r="AB56" s="84"/>
    </row>
    <row r="57" spans="1:28" ht="15.75" customHeight="1" x14ac:dyDescent="0.25">
      <c r="A57" s="34" t="s">
        <v>258</v>
      </c>
      <c r="B57" s="74" t="s">
        <v>17</v>
      </c>
      <c r="C57" s="24">
        <v>45755</v>
      </c>
      <c r="D57" s="20">
        <v>0.48541666666666666</v>
      </c>
      <c r="E57" s="19">
        <v>45756</v>
      </c>
      <c r="F57" s="20">
        <v>0.39513888888888887</v>
      </c>
      <c r="G57" s="87">
        <v>114.1</v>
      </c>
      <c r="H57" s="75">
        <v>1</v>
      </c>
      <c r="I57" s="75">
        <v>121.2</v>
      </c>
      <c r="J57" s="75">
        <v>121</v>
      </c>
      <c r="K57" s="20" t="s">
        <v>17</v>
      </c>
      <c r="L57" s="107" t="s">
        <v>259</v>
      </c>
      <c r="M57" s="61" t="s">
        <v>138</v>
      </c>
      <c r="N57" s="76">
        <f t="shared" si="1"/>
        <v>6.9000000000000057</v>
      </c>
      <c r="O57" s="77" t="s">
        <v>19</v>
      </c>
      <c r="P57" s="75"/>
      <c r="Q57" s="75"/>
      <c r="R57" s="110"/>
      <c r="S57" s="84"/>
      <c r="T57" s="84"/>
      <c r="U57" s="84"/>
      <c r="V57" s="84"/>
      <c r="W57" s="84"/>
      <c r="X57" s="84"/>
      <c r="Y57" s="84"/>
      <c r="Z57" s="84"/>
      <c r="AA57" s="84"/>
      <c r="AB57" s="84"/>
    </row>
    <row r="58" spans="1:28" ht="15.75" customHeight="1" x14ac:dyDescent="0.25">
      <c r="A58" s="34" t="s">
        <v>260</v>
      </c>
      <c r="B58" s="74" t="s">
        <v>17</v>
      </c>
      <c r="C58" s="24">
        <v>45755</v>
      </c>
      <c r="D58" s="20">
        <v>0.51249999999999996</v>
      </c>
      <c r="E58" s="19">
        <v>45756</v>
      </c>
      <c r="F58" s="20">
        <v>0.39513888888888887</v>
      </c>
      <c r="G58" s="87">
        <v>114.1</v>
      </c>
      <c r="H58" s="75">
        <v>1</v>
      </c>
      <c r="I58" s="75">
        <v>120.5</v>
      </c>
      <c r="J58" s="75">
        <v>120.8</v>
      </c>
      <c r="K58" s="20" t="s">
        <v>17</v>
      </c>
      <c r="L58" s="107" t="s">
        <v>261</v>
      </c>
      <c r="M58" s="61" t="s">
        <v>138</v>
      </c>
      <c r="N58" s="76">
        <f t="shared" si="1"/>
        <v>6.7000000000000028</v>
      </c>
      <c r="O58" s="77" t="s">
        <v>19</v>
      </c>
      <c r="P58" s="75"/>
      <c r="Q58" s="75"/>
      <c r="R58" s="110"/>
      <c r="S58" s="84"/>
      <c r="T58" s="84"/>
      <c r="U58" s="84"/>
      <c r="V58" s="84"/>
      <c r="W58" s="84"/>
      <c r="X58" s="84"/>
      <c r="Y58" s="84"/>
      <c r="Z58" s="84"/>
      <c r="AA58" s="84"/>
      <c r="AB58" s="84"/>
    </row>
    <row r="59" spans="1:28" ht="15.75" customHeight="1" x14ac:dyDescent="0.25">
      <c r="A59" s="110"/>
      <c r="B59" s="110"/>
      <c r="C59" s="110"/>
      <c r="D59" s="111"/>
      <c r="E59" s="110"/>
      <c r="F59" s="111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84"/>
      <c r="T59" s="84"/>
      <c r="U59" s="84"/>
      <c r="V59" s="84"/>
      <c r="W59" s="84"/>
      <c r="X59" s="84"/>
      <c r="Y59" s="84"/>
      <c r="Z59" s="84"/>
      <c r="AA59" s="84"/>
      <c r="AB59" s="84"/>
    </row>
    <row r="60" spans="1:28" ht="15.75" customHeight="1" x14ac:dyDescent="0.25">
      <c r="A60" s="110"/>
      <c r="B60" s="110"/>
      <c r="C60" s="110"/>
      <c r="D60" s="111"/>
      <c r="E60" s="110"/>
      <c r="F60" s="111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84"/>
      <c r="T60" s="84"/>
      <c r="U60" s="84"/>
      <c r="V60" s="84"/>
      <c r="W60" s="84"/>
      <c r="X60" s="84"/>
      <c r="Y60" s="84"/>
      <c r="Z60" s="84"/>
      <c r="AA60" s="84"/>
      <c r="AB60" s="84"/>
    </row>
    <row r="61" spans="1:28" ht="15.75" customHeight="1" x14ac:dyDescent="0.25">
      <c r="A61" s="110"/>
      <c r="B61" s="110"/>
      <c r="C61" s="110"/>
      <c r="D61" s="111"/>
      <c r="E61" s="110"/>
      <c r="F61" s="111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84"/>
      <c r="T61" s="84"/>
      <c r="U61" s="84"/>
      <c r="V61" s="84"/>
      <c r="W61" s="84"/>
      <c r="X61" s="84"/>
      <c r="Y61" s="84"/>
      <c r="Z61" s="84"/>
      <c r="AA61" s="84"/>
      <c r="AB61" s="84"/>
    </row>
    <row r="62" spans="1:28" ht="15.75" customHeight="1" x14ac:dyDescent="0.25">
      <c r="A62" s="110"/>
      <c r="B62" s="110"/>
      <c r="C62" s="110"/>
      <c r="D62" s="111"/>
      <c r="E62" s="110"/>
      <c r="F62" s="111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 spans="1:28" ht="15.75" customHeight="1" x14ac:dyDescent="0.25">
      <c r="A63" s="110"/>
      <c r="B63" s="110"/>
      <c r="C63" s="110"/>
      <c r="D63" s="111"/>
      <c r="E63" s="110"/>
      <c r="F63" s="111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 spans="1:28" ht="15.75" customHeight="1" x14ac:dyDescent="0.25">
      <c r="A64" s="110"/>
      <c r="B64" s="110"/>
      <c r="C64" s="110"/>
      <c r="D64" s="111"/>
      <c r="E64" s="110"/>
      <c r="F64" s="111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84"/>
      <c r="T64" s="84"/>
      <c r="U64" s="84"/>
      <c r="V64" s="84"/>
      <c r="W64" s="84"/>
      <c r="X64" s="84"/>
      <c r="Y64" s="84"/>
      <c r="Z64" s="84"/>
      <c r="AA64" s="84"/>
      <c r="AB64" s="84"/>
    </row>
    <row r="65" spans="1:28" ht="15.75" customHeight="1" x14ac:dyDescent="0.25">
      <c r="A65" s="110"/>
      <c r="B65" s="110"/>
      <c r="C65" s="110"/>
      <c r="D65" s="111"/>
      <c r="E65" s="110"/>
      <c r="F65" s="111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84"/>
      <c r="T65" s="84"/>
      <c r="U65" s="84"/>
      <c r="V65" s="84"/>
      <c r="W65" s="84"/>
      <c r="X65" s="84"/>
      <c r="Y65" s="84"/>
      <c r="Z65" s="84"/>
      <c r="AA65" s="84"/>
      <c r="AB65" s="84"/>
    </row>
    <row r="66" spans="1:28" ht="15.75" customHeight="1" x14ac:dyDescent="0.25">
      <c r="A66" s="110"/>
      <c r="B66" s="110"/>
      <c r="C66" s="110"/>
      <c r="D66" s="111"/>
      <c r="E66" s="110"/>
      <c r="F66" s="111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 spans="1:28" ht="15.75" customHeight="1" x14ac:dyDescent="0.25">
      <c r="A67" s="110"/>
      <c r="B67" s="110"/>
      <c r="C67" s="110"/>
      <c r="D67" s="111"/>
      <c r="E67" s="110"/>
      <c r="F67" s="111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84"/>
      <c r="T67" s="84"/>
      <c r="U67" s="84"/>
      <c r="V67" s="84"/>
      <c r="W67" s="84"/>
      <c r="X67" s="84"/>
      <c r="Y67" s="84"/>
      <c r="Z67" s="84"/>
      <c r="AA67" s="84"/>
      <c r="AB67" s="84"/>
    </row>
    <row r="68" spans="1:28" ht="15.75" customHeight="1" x14ac:dyDescent="0.25">
      <c r="A68" s="110"/>
      <c r="B68" s="110"/>
      <c r="C68" s="110"/>
      <c r="D68" s="111"/>
      <c r="E68" s="110"/>
      <c r="F68" s="111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84"/>
      <c r="T68" s="84"/>
      <c r="U68" s="84"/>
      <c r="V68" s="84"/>
      <c r="W68" s="84"/>
      <c r="X68" s="84"/>
      <c r="Y68" s="84"/>
      <c r="Z68" s="84"/>
      <c r="AA68" s="84"/>
      <c r="AB68" s="84"/>
    </row>
    <row r="69" spans="1:28" ht="15.75" customHeight="1" x14ac:dyDescent="0.25">
      <c r="A69" s="110"/>
      <c r="B69" s="110"/>
      <c r="C69" s="110"/>
      <c r="D69" s="111"/>
      <c r="E69" s="110"/>
      <c r="F69" s="111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84"/>
      <c r="T69" s="84"/>
      <c r="U69" s="84"/>
      <c r="V69" s="84"/>
      <c r="W69" s="84"/>
      <c r="X69" s="84"/>
      <c r="Y69" s="84"/>
      <c r="Z69" s="84"/>
      <c r="AA69" s="84"/>
      <c r="AB69" s="84"/>
    </row>
    <row r="70" spans="1:28" ht="15.75" customHeight="1" x14ac:dyDescent="0.25">
      <c r="A70" s="110"/>
      <c r="B70" s="110"/>
      <c r="C70" s="110"/>
      <c r="D70" s="111"/>
      <c r="E70" s="110"/>
      <c r="F70" s="111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84"/>
      <c r="T70" s="84"/>
      <c r="U70" s="84"/>
      <c r="V70" s="84"/>
      <c r="W70" s="84"/>
      <c r="X70" s="84"/>
      <c r="Y70" s="84"/>
      <c r="Z70" s="84"/>
      <c r="AA70" s="84"/>
      <c r="AB70" s="84"/>
    </row>
    <row r="71" spans="1:28" ht="15.75" customHeight="1" x14ac:dyDescent="0.25">
      <c r="A71" s="110"/>
      <c r="B71" s="110"/>
      <c r="C71" s="110"/>
      <c r="D71" s="111"/>
      <c r="E71" s="110"/>
      <c r="F71" s="111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84"/>
      <c r="T71" s="84"/>
      <c r="U71" s="84"/>
      <c r="V71" s="84"/>
      <c r="W71" s="84"/>
      <c r="X71" s="84"/>
      <c r="Y71" s="84"/>
      <c r="Z71" s="84"/>
      <c r="AA71" s="84"/>
      <c r="AB71" s="84"/>
    </row>
    <row r="72" spans="1:28" ht="15.75" customHeight="1" x14ac:dyDescent="0.25">
      <c r="A72" s="110"/>
      <c r="B72" s="110"/>
      <c r="C72" s="110"/>
      <c r="D72" s="111"/>
      <c r="E72" s="110"/>
      <c r="F72" s="111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84"/>
      <c r="T72" s="84"/>
      <c r="U72" s="84"/>
      <c r="V72" s="84"/>
      <c r="W72" s="84"/>
      <c r="X72" s="84"/>
      <c r="Y72" s="84"/>
      <c r="Z72" s="84"/>
      <c r="AA72" s="84"/>
      <c r="AB72" s="84"/>
    </row>
    <row r="73" spans="1:28" ht="15.75" customHeight="1" x14ac:dyDescent="0.25">
      <c r="A73" s="110"/>
      <c r="B73" s="110"/>
      <c r="C73" s="110"/>
      <c r="D73" s="111"/>
      <c r="E73" s="110"/>
      <c r="F73" s="111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84"/>
      <c r="T73" s="84"/>
      <c r="U73" s="84"/>
      <c r="V73" s="84"/>
      <c r="W73" s="84"/>
      <c r="X73" s="84"/>
      <c r="Y73" s="84"/>
      <c r="Z73" s="84"/>
      <c r="AA73" s="84"/>
      <c r="AB73" s="84"/>
    </row>
    <row r="74" spans="1:28" ht="15.75" customHeight="1" x14ac:dyDescent="0.25">
      <c r="A74" s="110"/>
      <c r="B74" s="110"/>
      <c r="C74" s="110"/>
      <c r="D74" s="111"/>
      <c r="E74" s="110"/>
      <c r="F74" s="111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84"/>
      <c r="T74" s="84"/>
      <c r="U74" s="84"/>
      <c r="V74" s="84"/>
      <c r="W74" s="84"/>
      <c r="X74" s="84"/>
      <c r="Y74" s="84"/>
      <c r="Z74" s="84"/>
      <c r="AA74" s="84"/>
      <c r="AB74" s="84"/>
    </row>
    <row r="75" spans="1:28" ht="15.75" customHeight="1" x14ac:dyDescent="0.25">
      <c r="A75" s="110"/>
      <c r="B75" s="110"/>
      <c r="C75" s="110"/>
      <c r="D75" s="111"/>
      <c r="E75" s="110"/>
      <c r="F75" s="111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 spans="1:28" ht="15.75" customHeight="1" x14ac:dyDescent="0.25">
      <c r="A76" s="110"/>
      <c r="B76" s="110"/>
      <c r="C76" s="110"/>
      <c r="D76" s="111"/>
      <c r="E76" s="110"/>
      <c r="F76" s="111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84"/>
      <c r="T76" s="84"/>
      <c r="U76" s="84"/>
      <c r="V76" s="84"/>
      <c r="W76" s="84"/>
      <c r="X76" s="84"/>
      <c r="Y76" s="84"/>
      <c r="Z76" s="84"/>
      <c r="AA76" s="84"/>
      <c r="AB76" s="84"/>
    </row>
    <row r="77" spans="1:28" ht="15.75" customHeight="1" x14ac:dyDescent="0.25">
      <c r="A77" s="110"/>
      <c r="B77" s="110"/>
      <c r="C77" s="110"/>
      <c r="D77" s="111"/>
      <c r="E77" s="110"/>
      <c r="F77" s="111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84"/>
      <c r="T77" s="84"/>
      <c r="U77" s="84"/>
      <c r="V77" s="84"/>
      <c r="W77" s="84"/>
      <c r="X77" s="84"/>
      <c r="Y77" s="84"/>
      <c r="Z77" s="84"/>
      <c r="AA77" s="84"/>
      <c r="AB77" s="84"/>
    </row>
    <row r="78" spans="1:28" ht="15.75" customHeight="1" x14ac:dyDescent="0.25">
      <c r="A78" s="110"/>
      <c r="B78" s="110"/>
      <c r="C78" s="110"/>
      <c r="D78" s="111"/>
      <c r="E78" s="110"/>
      <c r="F78" s="111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84"/>
      <c r="T78" s="84"/>
      <c r="U78" s="84"/>
      <c r="V78" s="84"/>
      <c r="W78" s="84"/>
      <c r="X78" s="84"/>
      <c r="Y78" s="84"/>
      <c r="Z78" s="84"/>
      <c r="AA78" s="84"/>
      <c r="AB78" s="84"/>
    </row>
    <row r="79" spans="1:28" ht="15.75" customHeight="1" x14ac:dyDescent="0.25">
      <c r="A79" s="110"/>
      <c r="B79" s="110"/>
      <c r="C79" s="110"/>
      <c r="D79" s="111"/>
      <c r="E79" s="110"/>
      <c r="F79" s="111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84"/>
      <c r="T79" s="84"/>
      <c r="U79" s="84"/>
      <c r="V79" s="84"/>
      <c r="W79" s="84"/>
      <c r="X79" s="84"/>
      <c r="Y79" s="84"/>
      <c r="Z79" s="84"/>
      <c r="AA79" s="84"/>
      <c r="AB79" s="84"/>
    </row>
    <row r="80" spans="1:28" ht="15.75" customHeight="1" x14ac:dyDescent="0.25">
      <c r="A80" s="110"/>
      <c r="B80" s="110"/>
      <c r="C80" s="110"/>
      <c r="D80" s="111"/>
      <c r="E80" s="110"/>
      <c r="F80" s="111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84"/>
      <c r="T80" s="84"/>
      <c r="U80" s="84"/>
      <c r="V80" s="84"/>
      <c r="W80" s="84"/>
      <c r="X80" s="84"/>
      <c r="Y80" s="84"/>
      <c r="Z80" s="84"/>
      <c r="AA80" s="84"/>
      <c r="AB80" s="84"/>
    </row>
    <row r="81" spans="1:28" ht="15.75" customHeight="1" x14ac:dyDescent="0.25">
      <c r="A81" s="110"/>
      <c r="B81" s="110"/>
      <c r="C81" s="110"/>
      <c r="D81" s="111"/>
      <c r="E81" s="110"/>
      <c r="F81" s="111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84"/>
      <c r="T81" s="84"/>
      <c r="U81" s="84"/>
      <c r="V81" s="84"/>
      <c r="W81" s="84"/>
      <c r="X81" s="84"/>
      <c r="Y81" s="84"/>
      <c r="Z81" s="84"/>
      <c r="AA81" s="84"/>
      <c r="AB81" s="84"/>
    </row>
    <row r="82" spans="1:28" ht="15.75" customHeight="1" x14ac:dyDescent="0.25">
      <c r="A82" s="110"/>
      <c r="B82" s="110"/>
      <c r="C82" s="110"/>
      <c r="D82" s="111"/>
      <c r="E82" s="110"/>
      <c r="F82" s="111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84"/>
      <c r="T82" s="84"/>
      <c r="U82" s="84"/>
      <c r="V82" s="84"/>
      <c r="W82" s="84"/>
      <c r="X82" s="84"/>
      <c r="Y82" s="84"/>
      <c r="Z82" s="84"/>
      <c r="AA82" s="84"/>
      <c r="AB82" s="84"/>
    </row>
    <row r="83" spans="1:28" ht="15.75" customHeight="1" x14ac:dyDescent="0.25">
      <c r="A83" s="110"/>
      <c r="B83" s="110"/>
      <c r="C83" s="110"/>
      <c r="D83" s="111"/>
      <c r="E83" s="110"/>
      <c r="F83" s="111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84"/>
      <c r="T83" s="84"/>
      <c r="U83" s="84"/>
      <c r="V83" s="84"/>
      <c r="W83" s="84"/>
      <c r="X83" s="84"/>
      <c r="Y83" s="84"/>
      <c r="Z83" s="84"/>
      <c r="AA83" s="84"/>
      <c r="AB83" s="84"/>
    </row>
    <row r="84" spans="1:28" ht="15.75" customHeight="1" x14ac:dyDescent="0.25">
      <c r="A84" s="110"/>
      <c r="B84" s="110"/>
      <c r="C84" s="110"/>
      <c r="D84" s="111"/>
      <c r="E84" s="110"/>
      <c r="F84" s="111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84"/>
      <c r="T84" s="84"/>
      <c r="U84" s="84"/>
      <c r="V84" s="84"/>
      <c r="W84" s="84"/>
      <c r="X84" s="84"/>
      <c r="Y84" s="84"/>
      <c r="Z84" s="84"/>
      <c r="AA84" s="84"/>
      <c r="AB84" s="84"/>
    </row>
    <row r="85" spans="1:28" ht="15.75" customHeight="1" x14ac:dyDescent="0.25">
      <c r="A85" s="110"/>
      <c r="B85" s="110"/>
      <c r="C85" s="110"/>
      <c r="D85" s="111"/>
      <c r="E85" s="110"/>
      <c r="F85" s="111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84"/>
      <c r="T85" s="84"/>
      <c r="U85" s="84"/>
      <c r="V85" s="84"/>
      <c r="W85" s="84"/>
      <c r="X85" s="84"/>
      <c r="Y85" s="84"/>
      <c r="Z85" s="84"/>
      <c r="AA85" s="84"/>
      <c r="AB85" s="84"/>
    </row>
    <row r="86" spans="1:28" ht="15.75" customHeight="1" x14ac:dyDescent="0.25">
      <c r="A86" s="110"/>
      <c r="B86" s="110"/>
      <c r="C86" s="110"/>
      <c r="D86" s="111"/>
      <c r="E86" s="110"/>
      <c r="F86" s="111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84"/>
      <c r="T86" s="84"/>
      <c r="U86" s="84"/>
      <c r="V86" s="84"/>
      <c r="W86" s="84"/>
      <c r="X86" s="84"/>
      <c r="Y86" s="84"/>
      <c r="Z86" s="84"/>
      <c r="AA86" s="84"/>
      <c r="AB86" s="84"/>
    </row>
    <row r="87" spans="1:28" ht="15.75" customHeight="1" x14ac:dyDescent="0.25">
      <c r="A87" s="110"/>
      <c r="B87" s="110"/>
      <c r="C87" s="110"/>
      <c r="D87" s="111"/>
      <c r="E87" s="110"/>
      <c r="F87" s="111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84"/>
      <c r="T87" s="84"/>
      <c r="U87" s="84"/>
      <c r="V87" s="84"/>
      <c r="W87" s="84"/>
      <c r="X87" s="84"/>
      <c r="Y87" s="84"/>
      <c r="Z87" s="84"/>
      <c r="AA87" s="84"/>
      <c r="AB87" s="84"/>
    </row>
    <row r="88" spans="1:28" ht="15.75" customHeight="1" x14ac:dyDescent="0.25">
      <c r="A88" s="110"/>
      <c r="B88" s="110"/>
      <c r="C88" s="110"/>
      <c r="D88" s="111"/>
      <c r="E88" s="110"/>
      <c r="F88" s="111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84"/>
      <c r="T88" s="84"/>
      <c r="U88" s="84"/>
      <c r="V88" s="84"/>
      <c r="W88" s="84"/>
      <c r="X88" s="84"/>
      <c r="Y88" s="84"/>
      <c r="Z88" s="84"/>
      <c r="AA88" s="84"/>
      <c r="AB88" s="84"/>
    </row>
    <row r="89" spans="1:28" ht="15.75" customHeight="1" x14ac:dyDescent="0.25">
      <c r="A89" s="110"/>
      <c r="B89" s="110"/>
      <c r="C89" s="110"/>
      <c r="D89" s="111"/>
      <c r="E89" s="110"/>
      <c r="F89" s="111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84"/>
      <c r="T89" s="84"/>
      <c r="U89" s="84"/>
      <c r="V89" s="84"/>
      <c r="W89" s="84"/>
      <c r="X89" s="84"/>
      <c r="Y89" s="84"/>
      <c r="Z89" s="84"/>
      <c r="AA89" s="84"/>
      <c r="AB89" s="84"/>
    </row>
    <row r="90" spans="1:28" ht="15.75" customHeight="1" x14ac:dyDescent="0.25">
      <c r="A90" s="110"/>
      <c r="B90" s="110"/>
      <c r="C90" s="110"/>
      <c r="D90" s="111"/>
      <c r="E90" s="110"/>
      <c r="F90" s="111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84"/>
      <c r="T90" s="84"/>
      <c r="U90" s="84"/>
      <c r="V90" s="84"/>
      <c r="W90" s="84"/>
      <c r="X90" s="84"/>
      <c r="Y90" s="84"/>
      <c r="Z90" s="84"/>
      <c r="AA90" s="84"/>
      <c r="AB90" s="84"/>
    </row>
    <row r="91" spans="1:28" ht="15.75" customHeight="1" x14ac:dyDescent="0.25">
      <c r="A91" s="110"/>
      <c r="B91" s="110"/>
      <c r="C91" s="110"/>
      <c r="D91" s="111"/>
      <c r="E91" s="110"/>
      <c r="F91" s="111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84"/>
      <c r="T91" s="84"/>
      <c r="U91" s="84"/>
      <c r="V91" s="84"/>
      <c r="W91" s="84"/>
      <c r="X91" s="84"/>
      <c r="Y91" s="84"/>
      <c r="Z91" s="84"/>
      <c r="AA91" s="84"/>
      <c r="AB91" s="84"/>
    </row>
    <row r="92" spans="1:28" ht="15.75" customHeight="1" x14ac:dyDescent="0.25">
      <c r="A92" s="110"/>
      <c r="B92" s="110"/>
      <c r="C92" s="110"/>
      <c r="D92" s="111"/>
      <c r="E92" s="110"/>
      <c r="F92" s="111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84"/>
      <c r="T92" s="84"/>
      <c r="U92" s="84"/>
      <c r="V92" s="84"/>
      <c r="W92" s="84"/>
      <c r="X92" s="84"/>
      <c r="Y92" s="84"/>
      <c r="Z92" s="84"/>
      <c r="AA92" s="84"/>
      <c r="AB92" s="84"/>
    </row>
    <row r="93" spans="1:28" ht="15.75" customHeight="1" x14ac:dyDescent="0.25">
      <c r="A93" s="110"/>
      <c r="B93" s="110"/>
      <c r="C93" s="110"/>
      <c r="D93" s="111"/>
      <c r="E93" s="110"/>
      <c r="F93" s="111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84"/>
      <c r="T93" s="84"/>
      <c r="U93" s="84"/>
      <c r="V93" s="84"/>
      <c r="W93" s="84"/>
      <c r="X93" s="84"/>
      <c r="Y93" s="84"/>
      <c r="Z93" s="84"/>
      <c r="AA93" s="84"/>
      <c r="AB93" s="84"/>
    </row>
    <row r="94" spans="1:28" ht="15.75" customHeight="1" x14ac:dyDescent="0.25">
      <c r="A94" s="110"/>
      <c r="B94" s="110"/>
      <c r="C94" s="110"/>
      <c r="D94" s="111"/>
      <c r="E94" s="110"/>
      <c r="F94" s="111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84"/>
      <c r="T94" s="84"/>
      <c r="U94" s="84"/>
      <c r="V94" s="84"/>
      <c r="W94" s="84"/>
      <c r="X94" s="84"/>
      <c r="Y94" s="84"/>
      <c r="Z94" s="84"/>
      <c r="AA94" s="84"/>
      <c r="AB94" s="84"/>
    </row>
    <row r="95" spans="1:28" ht="15.75" customHeight="1" x14ac:dyDescent="0.25">
      <c r="A95" s="110"/>
      <c r="B95" s="110"/>
      <c r="C95" s="110"/>
      <c r="D95" s="111"/>
      <c r="E95" s="110"/>
      <c r="F95" s="111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84"/>
      <c r="T95" s="84"/>
      <c r="U95" s="84"/>
      <c r="V95" s="84"/>
      <c r="W95" s="84"/>
      <c r="X95" s="84"/>
      <c r="Y95" s="84"/>
      <c r="Z95" s="84"/>
      <c r="AA95" s="84"/>
      <c r="AB95" s="84"/>
    </row>
    <row r="96" spans="1:28" ht="15.75" customHeight="1" x14ac:dyDescent="0.25">
      <c r="A96" s="110"/>
      <c r="B96" s="110"/>
      <c r="C96" s="110"/>
      <c r="D96" s="111"/>
      <c r="E96" s="110"/>
      <c r="F96" s="111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84"/>
      <c r="T96" s="84"/>
      <c r="U96" s="84"/>
      <c r="V96" s="84"/>
      <c r="W96" s="84"/>
      <c r="X96" s="84"/>
      <c r="Y96" s="84"/>
      <c r="Z96" s="84"/>
      <c r="AA96" s="84"/>
      <c r="AB96" s="84"/>
    </row>
    <row r="97" spans="1:28" ht="15.75" customHeight="1" x14ac:dyDescent="0.25">
      <c r="A97" s="110"/>
      <c r="B97" s="110"/>
      <c r="C97" s="110"/>
      <c r="D97" s="111"/>
      <c r="E97" s="110"/>
      <c r="F97" s="111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84"/>
      <c r="T97" s="84"/>
      <c r="U97" s="84"/>
      <c r="V97" s="84"/>
      <c r="W97" s="84"/>
      <c r="X97" s="84"/>
      <c r="Y97" s="84"/>
      <c r="Z97" s="84"/>
      <c r="AA97" s="84"/>
      <c r="AB97" s="84"/>
    </row>
    <row r="98" spans="1:28" ht="15.75" customHeight="1" x14ac:dyDescent="0.25">
      <c r="A98" s="110"/>
      <c r="B98" s="110"/>
      <c r="C98" s="110"/>
      <c r="D98" s="111"/>
      <c r="E98" s="110"/>
      <c r="F98" s="111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84"/>
      <c r="T98" s="84"/>
      <c r="U98" s="84"/>
      <c r="V98" s="84"/>
      <c r="W98" s="84"/>
      <c r="X98" s="84"/>
      <c r="Y98" s="84"/>
      <c r="Z98" s="84"/>
      <c r="AA98" s="84"/>
      <c r="AB98" s="84"/>
    </row>
    <row r="99" spans="1:28" ht="15.75" customHeight="1" x14ac:dyDescent="0.25">
      <c r="A99" s="110"/>
      <c r="B99" s="110"/>
      <c r="C99" s="110"/>
      <c r="D99" s="111"/>
      <c r="E99" s="110"/>
      <c r="F99" s="111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84"/>
      <c r="T99" s="84"/>
      <c r="U99" s="84"/>
      <c r="V99" s="84"/>
      <c r="W99" s="84"/>
      <c r="X99" s="84"/>
      <c r="Y99" s="84"/>
      <c r="Z99" s="84"/>
      <c r="AA99" s="84"/>
      <c r="AB99" s="84"/>
    </row>
    <row r="100" spans="1:28" ht="15.75" customHeight="1" x14ac:dyDescent="0.25">
      <c r="A100" s="110"/>
      <c r="B100" s="110"/>
      <c r="C100" s="110"/>
      <c r="D100" s="111"/>
      <c r="E100" s="110"/>
      <c r="F100" s="111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</row>
    <row r="101" spans="1:28" ht="15.75" customHeight="1" x14ac:dyDescent="0.25">
      <c r="A101" s="110"/>
      <c r="B101" s="110"/>
      <c r="C101" s="110"/>
      <c r="D101" s="111"/>
      <c r="E101" s="110"/>
      <c r="F101" s="111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</row>
    <row r="102" spans="1:28" ht="15.75" customHeight="1" x14ac:dyDescent="0.25">
      <c r="A102" s="110"/>
      <c r="B102" s="110"/>
      <c r="C102" s="110"/>
      <c r="D102" s="111"/>
      <c r="E102" s="110"/>
      <c r="F102" s="111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</row>
    <row r="103" spans="1:28" ht="15.75" customHeight="1" x14ac:dyDescent="0.25">
      <c r="A103" s="110"/>
      <c r="B103" s="110"/>
      <c r="C103" s="110"/>
      <c r="D103" s="111"/>
      <c r="E103" s="110"/>
      <c r="F103" s="111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</row>
    <row r="104" spans="1:28" ht="15.75" customHeight="1" x14ac:dyDescent="0.25">
      <c r="A104" s="110"/>
      <c r="B104" s="110"/>
      <c r="C104" s="110"/>
      <c r="D104" s="111"/>
      <c r="E104" s="110"/>
      <c r="F104" s="111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 spans="1:28" ht="15.75" customHeight="1" x14ac:dyDescent="0.25">
      <c r="A105" s="110"/>
      <c r="B105" s="110"/>
      <c r="C105" s="110"/>
      <c r="D105" s="111"/>
      <c r="E105" s="110"/>
      <c r="F105" s="111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</row>
    <row r="106" spans="1:28" ht="15.75" customHeight="1" x14ac:dyDescent="0.25">
      <c r="A106" s="110"/>
      <c r="B106" s="110"/>
      <c r="C106" s="110"/>
      <c r="D106" s="111"/>
      <c r="E106" s="110"/>
      <c r="F106" s="111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</row>
    <row r="107" spans="1:28" ht="15.75" customHeight="1" x14ac:dyDescent="0.25">
      <c r="A107" s="110"/>
      <c r="B107" s="110"/>
      <c r="C107" s="110"/>
      <c r="D107" s="111"/>
      <c r="E107" s="110"/>
      <c r="F107" s="111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</row>
    <row r="108" spans="1:28" ht="15.75" customHeight="1" x14ac:dyDescent="0.25">
      <c r="A108" s="110"/>
      <c r="B108" s="110"/>
      <c r="C108" s="110"/>
      <c r="D108" s="111"/>
      <c r="E108" s="110"/>
      <c r="F108" s="111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</row>
    <row r="109" spans="1:28" ht="15.75" customHeight="1" x14ac:dyDescent="0.25">
      <c r="A109" s="110"/>
      <c r="B109" s="110"/>
      <c r="C109" s="110"/>
      <c r="D109" s="111"/>
      <c r="E109" s="110"/>
      <c r="F109" s="111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</row>
    <row r="110" spans="1:28" ht="15.75" customHeight="1" x14ac:dyDescent="0.25">
      <c r="A110" s="110"/>
      <c r="B110" s="110"/>
      <c r="C110" s="110"/>
      <c r="D110" s="111"/>
      <c r="E110" s="110"/>
      <c r="F110" s="111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</row>
    <row r="111" spans="1:28" ht="15.75" customHeight="1" x14ac:dyDescent="0.25">
      <c r="A111" s="110"/>
      <c r="B111" s="110"/>
      <c r="C111" s="110"/>
      <c r="D111" s="111"/>
      <c r="E111" s="110"/>
      <c r="F111" s="111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</row>
    <row r="112" spans="1:28" ht="15.75" customHeight="1" x14ac:dyDescent="0.25">
      <c r="A112" s="110"/>
      <c r="B112" s="110"/>
      <c r="C112" s="110"/>
      <c r="D112" s="111"/>
      <c r="E112" s="110"/>
      <c r="F112" s="111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</row>
    <row r="113" spans="1:28" ht="15.75" customHeight="1" x14ac:dyDescent="0.25">
      <c r="A113" s="110"/>
      <c r="B113" s="110"/>
      <c r="C113" s="110"/>
      <c r="D113" s="111"/>
      <c r="E113" s="110"/>
      <c r="F113" s="111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</row>
    <row r="114" spans="1:28" ht="15.75" customHeight="1" x14ac:dyDescent="0.25">
      <c r="A114" s="110"/>
      <c r="B114" s="110"/>
      <c r="C114" s="110"/>
      <c r="D114" s="111"/>
      <c r="E114" s="110"/>
      <c r="F114" s="111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</row>
    <row r="115" spans="1:28" ht="15.75" customHeight="1" x14ac:dyDescent="0.25">
      <c r="A115" s="110"/>
      <c r="B115" s="110"/>
      <c r="C115" s="110"/>
      <c r="D115" s="111"/>
      <c r="E115" s="110"/>
      <c r="F115" s="111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</row>
    <row r="116" spans="1:28" ht="15.75" customHeight="1" x14ac:dyDescent="0.25">
      <c r="A116" s="110"/>
      <c r="B116" s="110"/>
      <c r="C116" s="110"/>
      <c r="D116" s="111"/>
      <c r="E116" s="110"/>
      <c r="F116" s="111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</row>
    <row r="117" spans="1:28" ht="15.75" customHeight="1" x14ac:dyDescent="0.25">
      <c r="A117" s="110"/>
      <c r="B117" s="110"/>
      <c r="C117" s="110"/>
      <c r="D117" s="111"/>
      <c r="E117" s="110"/>
      <c r="F117" s="111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</row>
    <row r="118" spans="1:28" ht="15.75" customHeight="1" x14ac:dyDescent="0.25">
      <c r="A118" s="110"/>
      <c r="B118" s="110"/>
      <c r="C118" s="110"/>
      <c r="D118" s="111"/>
      <c r="E118" s="110"/>
      <c r="F118" s="111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</row>
    <row r="119" spans="1:28" ht="15.75" customHeight="1" x14ac:dyDescent="0.25">
      <c r="A119" s="110"/>
      <c r="B119" s="110"/>
      <c r="C119" s="110"/>
      <c r="D119" s="111"/>
      <c r="E119" s="110"/>
      <c r="F119" s="111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</row>
    <row r="120" spans="1:28" ht="15.75" customHeight="1" x14ac:dyDescent="0.25">
      <c r="A120" s="110"/>
      <c r="B120" s="110"/>
      <c r="C120" s="110"/>
      <c r="D120" s="111"/>
      <c r="E120" s="110"/>
      <c r="F120" s="111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</row>
    <row r="121" spans="1:28" ht="15.75" customHeight="1" x14ac:dyDescent="0.25">
      <c r="A121" s="110"/>
      <c r="B121" s="110"/>
      <c r="C121" s="110"/>
      <c r="D121" s="111"/>
      <c r="E121" s="110"/>
      <c r="F121" s="111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</row>
    <row r="122" spans="1:28" ht="15.75" customHeight="1" x14ac:dyDescent="0.25">
      <c r="A122" s="110"/>
      <c r="B122" s="110"/>
      <c r="C122" s="110"/>
      <c r="D122" s="111"/>
      <c r="E122" s="110"/>
      <c r="F122" s="111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</row>
    <row r="123" spans="1:28" ht="15.75" customHeight="1" x14ac:dyDescent="0.25">
      <c r="A123" s="110"/>
      <c r="B123" s="110"/>
      <c r="C123" s="110"/>
      <c r="D123" s="111"/>
      <c r="E123" s="110"/>
      <c r="F123" s="111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</row>
    <row r="124" spans="1:28" ht="15.75" customHeight="1" x14ac:dyDescent="0.25">
      <c r="A124" s="110"/>
      <c r="B124" s="110"/>
      <c r="C124" s="110"/>
      <c r="D124" s="111"/>
      <c r="E124" s="110"/>
      <c r="F124" s="111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</row>
    <row r="125" spans="1:28" ht="15.75" customHeight="1" x14ac:dyDescent="0.25">
      <c r="A125" s="110"/>
      <c r="B125" s="110"/>
      <c r="C125" s="110"/>
      <c r="D125" s="111"/>
      <c r="E125" s="110"/>
      <c r="F125" s="111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</row>
    <row r="126" spans="1:28" ht="15.75" customHeight="1" x14ac:dyDescent="0.25">
      <c r="A126" s="110"/>
      <c r="B126" s="110"/>
      <c r="C126" s="110"/>
      <c r="D126" s="111"/>
      <c r="E126" s="110"/>
      <c r="F126" s="111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</row>
    <row r="127" spans="1:28" ht="15.75" customHeight="1" x14ac:dyDescent="0.25">
      <c r="A127" s="110"/>
      <c r="B127" s="110"/>
      <c r="C127" s="110"/>
      <c r="D127" s="111"/>
      <c r="E127" s="110"/>
      <c r="F127" s="111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</row>
    <row r="128" spans="1:28" ht="15.75" customHeight="1" x14ac:dyDescent="0.25">
      <c r="A128" s="110"/>
      <c r="B128" s="110"/>
      <c r="C128" s="110"/>
      <c r="D128" s="111"/>
      <c r="E128" s="110"/>
      <c r="F128" s="111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</row>
    <row r="129" spans="1:28" ht="15.75" customHeight="1" x14ac:dyDescent="0.25">
      <c r="A129" s="110"/>
      <c r="B129" s="110"/>
      <c r="C129" s="110"/>
      <c r="D129" s="111"/>
      <c r="E129" s="110"/>
      <c r="F129" s="111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</row>
    <row r="130" spans="1:28" ht="15.75" customHeight="1" x14ac:dyDescent="0.25">
      <c r="A130" s="110"/>
      <c r="B130" s="110"/>
      <c r="C130" s="110"/>
      <c r="D130" s="111"/>
      <c r="E130" s="110"/>
      <c r="F130" s="111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</row>
    <row r="131" spans="1:28" ht="15.75" customHeight="1" x14ac:dyDescent="0.25">
      <c r="A131" s="110"/>
      <c r="B131" s="110"/>
      <c r="C131" s="110"/>
      <c r="D131" s="111"/>
      <c r="E131" s="110"/>
      <c r="F131" s="111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</row>
    <row r="132" spans="1:28" ht="15.75" customHeight="1" x14ac:dyDescent="0.25">
      <c r="A132" s="110"/>
      <c r="B132" s="110"/>
      <c r="C132" s="110"/>
      <c r="D132" s="111"/>
      <c r="E132" s="110"/>
      <c r="F132" s="111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</row>
    <row r="133" spans="1:28" ht="15.75" customHeight="1" x14ac:dyDescent="0.25">
      <c r="A133" s="110"/>
      <c r="B133" s="110"/>
      <c r="C133" s="110"/>
      <c r="D133" s="111"/>
      <c r="E133" s="110"/>
      <c r="F133" s="111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</row>
    <row r="134" spans="1:28" ht="15.75" customHeight="1" x14ac:dyDescent="0.25">
      <c r="A134" s="110"/>
      <c r="B134" s="110"/>
      <c r="C134" s="110"/>
      <c r="D134" s="111"/>
      <c r="E134" s="110"/>
      <c r="F134" s="111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</row>
    <row r="135" spans="1:28" ht="15.75" customHeight="1" x14ac:dyDescent="0.25">
      <c r="A135" s="110"/>
      <c r="B135" s="110"/>
      <c r="C135" s="110"/>
      <c r="D135" s="111"/>
      <c r="E135" s="110"/>
      <c r="F135" s="111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</row>
    <row r="136" spans="1:28" ht="15.75" customHeight="1" x14ac:dyDescent="0.25">
      <c r="A136" s="110"/>
      <c r="B136" s="110"/>
      <c r="C136" s="110"/>
      <c r="D136" s="111"/>
      <c r="E136" s="110"/>
      <c r="F136" s="111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</row>
    <row r="137" spans="1:28" ht="15.75" customHeight="1" x14ac:dyDescent="0.25">
      <c r="A137" s="110"/>
      <c r="B137" s="112"/>
      <c r="C137" s="113"/>
      <c r="D137" s="111"/>
      <c r="E137" s="113"/>
      <c r="F137" s="111"/>
      <c r="G137" s="112"/>
      <c r="H137" s="110"/>
      <c r="I137" s="112"/>
      <c r="J137" s="112"/>
      <c r="K137" s="112"/>
      <c r="L137" s="114"/>
      <c r="M137" s="114"/>
      <c r="N137" s="112"/>
      <c r="O137" s="115"/>
      <c r="P137" s="115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</row>
    <row r="138" spans="1:28" ht="15.75" customHeight="1" x14ac:dyDescent="0.25">
      <c r="A138" s="110"/>
      <c r="B138" s="112"/>
      <c r="C138" s="113"/>
      <c r="D138" s="111"/>
      <c r="E138" s="113"/>
      <c r="F138" s="111"/>
      <c r="G138" s="112"/>
      <c r="H138" s="110"/>
      <c r="I138" s="112"/>
      <c r="J138" s="112"/>
      <c r="K138" s="112"/>
      <c r="L138" s="114"/>
      <c r="M138" s="114"/>
      <c r="N138" s="112"/>
      <c r="O138" s="115"/>
      <c r="P138" s="115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</row>
    <row r="139" spans="1:28" ht="15.75" customHeight="1" x14ac:dyDescent="0.25">
      <c r="A139" s="110"/>
      <c r="B139" s="112"/>
      <c r="C139" s="113"/>
      <c r="D139" s="111"/>
      <c r="E139" s="113"/>
      <c r="F139" s="111"/>
      <c r="G139" s="112"/>
      <c r="H139" s="110"/>
      <c r="I139" s="112"/>
      <c r="J139" s="112"/>
      <c r="K139" s="112"/>
      <c r="L139" s="114"/>
      <c r="M139" s="114"/>
      <c r="N139" s="112"/>
      <c r="O139" s="115"/>
      <c r="P139" s="115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</row>
    <row r="140" spans="1:28" ht="15.75" customHeight="1" x14ac:dyDescent="0.25">
      <c r="A140" s="110"/>
      <c r="B140" s="112"/>
      <c r="C140" s="113"/>
      <c r="D140" s="111"/>
      <c r="E140" s="113"/>
      <c r="F140" s="111"/>
      <c r="G140" s="112"/>
      <c r="H140" s="110"/>
      <c r="I140" s="112"/>
      <c r="J140" s="112"/>
      <c r="K140" s="112"/>
      <c r="L140" s="114"/>
      <c r="M140" s="114"/>
      <c r="N140" s="112"/>
      <c r="O140" s="115"/>
      <c r="P140" s="115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</row>
    <row r="141" spans="1:28" ht="15.75" customHeight="1" x14ac:dyDescent="0.25">
      <c r="A141" s="110"/>
      <c r="B141" s="112"/>
      <c r="C141" s="113"/>
      <c r="D141" s="111"/>
      <c r="E141" s="113"/>
      <c r="F141" s="111"/>
      <c r="G141" s="112"/>
      <c r="H141" s="110"/>
      <c r="I141" s="112"/>
      <c r="J141" s="112"/>
      <c r="K141" s="112"/>
      <c r="L141" s="114"/>
      <c r="M141" s="114"/>
      <c r="N141" s="112"/>
      <c r="O141" s="115"/>
      <c r="P141" s="115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</row>
    <row r="142" spans="1:28" ht="15.75" customHeight="1" x14ac:dyDescent="0.25">
      <c r="A142" s="110"/>
      <c r="B142" s="112"/>
      <c r="C142" s="113"/>
      <c r="D142" s="111"/>
      <c r="E142" s="113"/>
      <c r="F142" s="111"/>
      <c r="G142" s="112"/>
      <c r="H142" s="110"/>
      <c r="I142" s="112"/>
      <c r="J142" s="112"/>
      <c r="K142" s="112"/>
      <c r="L142" s="114"/>
      <c r="M142" s="114"/>
      <c r="N142" s="112"/>
      <c r="O142" s="115"/>
      <c r="P142" s="115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</row>
    <row r="143" spans="1:28" ht="15.75" customHeight="1" x14ac:dyDescent="0.25">
      <c r="A143" s="110"/>
      <c r="B143" s="112"/>
      <c r="C143" s="113"/>
      <c r="D143" s="111"/>
      <c r="E143" s="113"/>
      <c r="F143" s="111"/>
      <c r="G143" s="112"/>
      <c r="H143" s="110"/>
      <c r="I143" s="112"/>
      <c r="J143" s="112"/>
      <c r="K143" s="112"/>
      <c r="L143" s="114"/>
      <c r="M143" s="114"/>
      <c r="N143" s="112"/>
      <c r="O143" s="115"/>
      <c r="P143" s="115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</row>
    <row r="144" spans="1:28" ht="15.75" customHeight="1" x14ac:dyDescent="0.25">
      <c r="A144" s="110"/>
      <c r="B144" s="112"/>
      <c r="C144" s="113"/>
      <c r="D144" s="111"/>
      <c r="E144" s="113"/>
      <c r="F144" s="111"/>
      <c r="G144" s="112"/>
      <c r="H144" s="110"/>
      <c r="I144" s="112"/>
      <c r="J144" s="112"/>
      <c r="K144" s="112"/>
      <c r="L144" s="114"/>
      <c r="M144" s="114"/>
      <c r="N144" s="112"/>
      <c r="O144" s="115"/>
      <c r="P144" s="115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</row>
    <row r="145" spans="1:28" ht="15.75" customHeight="1" x14ac:dyDescent="0.25">
      <c r="A145" s="110"/>
      <c r="B145" s="112"/>
      <c r="C145" s="113"/>
      <c r="D145" s="111"/>
      <c r="E145" s="113"/>
      <c r="F145" s="111"/>
      <c r="G145" s="112"/>
      <c r="H145" s="110"/>
      <c r="I145" s="112"/>
      <c r="J145" s="112"/>
      <c r="K145" s="112"/>
      <c r="L145" s="114"/>
      <c r="M145" s="114"/>
      <c r="N145" s="112"/>
      <c r="O145" s="115"/>
      <c r="P145" s="115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</row>
    <row r="146" spans="1:28" ht="15.75" customHeight="1" x14ac:dyDescent="0.25">
      <c r="A146" s="110"/>
      <c r="B146" s="112"/>
      <c r="C146" s="113"/>
      <c r="D146" s="111"/>
      <c r="E146" s="113"/>
      <c r="F146" s="111"/>
      <c r="G146" s="112"/>
      <c r="H146" s="110"/>
      <c r="I146" s="112"/>
      <c r="J146" s="112"/>
      <c r="K146" s="112"/>
      <c r="L146" s="114"/>
      <c r="M146" s="114"/>
      <c r="N146" s="112"/>
      <c r="O146" s="115"/>
      <c r="P146" s="115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</row>
    <row r="147" spans="1:28" ht="15.75" customHeight="1" x14ac:dyDescent="0.25">
      <c r="A147" s="110"/>
      <c r="B147" s="112"/>
      <c r="C147" s="113"/>
      <c r="D147" s="111"/>
      <c r="E147" s="113"/>
      <c r="F147" s="111"/>
      <c r="G147" s="112"/>
      <c r="H147" s="110"/>
      <c r="I147" s="112"/>
      <c r="J147" s="112"/>
      <c r="K147" s="112"/>
      <c r="L147" s="114"/>
      <c r="M147" s="114"/>
      <c r="N147" s="112"/>
      <c r="O147" s="115"/>
      <c r="P147" s="115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</row>
    <row r="148" spans="1:28" ht="15.75" customHeight="1" x14ac:dyDescent="0.25">
      <c r="A148" s="110"/>
      <c r="B148" s="112"/>
      <c r="C148" s="113"/>
      <c r="D148" s="111"/>
      <c r="E148" s="113"/>
      <c r="F148" s="111"/>
      <c r="G148" s="112"/>
      <c r="H148" s="110"/>
      <c r="I148" s="112"/>
      <c r="J148" s="112"/>
      <c r="K148" s="112"/>
      <c r="L148" s="114"/>
      <c r="M148" s="114"/>
      <c r="N148" s="112"/>
      <c r="O148" s="115"/>
      <c r="P148" s="115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</row>
    <row r="149" spans="1:28" ht="15.75" customHeight="1" x14ac:dyDescent="0.25">
      <c r="A149" s="110"/>
      <c r="B149" s="112"/>
      <c r="C149" s="113"/>
      <c r="D149" s="111"/>
      <c r="E149" s="113"/>
      <c r="F149" s="111"/>
      <c r="G149" s="112"/>
      <c r="H149" s="110"/>
      <c r="I149" s="112"/>
      <c r="J149" s="112"/>
      <c r="K149" s="112"/>
      <c r="L149" s="114"/>
      <c r="M149" s="114"/>
      <c r="N149" s="112"/>
      <c r="O149" s="115"/>
      <c r="P149" s="115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</row>
    <row r="150" spans="1:28" ht="15.75" customHeight="1" x14ac:dyDescent="0.25">
      <c r="A150" s="110"/>
      <c r="B150" s="112"/>
      <c r="C150" s="113"/>
      <c r="D150" s="111"/>
      <c r="E150" s="113"/>
      <c r="F150" s="111"/>
      <c r="G150" s="112"/>
      <c r="H150" s="110"/>
      <c r="I150" s="112"/>
      <c r="J150" s="112"/>
      <c r="K150" s="112"/>
      <c r="L150" s="114"/>
      <c r="M150" s="114"/>
      <c r="N150" s="112"/>
      <c r="O150" s="115"/>
      <c r="P150" s="115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</row>
    <row r="151" spans="1:28" ht="15.75" customHeight="1" x14ac:dyDescent="0.25">
      <c r="A151" s="110"/>
      <c r="B151" s="112"/>
      <c r="C151" s="113"/>
      <c r="D151" s="111"/>
      <c r="E151" s="113"/>
      <c r="F151" s="111"/>
      <c r="G151" s="112"/>
      <c r="H151" s="110"/>
      <c r="I151" s="112"/>
      <c r="J151" s="112"/>
      <c r="K151" s="112"/>
      <c r="L151" s="114"/>
      <c r="M151" s="114"/>
      <c r="N151" s="112"/>
      <c r="O151" s="115"/>
      <c r="P151" s="115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</row>
    <row r="152" spans="1:28" ht="15.75" customHeight="1" x14ac:dyDescent="0.25">
      <c r="A152" s="110"/>
      <c r="B152" s="112"/>
      <c r="C152" s="113"/>
      <c r="D152" s="111"/>
      <c r="E152" s="113"/>
      <c r="F152" s="111"/>
      <c r="G152" s="112"/>
      <c r="H152" s="110"/>
      <c r="I152" s="112"/>
      <c r="J152" s="112"/>
      <c r="K152" s="112"/>
      <c r="L152" s="114"/>
      <c r="M152" s="114"/>
      <c r="N152" s="112"/>
      <c r="O152" s="115"/>
      <c r="P152" s="115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</row>
    <row r="153" spans="1:28" ht="15.75" customHeight="1" x14ac:dyDescent="0.25">
      <c r="A153" s="110"/>
      <c r="B153" s="112"/>
      <c r="C153" s="113"/>
      <c r="D153" s="111"/>
      <c r="E153" s="113"/>
      <c r="F153" s="111"/>
      <c r="G153" s="112"/>
      <c r="H153" s="110"/>
      <c r="I153" s="112"/>
      <c r="J153" s="112"/>
      <c r="K153" s="112"/>
      <c r="L153" s="114"/>
      <c r="M153" s="114"/>
      <c r="N153" s="112"/>
      <c r="O153" s="115"/>
      <c r="P153" s="115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</row>
    <row r="154" spans="1:28" ht="15.75" customHeight="1" x14ac:dyDescent="0.25">
      <c r="A154" s="110"/>
      <c r="B154" s="112"/>
      <c r="C154" s="113"/>
      <c r="D154" s="111"/>
      <c r="E154" s="113"/>
      <c r="F154" s="111"/>
      <c r="G154" s="112"/>
      <c r="H154" s="110"/>
      <c r="I154" s="112"/>
      <c r="J154" s="112"/>
      <c r="K154" s="112"/>
      <c r="L154" s="114"/>
      <c r="M154" s="114"/>
      <c r="N154" s="112"/>
      <c r="O154" s="115"/>
      <c r="P154" s="115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</row>
    <row r="155" spans="1:28" ht="15.75" customHeight="1" x14ac:dyDescent="0.25">
      <c r="A155" s="110"/>
      <c r="B155" s="112"/>
      <c r="C155" s="113"/>
      <c r="D155" s="111"/>
      <c r="E155" s="113"/>
      <c r="F155" s="111"/>
      <c r="G155" s="112"/>
      <c r="H155" s="110"/>
      <c r="I155" s="112"/>
      <c r="J155" s="112"/>
      <c r="K155" s="112"/>
      <c r="L155" s="114"/>
      <c r="M155" s="114"/>
      <c r="N155" s="112"/>
      <c r="O155" s="115"/>
      <c r="P155" s="115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</row>
    <row r="156" spans="1:28" ht="15.75" customHeight="1" x14ac:dyDescent="0.25">
      <c r="A156" s="110"/>
      <c r="B156" s="112"/>
      <c r="C156" s="113"/>
      <c r="D156" s="111"/>
      <c r="E156" s="113"/>
      <c r="F156" s="111"/>
      <c r="G156" s="112"/>
      <c r="H156" s="110"/>
      <c r="I156" s="112"/>
      <c r="J156" s="112"/>
      <c r="K156" s="112"/>
      <c r="L156" s="114"/>
      <c r="M156" s="114"/>
      <c r="N156" s="112"/>
      <c r="O156" s="115"/>
      <c r="P156" s="115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</row>
    <row r="157" spans="1:28" ht="15.75" customHeight="1" x14ac:dyDescent="0.25">
      <c r="A157" s="110"/>
      <c r="B157" s="112"/>
      <c r="C157" s="113"/>
      <c r="D157" s="111"/>
      <c r="E157" s="113"/>
      <c r="F157" s="111"/>
      <c r="G157" s="112"/>
      <c r="H157" s="110"/>
      <c r="I157" s="112"/>
      <c r="J157" s="112"/>
      <c r="K157" s="112"/>
      <c r="L157" s="114"/>
      <c r="M157" s="114"/>
      <c r="N157" s="112"/>
      <c r="O157" s="115"/>
      <c r="P157" s="115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</row>
    <row r="158" spans="1:28" ht="15.75" customHeight="1" x14ac:dyDescent="0.25">
      <c r="A158" s="110"/>
      <c r="B158" s="112"/>
      <c r="C158" s="113"/>
      <c r="D158" s="111"/>
      <c r="E158" s="113"/>
      <c r="F158" s="111"/>
      <c r="G158" s="112"/>
      <c r="H158" s="110"/>
      <c r="I158" s="112"/>
      <c r="J158" s="112"/>
      <c r="K158" s="112"/>
      <c r="L158" s="114"/>
      <c r="M158" s="114"/>
      <c r="N158" s="112"/>
      <c r="O158" s="115"/>
      <c r="P158" s="115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</row>
    <row r="159" spans="1:28" ht="15.75" customHeight="1" x14ac:dyDescent="0.25">
      <c r="A159" s="110"/>
      <c r="B159" s="112"/>
      <c r="C159" s="113"/>
      <c r="D159" s="111"/>
      <c r="E159" s="113"/>
      <c r="F159" s="111"/>
      <c r="G159" s="112"/>
      <c r="H159" s="110"/>
      <c r="I159" s="112"/>
      <c r="J159" s="112"/>
      <c r="K159" s="112"/>
      <c r="L159" s="114"/>
      <c r="M159" s="114"/>
      <c r="N159" s="112"/>
      <c r="O159" s="115"/>
      <c r="P159" s="115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</row>
    <row r="160" spans="1:28" ht="15.75" customHeight="1" x14ac:dyDescent="0.25">
      <c r="A160" s="110"/>
      <c r="B160" s="112"/>
      <c r="C160" s="113"/>
      <c r="D160" s="111"/>
      <c r="E160" s="113"/>
      <c r="F160" s="111"/>
      <c r="G160" s="112"/>
      <c r="H160" s="110"/>
      <c r="I160" s="112"/>
      <c r="J160" s="112"/>
      <c r="K160" s="112"/>
      <c r="L160" s="114"/>
      <c r="M160" s="114"/>
      <c r="N160" s="112"/>
      <c r="O160" s="115"/>
      <c r="P160" s="115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</row>
    <row r="161" spans="1:28" ht="15.75" customHeight="1" x14ac:dyDescent="0.25">
      <c r="A161" s="110"/>
      <c r="B161" s="112"/>
      <c r="C161" s="113"/>
      <c r="D161" s="111"/>
      <c r="E161" s="113"/>
      <c r="F161" s="111"/>
      <c r="G161" s="112"/>
      <c r="H161" s="110"/>
      <c r="I161" s="112"/>
      <c r="J161" s="112"/>
      <c r="K161" s="112"/>
      <c r="L161" s="114"/>
      <c r="M161" s="114"/>
      <c r="N161" s="112"/>
      <c r="O161" s="115"/>
      <c r="P161" s="115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</row>
    <row r="162" spans="1:28" ht="15.75" customHeight="1" x14ac:dyDescent="0.25">
      <c r="A162" s="110"/>
      <c r="B162" s="112"/>
      <c r="C162" s="113"/>
      <c r="D162" s="111"/>
      <c r="E162" s="113"/>
      <c r="F162" s="111"/>
      <c r="G162" s="112"/>
      <c r="H162" s="110"/>
      <c r="I162" s="112"/>
      <c r="J162" s="112"/>
      <c r="K162" s="112"/>
      <c r="L162" s="114"/>
      <c r="M162" s="114"/>
      <c r="N162" s="112"/>
      <c r="O162" s="115"/>
      <c r="P162" s="115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</row>
    <row r="163" spans="1:28" ht="15.75" customHeight="1" x14ac:dyDescent="0.25">
      <c r="A163" s="110"/>
      <c r="B163" s="112"/>
      <c r="C163" s="113"/>
      <c r="D163" s="111"/>
      <c r="E163" s="113"/>
      <c r="F163" s="111"/>
      <c r="G163" s="112"/>
      <c r="H163" s="110"/>
      <c r="I163" s="112"/>
      <c r="J163" s="112"/>
      <c r="K163" s="112"/>
      <c r="L163" s="114"/>
      <c r="M163" s="114"/>
      <c r="N163" s="112"/>
      <c r="O163" s="115"/>
      <c r="P163" s="115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</row>
    <row r="164" spans="1:28" ht="15.75" customHeight="1" x14ac:dyDescent="0.25">
      <c r="A164" s="110"/>
      <c r="B164" s="112"/>
      <c r="C164" s="113"/>
      <c r="D164" s="111"/>
      <c r="E164" s="113"/>
      <c r="F164" s="111"/>
      <c r="G164" s="112"/>
      <c r="H164" s="110"/>
      <c r="I164" s="112"/>
      <c r="J164" s="112"/>
      <c r="K164" s="112"/>
      <c r="L164" s="114"/>
      <c r="M164" s="114"/>
      <c r="N164" s="112"/>
      <c r="O164" s="115"/>
      <c r="P164" s="115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</row>
    <row r="165" spans="1:28" ht="15.75" customHeight="1" x14ac:dyDescent="0.25">
      <c r="A165" s="110"/>
      <c r="B165" s="112"/>
      <c r="C165" s="113"/>
      <c r="D165" s="111"/>
      <c r="E165" s="113"/>
      <c r="F165" s="111"/>
      <c r="G165" s="112"/>
      <c r="H165" s="110"/>
      <c r="I165" s="112"/>
      <c r="J165" s="112"/>
      <c r="K165" s="112"/>
      <c r="L165" s="114"/>
      <c r="M165" s="114"/>
      <c r="N165" s="112"/>
      <c r="O165" s="115"/>
      <c r="P165" s="115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</row>
    <row r="166" spans="1:28" ht="15.75" customHeight="1" x14ac:dyDescent="0.25">
      <c r="A166" s="110"/>
      <c r="B166" s="112"/>
      <c r="C166" s="113"/>
      <c r="D166" s="111"/>
      <c r="E166" s="113"/>
      <c r="F166" s="111"/>
      <c r="G166" s="112"/>
      <c r="H166" s="110"/>
      <c r="I166" s="112"/>
      <c r="J166" s="112"/>
      <c r="K166" s="112"/>
      <c r="L166" s="114"/>
      <c r="M166" s="114"/>
      <c r="N166" s="112"/>
      <c r="O166" s="115"/>
      <c r="P166" s="115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</row>
    <row r="167" spans="1:28" ht="15.75" customHeight="1" x14ac:dyDescent="0.25">
      <c r="A167" s="110"/>
      <c r="B167" s="112"/>
      <c r="C167" s="113"/>
      <c r="D167" s="111"/>
      <c r="E167" s="113"/>
      <c r="F167" s="111"/>
      <c r="G167" s="112"/>
      <c r="H167" s="110"/>
      <c r="I167" s="112"/>
      <c r="J167" s="112"/>
      <c r="K167" s="112"/>
      <c r="L167" s="114"/>
      <c r="M167" s="114"/>
      <c r="N167" s="112"/>
      <c r="O167" s="115"/>
      <c r="P167" s="115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</row>
    <row r="168" spans="1:28" ht="15.75" customHeight="1" x14ac:dyDescent="0.25">
      <c r="A168" s="110"/>
      <c r="B168" s="112"/>
      <c r="C168" s="113"/>
      <c r="D168" s="111"/>
      <c r="E168" s="113"/>
      <c r="F168" s="111"/>
      <c r="G168" s="112"/>
      <c r="H168" s="110"/>
      <c r="I168" s="112"/>
      <c r="J168" s="112"/>
      <c r="K168" s="112"/>
      <c r="L168" s="114"/>
      <c r="M168" s="114"/>
      <c r="N168" s="112"/>
      <c r="O168" s="115"/>
      <c r="P168" s="115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</row>
    <row r="169" spans="1:28" ht="15.75" customHeight="1" x14ac:dyDescent="0.25">
      <c r="A169" s="110"/>
      <c r="B169" s="112"/>
      <c r="C169" s="113"/>
      <c r="D169" s="111"/>
      <c r="E169" s="113"/>
      <c r="F169" s="111"/>
      <c r="G169" s="112"/>
      <c r="H169" s="110"/>
      <c r="I169" s="112"/>
      <c r="J169" s="112"/>
      <c r="K169" s="112"/>
      <c r="L169" s="114"/>
      <c r="M169" s="114"/>
      <c r="N169" s="112"/>
      <c r="O169" s="115"/>
      <c r="P169" s="115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</row>
    <row r="170" spans="1:28" ht="15.75" customHeight="1" x14ac:dyDescent="0.25">
      <c r="A170" s="110"/>
      <c r="B170" s="112"/>
      <c r="C170" s="113"/>
      <c r="D170" s="111"/>
      <c r="E170" s="113"/>
      <c r="F170" s="111"/>
      <c r="G170" s="112"/>
      <c r="H170" s="110"/>
      <c r="I170" s="112"/>
      <c r="J170" s="112"/>
      <c r="K170" s="112"/>
      <c r="L170" s="114"/>
      <c r="M170" s="114"/>
      <c r="N170" s="112"/>
      <c r="O170" s="115"/>
      <c r="P170" s="115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</row>
    <row r="171" spans="1:28" ht="15.75" customHeight="1" x14ac:dyDescent="0.25">
      <c r="A171" s="110"/>
      <c r="B171" s="112"/>
      <c r="C171" s="113"/>
      <c r="D171" s="111"/>
      <c r="E171" s="113"/>
      <c r="F171" s="111"/>
      <c r="G171" s="112"/>
      <c r="H171" s="110"/>
      <c r="I171" s="112"/>
      <c r="J171" s="112"/>
      <c r="K171" s="112"/>
      <c r="L171" s="114"/>
      <c r="M171" s="114"/>
      <c r="N171" s="112"/>
      <c r="O171" s="115"/>
      <c r="P171" s="115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</row>
    <row r="172" spans="1:28" ht="15.75" customHeight="1" x14ac:dyDescent="0.25">
      <c r="A172" s="110"/>
      <c r="B172" s="112"/>
      <c r="C172" s="113"/>
      <c r="D172" s="111"/>
      <c r="E172" s="113"/>
      <c r="F172" s="111"/>
      <c r="G172" s="112"/>
      <c r="H172" s="110"/>
      <c r="I172" s="112"/>
      <c r="J172" s="112"/>
      <c r="K172" s="112"/>
      <c r="L172" s="114"/>
      <c r="M172" s="114"/>
      <c r="N172" s="112"/>
      <c r="O172" s="115"/>
      <c r="P172" s="115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</row>
    <row r="173" spans="1:28" ht="15.75" customHeight="1" x14ac:dyDescent="0.25">
      <c r="A173" s="110"/>
      <c r="B173" s="112"/>
      <c r="C173" s="113"/>
      <c r="D173" s="111"/>
      <c r="E173" s="113"/>
      <c r="F173" s="111"/>
      <c r="G173" s="112"/>
      <c r="H173" s="110"/>
      <c r="I173" s="112"/>
      <c r="J173" s="112"/>
      <c r="K173" s="112"/>
      <c r="L173" s="114"/>
      <c r="M173" s="114"/>
      <c r="N173" s="112"/>
      <c r="O173" s="115"/>
      <c r="P173" s="115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</row>
    <row r="174" spans="1:28" ht="15.75" customHeight="1" x14ac:dyDescent="0.25">
      <c r="A174" s="110"/>
      <c r="B174" s="112"/>
      <c r="C174" s="113"/>
      <c r="D174" s="111"/>
      <c r="E174" s="113"/>
      <c r="F174" s="111"/>
      <c r="G174" s="112"/>
      <c r="H174" s="110"/>
      <c r="I174" s="112"/>
      <c r="J174" s="112"/>
      <c r="K174" s="112"/>
      <c r="L174" s="114"/>
      <c r="M174" s="114"/>
      <c r="N174" s="112"/>
      <c r="O174" s="115"/>
      <c r="P174" s="115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</row>
    <row r="175" spans="1:28" ht="15.75" customHeight="1" x14ac:dyDescent="0.25">
      <c r="A175" s="110"/>
      <c r="B175" s="112"/>
      <c r="C175" s="113"/>
      <c r="D175" s="111"/>
      <c r="E175" s="113"/>
      <c r="F175" s="111"/>
      <c r="G175" s="112"/>
      <c r="H175" s="110"/>
      <c r="I175" s="112"/>
      <c r="J175" s="112"/>
      <c r="K175" s="112"/>
      <c r="L175" s="114"/>
      <c r="M175" s="114"/>
      <c r="N175" s="112"/>
      <c r="O175" s="115"/>
      <c r="P175" s="115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</row>
    <row r="176" spans="1:28" ht="15.75" customHeight="1" x14ac:dyDescent="0.25">
      <c r="A176" s="110"/>
      <c r="B176" s="112"/>
      <c r="C176" s="113"/>
      <c r="D176" s="111"/>
      <c r="E176" s="113"/>
      <c r="F176" s="111"/>
      <c r="G176" s="112"/>
      <c r="H176" s="110"/>
      <c r="I176" s="112"/>
      <c r="J176" s="112"/>
      <c r="K176" s="112"/>
      <c r="L176" s="114"/>
      <c r="M176" s="114"/>
      <c r="N176" s="112"/>
      <c r="O176" s="115"/>
      <c r="P176" s="115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</row>
    <row r="177" spans="1:28" ht="15.75" customHeight="1" x14ac:dyDescent="0.25">
      <c r="A177" s="110"/>
      <c r="B177" s="112"/>
      <c r="C177" s="113"/>
      <c r="D177" s="111"/>
      <c r="E177" s="113"/>
      <c r="F177" s="111"/>
      <c r="G177" s="112"/>
      <c r="H177" s="110"/>
      <c r="I177" s="112"/>
      <c r="J177" s="112"/>
      <c r="K177" s="112"/>
      <c r="L177" s="114"/>
      <c r="M177" s="114"/>
      <c r="N177" s="112"/>
      <c r="O177" s="115"/>
      <c r="P177" s="115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</row>
    <row r="178" spans="1:28" ht="15.75" customHeight="1" x14ac:dyDescent="0.25">
      <c r="A178" s="110"/>
      <c r="B178" s="112"/>
      <c r="C178" s="113"/>
      <c r="D178" s="111"/>
      <c r="E178" s="113"/>
      <c r="F178" s="111"/>
      <c r="G178" s="112"/>
      <c r="H178" s="110"/>
      <c r="I178" s="112"/>
      <c r="J178" s="112"/>
      <c r="K178" s="112"/>
      <c r="L178" s="114"/>
      <c r="M178" s="114"/>
      <c r="N178" s="112"/>
      <c r="O178" s="115"/>
      <c r="P178" s="115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</row>
    <row r="179" spans="1:28" ht="15.75" customHeight="1" x14ac:dyDescent="0.25">
      <c r="A179" s="110"/>
      <c r="B179" s="112"/>
      <c r="C179" s="113"/>
      <c r="D179" s="111"/>
      <c r="E179" s="113"/>
      <c r="F179" s="111"/>
      <c r="G179" s="112"/>
      <c r="H179" s="110"/>
      <c r="I179" s="112"/>
      <c r="J179" s="112"/>
      <c r="K179" s="112"/>
      <c r="L179" s="114"/>
      <c r="M179" s="114"/>
      <c r="N179" s="112"/>
      <c r="O179" s="115"/>
      <c r="P179" s="115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</row>
    <row r="180" spans="1:28" ht="15.75" customHeight="1" x14ac:dyDescent="0.25">
      <c r="A180" s="110"/>
      <c r="B180" s="112"/>
      <c r="C180" s="113"/>
      <c r="D180" s="111"/>
      <c r="E180" s="113"/>
      <c r="F180" s="111"/>
      <c r="G180" s="112"/>
      <c r="H180" s="110"/>
      <c r="I180" s="112"/>
      <c r="J180" s="112"/>
      <c r="K180" s="112"/>
      <c r="L180" s="114"/>
      <c r="M180" s="114"/>
      <c r="N180" s="112"/>
      <c r="O180" s="115"/>
      <c r="P180" s="115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</row>
    <row r="181" spans="1:28" ht="15.75" customHeight="1" x14ac:dyDescent="0.25">
      <c r="A181" s="110"/>
      <c r="B181" s="112"/>
      <c r="C181" s="113"/>
      <c r="D181" s="111"/>
      <c r="E181" s="113"/>
      <c r="F181" s="111"/>
      <c r="G181" s="112"/>
      <c r="H181" s="110"/>
      <c r="I181" s="112"/>
      <c r="J181" s="112"/>
      <c r="K181" s="112"/>
      <c r="L181" s="114"/>
      <c r="M181" s="114"/>
      <c r="N181" s="112"/>
      <c r="O181" s="115"/>
      <c r="P181" s="115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</row>
    <row r="182" spans="1:28" ht="15.75" customHeight="1" x14ac:dyDescent="0.25">
      <c r="A182" s="110"/>
      <c r="B182" s="112"/>
      <c r="C182" s="113"/>
      <c r="D182" s="111"/>
      <c r="E182" s="113"/>
      <c r="F182" s="111"/>
      <c r="G182" s="112"/>
      <c r="H182" s="110"/>
      <c r="I182" s="112"/>
      <c r="J182" s="112"/>
      <c r="K182" s="112"/>
      <c r="L182" s="114"/>
      <c r="M182" s="114"/>
      <c r="N182" s="112"/>
      <c r="O182" s="115"/>
      <c r="P182" s="115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</row>
    <row r="183" spans="1:28" ht="15.75" customHeight="1" x14ac:dyDescent="0.25">
      <c r="A183" s="110"/>
      <c r="B183" s="112"/>
      <c r="C183" s="113"/>
      <c r="D183" s="111"/>
      <c r="E183" s="113"/>
      <c r="F183" s="111"/>
      <c r="G183" s="112"/>
      <c r="H183" s="110"/>
      <c r="I183" s="112"/>
      <c r="J183" s="112"/>
      <c r="K183" s="112"/>
      <c r="L183" s="114"/>
      <c r="M183" s="114"/>
      <c r="N183" s="112"/>
      <c r="O183" s="115"/>
      <c r="P183" s="115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</row>
    <row r="184" spans="1:28" ht="15.75" customHeight="1" x14ac:dyDescent="0.25">
      <c r="A184" s="110"/>
      <c r="B184" s="112"/>
      <c r="C184" s="113"/>
      <c r="D184" s="111"/>
      <c r="E184" s="113"/>
      <c r="F184" s="111"/>
      <c r="G184" s="112"/>
      <c r="H184" s="110"/>
      <c r="I184" s="112"/>
      <c r="J184" s="112"/>
      <c r="K184" s="112"/>
      <c r="L184" s="114"/>
      <c r="M184" s="114"/>
      <c r="N184" s="112"/>
      <c r="O184" s="115"/>
      <c r="P184" s="115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</row>
    <row r="185" spans="1:28" ht="15.75" customHeight="1" x14ac:dyDescent="0.25">
      <c r="A185" s="110"/>
      <c r="B185" s="112"/>
      <c r="C185" s="113"/>
      <c r="D185" s="111"/>
      <c r="E185" s="113"/>
      <c r="F185" s="111"/>
      <c r="G185" s="112"/>
      <c r="H185" s="110"/>
      <c r="I185" s="112"/>
      <c r="J185" s="112"/>
      <c r="K185" s="112"/>
      <c r="L185" s="114"/>
      <c r="M185" s="114"/>
      <c r="N185" s="112"/>
      <c r="O185" s="115"/>
      <c r="P185" s="115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</row>
    <row r="186" spans="1:28" ht="15.75" customHeight="1" x14ac:dyDescent="0.25">
      <c r="A186" s="110"/>
      <c r="B186" s="112"/>
      <c r="C186" s="113"/>
      <c r="D186" s="111"/>
      <c r="E186" s="113"/>
      <c r="F186" s="111"/>
      <c r="G186" s="112"/>
      <c r="H186" s="110"/>
      <c r="I186" s="112"/>
      <c r="J186" s="112"/>
      <c r="K186" s="112"/>
      <c r="L186" s="114"/>
      <c r="M186" s="114"/>
      <c r="N186" s="112"/>
      <c r="O186" s="115"/>
      <c r="P186" s="115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</row>
    <row r="187" spans="1:28" ht="15.75" customHeight="1" x14ac:dyDescent="0.25">
      <c r="A187" s="110"/>
      <c r="B187" s="112"/>
      <c r="C187" s="113"/>
      <c r="D187" s="111"/>
      <c r="E187" s="113"/>
      <c r="F187" s="111"/>
      <c r="G187" s="112"/>
      <c r="H187" s="110"/>
      <c r="I187" s="112"/>
      <c r="J187" s="112"/>
      <c r="K187" s="112"/>
      <c r="L187" s="114"/>
      <c r="M187" s="114"/>
      <c r="N187" s="112"/>
      <c r="O187" s="115"/>
      <c r="P187" s="115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</row>
    <row r="188" spans="1:28" ht="15.75" customHeight="1" x14ac:dyDescent="0.25">
      <c r="A188" s="110"/>
      <c r="B188" s="112"/>
      <c r="C188" s="113"/>
      <c r="D188" s="111"/>
      <c r="E188" s="113"/>
      <c r="F188" s="111"/>
      <c r="G188" s="112"/>
      <c r="H188" s="110"/>
      <c r="I188" s="112"/>
      <c r="J188" s="112"/>
      <c r="K188" s="112"/>
      <c r="L188" s="114"/>
      <c r="M188" s="114"/>
      <c r="N188" s="112"/>
      <c r="O188" s="115"/>
      <c r="P188" s="115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</row>
    <row r="189" spans="1:28" ht="15.75" customHeight="1" x14ac:dyDescent="0.25">
      <c r="A189" s="110"/>
      <c r="B189" s="112"/>
      <c r="C189" s="113"/>
      <c r="D189" s="111"/>
      <c r="E189" s="113"/>
      <c r="F189" s="111"/>
      <c r="G189" s="112"/>
      <c r="H189" s="110"/>
      <c r="I189" s="112"/>
      <c r="J189" s="112"/>
      <c r="K189" s="112"/>
      <c r="L189" s="114"/>
      <c r="M189" s="114"/>
      <c r="N189" s="112"/>
      <c r="O189" s="115"/>
      <c r="P189" s="115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</row>
    <row r="190" spans="1:28" ht="15.75" customHeight="1" x14ac:dyDescent="0.25">
      <c r="A190" s="110"/>
      <c r="B190" s="112"/>
      <c r="C190" s="113"/>
      <c r="D190" s="111"/>
      <c r="E190" s="113"/>
      <c r="F190" s="111"/>
      <c r="G190" s="112"/>
      <c r="H190" s="110"/>
      <c r="I190" s="112"/>
      <c r="J190" s="112"/>
      <c r="K190" s="112"/>
      <c r="L190" s="114"/>
      <c r="M190" s="114"/>
      <c r="N190" s="112"/>
      <c r="O190" s="115"/>
      <c r="P190" s="115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</row>
    <row r="191" spans="1:28" ht="15.75" customHeight="1" x14ac:dyDescent="0.25">
      <c r="A191" s="110"/>
      <c r="B191" s="112"/>
      <c r="C191" s="113"/>
      <c r="D191" s="111"/>
      <c r="E191" s="113"/>
      <c r="F191" s="111"/>
      <c r="G191" s="112"/>
      <c r="H191" s="110"/>
      <c r="I191" s="112"/>
      <c r="J191" s="112"/>
      <c r="K191" s="112"/>
      <c r="L191" s="114"/>
      <c r="M191" s="114"/>
      <c r="N191" s="112"/>
      <c r="O191" s="115"/>
      <c r="P191" s="115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</row>
    <row r="192" spans="1:28" ht="15.75" customHeight="1" x14ac:dyDescent="0.25">
      <c r="A192" s="110"/>
      <c r="B192" s="112"/>
      <c r="C192" s="113"/>
      <c r="D192" s="111"/>
      <c r="E192" s="113"/>
      <c r="F192" s="111"/>
      <c r="G192" s="112"/>
      <c r="H192" s="110"/>
      <c r="I192" s="112"/>
      <c r="J192" s="112"/>
      <c r="K192" s="112"/>
      <c r="L192" s="114"/>
      <c r="M192" s="114"/>
      <c r="N192" s="112"/>
      <c r="O192" s="115"/>
      <c r="P192" s="115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</row>
    <row r="193" spans="1:28" ht="15.75" customHeight="1" x14ac:dyDescent="0.25">
      <c r="A193" s="110"/>
      <c r="B193" s="112"/>
      <c r="C193" s="113"/>
      <c r="D193" s="111"/>
      <c r="E193" s="113"/>
      <c r="F193" s="111"/>
      <c r="G193" s="112"/>
      <c r="H193" s="110"/>
      <c r="I193" s="112"/>
      <c r="J193" s="112"/>
      <c r="K193" s="112"/>
      <c r="L193" s="114"/>
      <c r="M193" s="114"/>
      <c r="N193" s="112"/>
      <c r="O193" s="115"/>
      <c r="P193" s="115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</row>
    <row r="194" spans="1:28" ht="15.75" customHeight="1" x14ac:dyDescent="0.25">
      <c r="A194" s="110"/>
      <c r="B194" s="112"/>
      <c r="C194" s="113"/>
      <c r="D194" s="111"/>
      <c r="E194" s="113"/>
      <c r="F194" s="111"/>
      <c r="G194" s="112"/>
      <c r="H194" s="110"/>
      <c r="I194" s="112"/>
      <c r="J194" s="112"/>
      <c r="K194" s="112"/>
      <c r="L194" s="114"/>
      <c r="M194" s="114"/>
      <c r="N194" s="112"/>
      <c r="O194" s="115"/>
      <c r="P194" s="115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</row>
    <row r="195" spans="1:28" ht="15.75" customHeight="1" x14ac:dyDescent="0.25">
      <c r="A195" s="110"/>
      <c r="B195" s="112"/>
      <c r="C195" s="113"/>
      <c r="D195" s="111"/>
      <c r="E195" s="113"/>
      <c r="F195" s="111"/>
      <c r="G195" s="112"/>
      <c r="H195" s="110"/>
      <c r="I195" s="112"/>
      <c r="J195" s="112"/>
      <c r="K195" s="112"/>
      <c r="L195" s="114"/>
      <c r="M195" s="114"/>
      <c r="N195" s="112"/>
      <c r="O195" s="115"/>
      <c r="P195" s="115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</row>
    <row r="196" spans="1:28" ht="15.75" customHeight="1" x14ac:dyDescent="0.25">
      <c r="A196" s="110"/>
      <c r="B196" s="112"/>
      <c r="C196" s="113"/>
      <c r="D196" s="111"/>
      <c r="E196" s="113"/>
      <c r="F196" s="111"/>
      <c r="G196" s="112"/>
      <c r="H196" s="110"/>
      <c r="I196" s="112"/>
      <c r="J196" s="112"/>
      <c r="K196" s="112"/>
      <c r="L196" s="114"/>
      <c r="M196" s="114"/>
      <c r="N196" s="112"/>
      <c r="O196" s="115"/>
      <c r="P196" s="115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</row>
    <row r="197" spans="1:28" ht="15.75" customHeight="1" x14ac:dyDescent="0.25">
      <c r="A197" s="110"/>
      <c r="B197" s="112"/>
      <c r="C197" s="113"/>
      <c r="D197" s="111"/>
      <c r="E197" s="113"/>
      <c r="F197" s="111"/>
      <c r="G197" s="112"/>
      <c r="H197" s="110"/>
      <c r="I197" s="112"/>
      <c r="J197" s="112"/>
      <c r="K197" s="112"/>
      <c r="L197" s="114"/>
      <c r="M197" s="114"/>
      <c r="N197" s="112"/>
      <c r="O197" s="115"/>
      <c r="P197" s="115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</row>
    <row r="198" spans="1:28" ht="15.75" customHeight="1" x14ac:dyDescent="0.25">
      <c r="A198" s="110"/>
      <c r="B198" s="112"/>
      <c r="C198" s="113"/>
      <c r="D198" s="111"/>
      <c r="E198" s="113"/>
      <c r="F198" s="111"/>
      <c r="G198" s="112"/>
      <c r="H198" s="110"/>
      <c r="I198" s="112"/>
      <c r="J198" s="112"/>
      <c r="K198" s="112"/>
      <c r="L198" s="114"/>
      <c r="M198" s="114"/>
      <c r="N198" s="112"/>
      <c r="O198" s="115"/>
      <c r="P198" s="115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</row>
    <row r="199" spans="1:28" ht="15.75" customHeight="1" x14ac:dyDescent="0.25">
      <c r="A199" s="110"/>
      <c r="B199" s="112"/>
      <c r="C199" s="113"/>
      <c r="D199" s="111"/>
      <c r="E199" s="113"/>
      <c r="F199" s="111"/>
      <c r="G199" s="112"/>
      <c r="H199" s="110"/>
      <c r="I199" s="112"/>
      <c r="J199" s="112"/>
      <c r="K199" s="112"/>
      <c r="L199" s="114"/>
      <c r="M199" s="114"/>
      <c r="N199" s="112"/>
      <c r="O199" s="115"/>
      <c r="P199" s="115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</row>
    <row r="200" spans="1:28" ht="15.75" customHeight="1" x14ac:dyDescent="0.25">
      <c r="A200" s="110"/>
      <c r="B200" s="112"/>
      <c r="C200" s="113"/>
      <c r="D200" s="111"/>
      <c r="E200" s="113"/>
      <c r="F200" s="111"/>
      <c r="G200" s="112"/>
      <c r="H200" s="110"/>
      <c r="I200" s="112"/>
      <c r="J200" s="112"/>
      <c r="K200" s="112"/>
      <c r="L200" s="114"/>
      <c r="M200" s="114"/>
      <c r="N200" s="112"/>
      <c r="O200" s="115"/>
      <c r="P200" s="115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</row>
    <row r="201" spans="1:28" ht="15.75" customHeight="1" x14ac:dyDescent="0.25">
      <c r="A201" s="110"/>
      <c r="B201" s="112"/>
      <c r="C201" s="113"/>
      <c r="D201" s="111"/>
      <c r="E201" s="113"/>
      <c r="F201" s="111"/>
      <c r="G201" s="112"/>
      <c r="H201" s="110"/>
      <c r="I201" s="112"/>
      <c r="J201" s="112"/>
      <c r="K201" s="112"/>
      <c r="L201" s="114"/>
      <c r="M201" s="114"/>
      <c r="N201" s="112"/>
      <c r="O201" s="115"/>
      <c r="P201" s="115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</row>
    <row r="202" spans="1:28" ht="15.75" customHeight="1" x14ac:dyDescent="0.25">
      <c r="A202" s="110"/>
      <c r="B202" s="112"/>
      <c r="C202" s="113"/>
      <c r="D202" s="111"/>
      <c r="E202" s="113"/>
      <c r="F202" s="111"/>
      <c r="G202" s="112"/>
      <c r="H202" s="110"/>
      <c r="I202" s="112"/>
      <c r="J202" s="112"/>
      <c r="K202" s="112"/>
      <c r="L202" s="114"/>
      <c r="M202" s="114"/>
      <c r="N202" s="112"/>
      <c r="O202" s="115"/>
      <c r="P202" s="115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</row>
    <row r="203" spans="1:28" ht="15.75" customHeight="1" x14ac:dyDescent="0.25">
      <c r="A203" s="110"/>
      <c r="B203" s="112"/>
      <c r="C203" s="113"/>
      <c r="D203" s="111"/>
      <c r="E203" s="113"/>
      <c r="F203" s="111"/>
      <c r="G203" s="112"/>
      <c r="H203" s="110"/>
      <c r="I203" s="112"/>
      <c r="J203" s="112"/>
      <c r="K203" s="112"/>
      <c r="L203" s="114"/>
      <c r="M203" s="114"/>
      <c r="N203" s="112"/>
      <c r="O203" s="115"/>
      <c r="P203" s="115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</row>
    <row r="204" spans="1:28" ht="15.75" customHeight="1" x14ac:dyDescent="0.25">
      <c r="A204" s="110"/>
      <c r="B204" s="112"/>
      <c r="C204" s="113"/>
      <c r="D204" s="111"/>
      <c r="E204" s="113"/>
      <c r="F204" s="111"/>
      <c r="G204" s="112"/>
      <c r="H204" s="110"/>
      <c r="I204" s="112"/>
      <c r="J204" s="112"/>
      <c r="K204" s="112"/>
      <c r="L204" s="114"/>
      <c r="M204" s="114"/>
      <c r="N204" s="112"/>
      <c r="O204" s="115"/>
      <c r="P204" s="115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</row>
    <row r="205" spans="1:28" ht="15.75" customHeight="1" x14ac:dyDescent="0.25">
      <c r="A205" s="110"/>
      <c r="B205" s="112"/>
      <c r="C205" s="113"/>
      <c r="D205" s="111"/>
      <c r="E205" s="113"/>
      <c r="F205" s="111"/>
      <c r="G205" s="112"/>
      <c r="H205" s="110"/>
      <c r="I205" s="112"/>
      <c r="J205" s="112"/>
      <c r="K205" s="112"/>
      <c r="L205" s="114"/>
      <c r="M205" s="114"/>
      <c r="N205" s="112"/>
      <c r="O205" s="115"/>
      <c r="P205" s="115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</row>
    <row r="206" spans="1:28" ht="15.75" customHeight="1" x14ac:dyDescent="0.25">
      <c r="A206" s="110"/>
      <c r="B206" s="112"/>
      <c r="C206" s="113"/>
      <c r="D206" s="111"/>
      <c r="E206" s="113"/>
      <c r="F206" s="111"/>
      <c r="G206" s="112"/>
      <c r="H206" s="110"/>
      <c r="I206" s="112"/>
      <c r="J206" s="112"/>
      <c r="K206" s="112"/>
      <c r="L206" s="114"/>
      <c r="M206" s="114"/>
      <c r="N206" s="112"/>
      <c r="O206" s="115"/>
      <c r="P206" s="115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</row>
    <row r="207" spans="1:28" ht="15.75" customHeight="1" x14ac:dyDescent="0.25">
      <c r="A207" s="110"/>
      <c r="B207" s="112"/>
      <c r="C207" s="113"/>
      <c r="D207" s="111"/>
      <c r="E207" s="113"/>
      <c r="F207" s="111"/>
      <c r="G207" s="112"/>
      <c r="H207" s="110"/>
      <c r="I207" s="112"/>
      <c r="J207" s="112"/>
      <c r="K207" s="112"/>
      <c r="L207" s="114"/>
      <c r="M207" s="114"/>
      <c r="N207" s="112"/>
      <c r="O207" s="115"/>
      <c r="P207" s="115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</row>
    <row r="208" spans="1:28" ht="15.75" customHeight="1" x14ac:dyDescent="0.25">
      <c r="A208" s="110"/>
      <c r="B208" s="112"/>
      <c r="C208" s="113"/>
      <c r="D208" s="111"/>
      <c r="E208" s="113"/>
      <c r="F208" s="111"/>
      <c r="G208" s="112"/>
      <c r="H208" s="110"/>
      <c r="I208" s="112"/>
      <c r="J208" s="112"/>
      <c r="K208" s="112"/>
      <c r="L208" s="114"/>
      <c r="M208" s="114"/>
      <c r="N208" s="112"/>
      <c r="O208" s="115"/>
      <c r="P208" s="115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</row>
    <row r="209" spans="1:28" ht="15.75" customHeight="1" x14ac:dyDescent="0.25">
      <c r="A209" s="110"/>
      <c r="B209" s="112"/>
      <c r="C209" s="113"/>
      <c r="D209" s="111"/>
      <c r="E209" s="113"/>
      <c r="F209" s="111"/>
      <c r="G209" s="112"/>
      <c r="H209" s="110"/>
      <c r="I209" s="112"/>
      <c r="J209" s="112"/>
      <c r="K209" s="112"/>
      <c r="L209" s="114"/>
      <c r="M209" s="114"/>
      <c r="N209" s="112"/>
      <c r="O209" s="115"/>
      <c r="P209" s="115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</row>
    <row r="210" spans="1:28" ht="15.75" customHeight="1" x14ac:dyDescent="0.25">
      <c r="A210" s="110"/>
      <c r="B210" s="112"/>
      <c r="C210" s="113"/>
      <c r="D210" s="111"/>
      <c r="E210" s="113"/>
      <c r="F210" s="111"/>
      <c r="G210" s="112"/>
      <c r="H210" s="110"/>
      <c r="I210" s="112"/>
      <c r="J210" s="112"/>
      <c r="K210" s="112"/>
      <c r="L210" s="114"/>
      <c r="M210" s="114"/>
      <c r="N210" s="112"/>
      <c r="O210" s="115"/>
      <c r="P210" s="115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</row>
    <row r="211" spans="1:28" ht="15.75" customHeight="1" x14ac:dyDescent="0.25">
      <c r="A211" s="110"/>
      <c r="B211" s="112"/>
      <c r="C211" s="113"/>
      <c r="D211" s="111"/>
      <c r="E211" s="113"/>
      <c r="F211" s="111"/>
      <c r="G211" s="112"/>
      <c r="H211" s="110"/>
      <c r="I211" s="112"/>
      <c r="J211" s="112"/>
      <c r="K211" s="112"/>
      <c r="L211" s="114"/>
      <c r="M211" s="114"/>
      <c r="N211" s="112"/>
      <c r="O211" s="115"/>
      <c r="P211" s="115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</row>
    <row r="212" spans="1:28" ht="15.75" customHeight="1" x14ac:dyDescent="0.25">
      <c r="A212" s="110"/>
      <c r="B212" s="112"/>
      <c r="C212" s="113"/>
      <c r="D212" s="111"/>
      <c r="E212" s="113"/>
      <c r="F212" s="111"/>
      <c r="G212" s="112"/>
      <c r="H212" s="110"/>
      <c r="I212" s="112"/>
      <c r="J212" s="112"/>
      <c r="K212" s="112"/>
      <c r="L212" s="114"/>
      <c r="M212" s="114"/>
      <c r="N212" s="112"/>
      <c r="O212" s="115"/>
      <c r="P212" s="115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</row>
    <row r="213" spans="1:28" ht="15.75" customHeight="1" x14ac:dyDescent="0.25">
      <c r="A213" s="110"/>
      <c r="B213" s="112"/>
      <c r="C213" s="113"/>
      <c r="D213" s="111"/>
      <c r="E213" s="113"/>
      <c r="F213" s="111"/>
      <c r="G213" s="112"/>
      <c r="H213" s="110"/>
      <c r="I213" s="112"/>
      <c r="J213" s="112"/>
      <c r="K213" s="112"/>
      <c r="L213" s="114"/>
      <c r="M213" s="114"/>
      <c r="N213" s="112"/>
      <c r="O213" s="115"/>
      <c r="P213" s="115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</row>
    <row r="214" spans="1:28" ht="15.75" customHeight="1" x14ac:dyDescent="0.25">
      <c r="A214" s="110"/>
      <c r="B214" s="112"/>
      <c r="C214" s="113"/>
      <c r="D214" s="111"/>
      <c r="E214" s="113"/>
      <c r="F214" s="111"/>
      <c r="G214" s="112"/>
      <c r="H214" s="110"/>
      <c r="I214" s="112"/>
      <c r="J214" s="112"/>
      <c r="K214" s="112"/>
      <c r="L214" s="114"/>
      <c r="M214" s="114"/>
      <c r="N214" s="112"/>
      <c r="O214" s="115"/>
      <c r="P214" s="115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</row>
    <row r="215" spans="1:28" ht="15.75" customHeight="1" x14ac:dyDescent="0.25">
      <c r="A215" s="110"/>
      <c r="B215" s="112"/>
      <c r="C215" s="113"/>
      <c r="D215" s="111"/>
      <c r="E215" s="113"/>
      <c r="F215" s="111"/>
      <c r="G215" s="112"/>
      <c r="H215" s="110"/>
      <c r="I215" s="112"/>
      <c r="J215" s="112"/>
      <c r="K215" s="112"/>
      <c r="L215" s="114"/>
      <c r="M215" s="114"/>
      <c r="N215" s="112"/>
      <c r="O215" s="115"/>
      <c r="P215" s="115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</row>
    <row r="216" spans="1:28" ht="15.75" customHeight="1" x14ac:dyDescent="0.25">
      <c r="A216" s="110"/>
      <c r="B216" s="112"/>
      <c r="C216" s="113"/>
      <c r="D216" s="111"/>
      <c r="E216" s="113"/>
      <c r="F216" s="111"/>
      <c r="G216" s="112"/>
      <c r="H216" s="110"/>
      <c r="I216" s="112"/>
      <c r="J216" s="112"/>
      <c r="K216" s="112"/>
      <c r="L216" s="114"/>
      <c r="M216" s="114"/>
      <c r="N216" s="112"/>
      <c r="O216" s="115"/>
      <c r="P216" s="115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</row>
    <row r="217" spans="1:28" ht="15.75" customHeight="1" x14ac:dyDescent="0.25">
      <c r="A217" s="110"/>
      <c r="B217" s="112"/>
      <c r="C217" s="113"/>
      <c r="D217" s="111"/>
      <c r="E217" s="113"/>
      <c r="F217" s="111"/>
      <c r="G217" s="112"/>
      <c r="H217" s="110"/>
      <c r="I217" s="112"/>
      <c r="J217" s="112"/>
      <c r="K217" s="112"/>
      <c r="L217" s="114"/>
      <c r="M217" s="114"/>
      <c r="N217" s="112"/>
      <c r="O217" s="115"/>
      <c r="P217" s="115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</row>
    <row r="218" spans="1:28" ht="15.75" customHeight="1" x14ac:dyDescent="0.25">
      <c r="A218" s="110"/>
      <c r="B218" s="112"/>
      <c r="C218" s="113"/>
      <c r="D218" s="111"/>
      <c r="E218" s="113"/>
      <c r="F218" s="111"/>
      <c r="G218" s="112"/>
      <c r="H218" s="110"/>
      <c r="I218" s="112"/>
      <c r="J218" s="112"/>
      <c r="K218" s="112"/>
      <c r="L218" s="114"/>
      <c r="M218" s="114"/>
      <c r="N218" s="112"/>
      <c r="O218" s="115"/>
      <c r="P218" s="115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</row>
    <row r="219" spans="1:28" ht="15.75" customHeight="1" x14ac:dyDescent="0.25">
      <c r="A219" s="110"/>
      <c r="B219" s="112"/>
      <c r="C219" s="113"/>
      <c r="D219" s="111"/>
      <c r="E219" s="113"/>
      <c r="F219" s="111"/>
      <c r="G219" s="112"/>
      <c r="H219" s="110"/>
      <c r="I219" s="112"/>
      <c r="J219" s="112"/>
      <c r="K219" s="112"/>
      <c r="L219" s="114"/>
      <c r="M219" s="114"/>
      <c r="N219" s="112"/>
      <c r="O219" s="115"/>
      <c r="P219" s="115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</row>
    <row r="220" spans="1:28" ht="15.75" customHeight="1" x14ac:dyDescent="0.25">
      <c r="A220" s="110"/>
      <c r="B220" s="112"/>
      <c r="C220" s="113"/>
      <c r="D220" s="111"/>
      <c r="E220" s="113"/>
      <c r="F220" s="111"/>
      <c r="G220" s="112"/>
      <c r="H220" s="110"/>
      <c r="I220" s="112"/>
      <c r="J220" s="112"/>
      <c r="K220" s="112"/>
      <c r="L220" s="114"/>
      <c r="M220" s="114"/>
      <c r="N220" s="112"/>
      <c r="O220" s="115"/>
      <c r="P220" s="115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</row>
    <row r="221" spans="1:28" ht="15.75" customHeight="1" x14ac:dyDescent="0.25">
      <c r="A221" s="110"/>
      <c r="B221" s="112"/>
      <c r="C221" s="113"/>
      <c r="D221" s="111"/>
      <c r="E221" s="113"/>
      <c r="F221" s="111"/>
      <c r="G221" s="112"/>
      <c r="H221" s="110"/>
      <c r="I221" s="112"/>
      <c r="J221" s="112"/>
      <c r="K221" s="112"/>
      <c r="L221" s="114"/>
      <c r="M221" s="114"/>
      <c r="N221" s="112"/>
      <c r="O221" s="115"/>
      <c r="P221" s="115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</row>
    <row r="222" spans="1:28" ht="15.75" customHeight="1" x14ac:dyDescent="0.25">
      <c r="A222" s="110"/>
      <c r="B222" s="112"/>
      <c r="C222" s="113"/>
      <c r="D222" s="111"/>
      <c r="E222" s="113"/>
      <c r="F222" s="111"/>
      <c r="G222" s="112"/>
      <c r="H222" s="110"/>
      <c r="I222" s="112"/>
      <c r="J222" s="112"/>
      <c r="K222" s="112"/>
      <c r="L222" s="114"/>
      <c r="M222" s="114"/>
      <c r="N222" s="112"/>
      <c r="O222" s="115"/>
      <c r="P222" s="115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</row>
    <row r="223" spans="1:28" ht="15.75" customHeight="1" x14ac:dyDescent="0.25">
      <c r="A223" s="110"/>
      <c r="B223" s="112"/>
      <c r="C223" s="113"/>
      <c r="D223" s="111"/>
      <c r="E223" s="113"/>
      <c r="F223" s="111"/>
      <c r="G223" s="112"/>
      <c r="H223" s="110"/>
      <c r="I223" s="112"/>
      <c r="J223" s="112"/>
      <c r="K223" s="112"/>
      <c r="L223" s="114"/>
      <c r="M223" s="114"/>
      <c r="N223" s="112"/>
      <c r="O223" s="115"/>
      <c r="P223" s="115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</row>
    <row r="224" spans="1:28" ht="15.75" customHeight="1" x14ac:dyDescent="0.25">
      <c r="A224" s="110"/>
      <c r="B224" s="112"/>
      <c r="C224" s="113"/>
      <c r="D224" s="111"/>
      <c r="E224" s="113"/>
      <c r="F224" s="111"/>
      <c r="G224" s="112"/>
      <c r="H224" s="110"/>
      <c r="I224" s="112"/>
      <c r="J224" s="112"/>
      <c r="K224" s="112"/>
      <c r="L224" s="114"/>
      <c r="M224" s="114"/>
      <c r="N224" s="112"/>
      <c r="O224" s="115"/>
      <c r="P224" s="115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</row>
    <row r="225" spans="1:28" ht="15.75" customHeight="1" x14ac:dyDescent="0.25">
      <c r="A225" s="110"/>
      <c r="B225" s="112"/>
      <c r="C225" s="113"/>
      <c r="D225" s="111"/>
      <c r="E225" s="113"/>
      <c r="F225" s="111"/>
      <c r="G225" s="112"/>
      <c r="H225" s="110"/>
      <c r="I225" s="112"/>
      <c r="J225" s="112"/>
      <c r="K225" s="112"/>
      <c r="L225" s="114"/>
      <c r="M225" s="114"/>
      <c r="N225" s="112"/>
      <c r="O225" s="115"/>
      <c r="P225" s="115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</row>
    <row r="226" spans="1:28" ht="15.75" customHeight="1" x14ac:dyDescent="0.25">
      <c r="A226" s="110"/>
      <c r="B226" s="112"/>
      <c r="C226" s="113"/>
      <c r="D226" s="111"/>
      <c r="E226" s="113"/>
      <c r="F226" s="111"/>
      <c r="G226" s="112"/>
      <c r="H226" s="110"/>
      <c r="I226" s="112"/>
      <c r="J226" s="112"/>
      <c r="K226" s="112"/>
      <c r="L226" s="114"/>
      <c r="M226" s="114"/>
      <c r="N226" s="112"/>
      <c r="O226" s="115"/>
      <c r="P226" s="115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</row>
    <row r="227" spans="1:28" ht="15.75" customHeight="1" x14ac:dyDescent="0.25">
      <c r="A227" s="110"/>
      <c r="B227" s="112"/>
      <c r="C227" s="113"/>
      <c r="D227" s="111"/>
      <c r="E227" s="113"/>
      <c r="F227" s="111"/>
      <c r="G227" s="112"/>
      <c r="H227" s="110"/>
      <c r="I227" s="112"/>
      <c r="J227" s="112"/>
      <c r="K227" s="112"/>
      <c r="L227" s="114"/>
      <c r="M227" s="114"/>
      <c r="N227" s="112"/>
      <c r="O227" s="115"/>
      <c r="P227" s="115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</row>
    <row r="228" spans="1:28" ht="15.75" customHeight="1" x14ac:dyDescent="0.25">
      <c r="A228" s="110"/>
      <c r="B228" s="112"/>
      <c r="C228" s="113"/>
      <c r="D228" s="111"/>
      <c r="E228" s="113"/>
      <c r="F228" s="111"/>
      <c r="G228" s="112"/>
      <c r="H228" s="110"/>
      <c r="I228" s="112"/>
      <c r="J228" s="112"/>
      <c r="K228" s="112"/>
      <c r="L228" s="114"/>
      <c r="M228" s="114"/>
      <c r="N228" s="112"/>
      <c r="O228" s="115"/>
      <c r="P228" s="115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</row>
    <row r="229" spans="1:28" ht="15.75" customHeight="1" x14ac:dyDescent="0.25">
      <c r="A229" s="110"/>
      <c r="B229" s="112"/>
      <c r="C229" s="113"/>
      <c r="D229" s="111"/>
      <c r="E229" s="113"/>
      <c r="F229" s="111"/>
      <c r="G229" s="112"/>
      <c r="H229" s="110"/>
      <c r="I229" s="112"/>
      <c r="J229" s="112"/>
      <c r="K229" s="112"/>
      <c r="L229" s="114"/>
      <c r="M229" s="114"/>
      <c r="N229" s="112"/>
      <c r="O229" s="115"/>
      <c r="P229" s="115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</row>
    <row r="230" spans="1:28" ht="15.75" customHeight="1" x14ac:dyDescent="0.25">
      <c r="A230" s="110"/>
      <c r="B230" s="112"/>
      <c r="C230" s="113"/>
      <c r="D230" s="111"/>
      <c r="E230" s="113"/>
      <c r="F230" s="111"/>
      <c r="G230" s="112"/>
      <c r="H230" s="110"/>
      <c r="I230" s="112"/>
      <c r="J230" s="112"/>
      <c r="K230" s="112"/>
      <c r="L230" s="114"/>
      <c r="M230" s="114"/>
      <c r="N230" s="112"/>
      <c r="O230" s="115"/>
      <c r="P230" s="115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</row>
    <row r="231" spans="1:28" ht="15.75" customHeight="1" x14ac:dyDescent="0.25">
      <c r="A231" s="110"/>
      <c r="B231" s="112"/>
      <c r="C231" s="113"/>
      <c r="D231" s="111"/>
      <c r="E231" s="113"/>
      <c r="F231" s="111"/>
      <c r="G231" s="112"/>
      <c r="H231" s="110"/>
      <c r="I231" s="112"/>
      <c r="J231" s="112"/>
      <c r="K231" s="112"/>
      <c r="L231" s="114"/>
      <c r="M231" s="114"/>
      <c r="N231" s="112"/>
      <c r="O231" s="115"/>
      <c r="P231" s="115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</row>
    <row r="232" spans="1:28" ht="15.75" customHeight="1" x14ac:dyDescent="0.25">
      <c r="A232" s="110"/>
      <c r="B232" s="112"/>
      <c r="C232" s="113"/>
      <c r="D232" s="111"/>
      <c r="E232" s="113"/>
      <c r="F232" s="111"/>
      <c r="G232" s="112"/>
      <c r="H232" s="110"/>
      <c r="I232" s="112"/>
      <c r="J232" s="112"/>
      <c r="K232" s="112"/>
      <c r="L232" s="114"/>
      <c r="M232" s="114"/>
      <c r="N232" s="112"/>
      <c r="O232" s="115"/>
      <c r="P232" s="115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</row>
    <row r="233" spans="1:28" ht="15.75" customHeight="1" x14ac:dyDescent="0.25">
      <c r="A233" s="110"/>
      <c r="B233" s="112"/>
      <c r="C233" s="113"/>
      <c r="D233" s="111"/>
      <c r="E233" s="113"/>
      <c r="F233" s="111"/>
      <c r="G233" s="112"/>
      <c r="H233" s="110"/>
      <c r="I233" s="112"/>
      <c r="J233" s="112"/>
      <c r="K233" s="112"/>
      <c r="L233" s="114"/>
      <c r="M233" s="114"/>
      <c r="N233" s="112"/>
      <c r="O233" s="115"/>
      <c r="P233" s="115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</row>
    <row r="234" spans="1:28" ht="15.75" customHeight="1" x14ac:dyDescent="0.25">
      <c r="A234" s="110"/>
      <c r="B234" s="112"/>
      <c r="C234" s="113"/>
      <c r="D234" s="111"/>
      <c r="E234" s="113"/>
      <c r="F234" s="111"/>
      <c r="G234" s="112"/>
      <c r="H234" s="110"/>
      <c r="I234" s="112"/>
      <c r="J234" s="112"/>
      <c r="K234" s="112"/>
      <c r="L234" s="114"/>
      <c r="M234" s="114"/>
      <c r="N234" s="112"/>
      <c r="O234" s="115"/>
      <c r="P234" s="115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</row>
    <row r="235" spans="1:28" ht="15.75" customHeight="1" x14ac:dyDescent="0.25">
      <c r="A235" s="110"/>
      <c r="B235" s="112"/>
      <c r="C235" s="113"/>
      <c r="D235" s="111"/>
      <c r="E235" s="113"/>
      <c r="F235" s="111"/>
      <c r="G235" s="112"/>
      <c r="H235" s="110"/>
      <c r="I235" s="112"/>
      <c r="J235" s="112"/>
      <c r="K235" s="112"/>
      <c r="L235" s="114"/>
      <c r="M235" s="114"/>
      <c r="N235" s="112"/>
      <c r="O235" s="115"/>
      <c r="P235" s="115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</row>
    <row r="236" spans="1:28" ht="15.75" customHeight="1" x14ac:dyDescent="0.25">
      <c r="A236" s="110"/>
      <c r="B236" s="112"/>
      <c r="C236" s="113"/>
      <c r="D236" s="111"/>
      <c r="E236" s="113"/>
      <c r="F236" s="111"/>
      <c r="G236" s="112"/>
      <c r="H236" s="110"/>
      <c r="I236" s="112"/>
      <c r="J236" s="112"/>
      <c r="K236" s="112"/>
      <c r="L236" s="114"/>
      <c r="M236" s="114"/>
      <c r="N236" s="112"/>
      <c r="O236" s="115"/>
      <c r="P236" s="115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</row>
    <row r="237" spans="1:28" ht="15.75" customHeight="1" x14ac:dyDescent="0.25">
      <c r="A237" s="110"/>
      <c r="B237" s="112"/>
      <c r="C237" s="113"/>
      <c r="D237" s="111"/>
      <c r="E237" s="113"/>
      <c r="F237" s="111"/>
      <c r="G237" s="112"/>
      <c r="H237" s="110"/>
      <c r="I237" s="112"/>
      <c r="J237" s="112"/>
      <c r="K237" s="112"/>
      <c r="L237" s="114"/>
      <c r="M237" s="114"/>
      <c r="N237" s="112"/>
      <c r="O237" s="115"/>
      <c r="P237" s="115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</row>
    <row r="238" spans="1:28" ht="15.75" customHeight="1" x14ac:dyDescent="0.25">
      <c r="A238" s="110"/>
      <c r="B238" s="112"/>
      <c r="C238" s="113"/>
      <c r="D238" s="111"/>
      <c r="E238" s="113"/>
      <c r="F238" s="111"/>
      <c r="G238" s="112"/>
      <c r="H238" s="110"/>
      <c r="I238" s="112"/>
      <c r="J238" s="112"/>
      <c r="K238" s="112"/>
      <c r="L238" s="114"/>
      <c r="M238" s="114"/>
      <c r="N238" s="112"/>
      <c r="O238" s="115"/>
      <c r="P238" s="115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</row>
    <row r="239" spans="1:28" ht="15.75" customHeight="1" x14ac:dyDescent="0.25">
      <c r="A239" s="110"/>
      <c r="B239" s="112"/>
      <c r="C239" s="113"/>
      <c r="D239" s="111"/>
      <c r="E239" s="113"/>
      <c r="F239" s="111"/>
      <c r="G239" s="112"/>
      <c r="H239" s="110"/>
      <c r="I239" s="112"/>
      <c r="J239" s="112"/>
      <c r="K239" s="112"/>
      <c r="L239" s="114"/>
      <c r="M239" s="114"/>
      <c r="N239" s="112"/>
      <c r="O239" s="115"/>
      <c r="P239" s="115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</row>
    <row r="240" spans="1:28" ht="15.75" customHeight="1" x14ac:dyDescent="0.25">
      <c r="A240" s="110"/>
      <c r="B240" s="112"/>
      <c r="C240" s="113"/>
      <c r="D240" s="111"/>
      <c r="E240" s="113"/>
      <c r="F240" s="111"/>
      <c r="G240" s="112"/>
      <c r="H240" s="110"/>
      <c r="I240" s="112"/>
      <c r="J240" s="112"/>
      <c r="K240" s="112"/>
      <c r="L240" s="114"/>
      <c r="M240" s="114"/>
      <c r="N240" s="112"/>
      <c r="O240" s="115"/>
      <c r="P240" s="115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</row>
    <row r="241" spans="1:28" ht="15.75" customHeight="1" x14ac:dyDescent="0.25">
      <c r="A241" s="110"/>
      <c r="B241" s="112"/>
      <c r="C241" s="113"/>
      <c r="D241" s="111"/>
      <c r="E241" s="113"/>
      <c r="F241" s="111"/>
      <c r="G241" s="112"/>
      <c r="H241" s="110"/>
      <c r="I241" s="112"/>
      <c r="J241" s="112"/>
      <c r="K241" s="112"/>
      <c r="L241" s="114"/>
      <c r="M241" s="114"/>
      <c r="N241" s="112"/>
      <c r="O241" s="115"/>
      <c r="P241" s="115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</row>
    <row r="242" spans="1:28" ht="15.75" customHeight="1" x14ac:dyDescent="0.25">
      <c r="A242" s="110"/>
      <c r="B242" s="112"/>
      <c r="C242" s="113"/>
      <c r="D242" s="111"/>
      <c r="E242" s="113"/>
      <c r="F242" s="111"/>
      <c r="G242" s="112"/>
      <c r="H242" s="110"/>
      <c r="I242" s="112"/>
      <c r="J242" s="112"/>
      <c r="K242" s="112"/>
      <c r="L242" s="114"/>
      <c r="M242" s="114"/>
      <c r="N242" s="112"/>
      <c r="O242" s="115"/>
      <c r="P242" s="115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</row>
    <row r="243" spans="1:28" ht="15.75" customHeight="1" x14ac:dyDescent="0.25">
      <c r="A243" s="110"/>
      <c r="B243" s="112"/>
      <c r="C243" s="113"/>
      <c r="D243" s="111"/>
      <c r="E243" s="113"/>
      <c r="F243" s="111"/>
      <c r="G243" s="112"/>
      <c r="H243" s="110"/>
      <c r="I243" s="112"/>
      <c r="J243" s="112"/>
      <c r="K243" s="112"/>
      <c r="L243" s="114"/>
      <c r="M243" s="114"/>
      <c r="N243" s="112"/>
      <c r="O243" s="115"/>
      <c r="P243" s="115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</row>
    <row r="244" spans="1:28" ht="15.75" customHeight="1" x14ac:dyDescent="0.25">
      <c r="A244" s="110"/>
      <c r="B244" s="112"/>
      <c r="C244" s="113"/>
      <c r="D244" s="111"/>
      <c r="E244" s="113"/>
      <c r="F244" s="111"/>
      <c r="G244" s="112"/>
      <c r="H244" s="110"/>
      <c r="I244" s="112"/>
      <c r="J244" s="112"/>
      <c r="K244" s="112"/>
      <c r="L244" s="114"/>
      <c r="M244" s="114"/>
      <c r="N244" s="112"/>
      <c r="O244" s="115"/>
      <c r="P244" s="115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</row>
    <row r="245" spans="1:28" ht="15.75" customHeight="1" x14ac:dyDescent="0.25">
      <c r="A245" s="110"/>
      <c r="B245" s="112"/>
      <c r="C245" s="113"/>
      <c r="D245" s="111"/>
      <c r="E245" s="113"/>
      <c r="F245" s="111"/>
      <c r="G245" s="112"/>
      <c r="H245" s="110"/>
      <c r="I245" s="112"/>
      <c r="J245" s="112"/>
      <c r="K245" s="112"/>
      <c r="L245" s="114"/>
      <c r="M245" s="114"/>
      <c r="N245" s="112"/>
      <c r="O245" s="115"/>
      <c r="P245" s="115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</row>
    <row r="246" spans="1:28" ht="15.75" customHeight="1" x14ac:dyDescent="0.25">
      <c r="A246" s="110"/>
      <c r="B246" s="112"/>
      <c r="C246" s="113"/>
      <c r="D246" s="111"/>
      <c r="E246" s="113"/>
      <c r="F246" s="111"/>
      <c r="G246" s="112"/>
      <c r="H246" s="110"/>
      <c r="I246" s="112"/>
      <c r="J246" s="112"/>
      <c r="K246" s="112"/>
      <c r="L246" s="114"/>
      <c r="M246" s="114"/>
      <c r="N246" s="112"/>
      <c r="O246" s="115"/>
      <c r="P246" s="115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</row>
    <row r="247" spans="1:28" ht="15.75" customHeight="1" x14ac:dyDescent="0.25">
      <c r="A247" s="110"/>
      <c r="B247" s="112"/>
      <c r="C247" s="113"/>
      <c r="D247" s="111"/>
      <c r="E247" s="113"/>
      <c r="F247" s="111"/>
      <c r="G247" s="112"/>
      <c r="H247" s="110"/>
      <c r="I247" s="112"/>
      <c r="J247" s="112"/>
      <c r="K247" s="112"/>
      <c r="L247" s="114"/>
      <c r="M247" s="114"/>
      <c r="N247" s="112"/>
      <c r="O247" s="115"/>
      <c r="P247" s="115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</row>
    <row r="248" spans="1:28" ht="15.75" customHeight="1" x14ac:dyDescent="0.25">
      <c r="A248" s="110"/>
      <c r="B248" s="112"/>
      <c r="C248" s="113"/>
      <c r="D248" s="111"/>
      <c r="E248" s="113"/>
      <c r="F248" s="111"/>
      <c r="G248" s="112"/>
      <c r="H248" s="110"/>
      <c r="I248" s="112"/>
      <c r="J248" s="112"/>
      <c r="K248" s="112"/>
      <c r="L248" s="114"/>
      <c r="M248" s="114"/>
      <c r="N248" s="112"/>
      <c r="O248" s="115"/>
      <c r="P248" s="115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</row>
    <row r="249" spans="1:28" ht="15.75" customHeight="1" x14ac:dyDescent="0.25">
      <c r="A249" s="110"/>
      <c r="B249" s="112"/>
      <c r="C249" s="113"/>
      <c r="D249" s="111"/>
      <c r="E249" s="113"/>
      <c r="F249" s="111"/>
      <c r="G249" s="112"/>
      <c r="H249" s="110"/>
      <c r="I249" s="112"/>
      <c r="J249" s="112"/>
      <c r="K249" s="112"/>
      <c r="L249" s="114"/>
      <c r="M249" s="114"/>
      <c r="N249" s="112"/>
      <c r="O249" s="115"/>
      <c r="P249" s="115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</row>
    <row r="250" spans="1:28" ht="15.75" customHeight="1" x14ac:dyDescent="0.25">
      <c r="A250" s="110"/>
      <c r="B250" s="112"/>
      <c r="C250" s="113"/>
      <c r="D250" s="111"/>
      <c r="E250" s="113"/>
      <c r="F250" s="111"/>
      <c r="G250" s="112"/>
      <c r="H250" s="110"/>
      <c r="I250" s="112"/>
      <c r="J250" s="112"/>
      <c r="K250" s="112"/>
      <c r="L250" s="114"/>
      <c r="M250" s="114"/>
      <c r="N250" s="112"/>
      <c r="O250" s="115"/>
      <c r="P250" s="115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</row>
    <row r="251" spans="1:28" ht="15.75" customHeight="1" x14ac:dyDescent="0.25">
      <c r="A251" s="110"/>
      <c r="B251" s="112"/>
      <c r="C251" s="113"/>
      <c r="D251" s="111"/>
      <c r="E251" s="113"/>
      <c r="F251" s="111"/>
      <c r="G251" s="112"/>
      <c r="H251" s="110"/>
      <c r="I251" s="112"/>
      <c r="J251" s="112"/>
      <c r="K251" s="112"/>
      <c r="L251" s="114"/>
      <c r="M251" s="114"/>
      <c r="N251" s="112"/>
      <c r="O251" s="115"/>
      <c r="P251" s="115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</row>
    <row r="252" spans="1:28" ht="15.75" customHeight="1" x14ac:dyDescent="0.25">
      <c r="A252" s="110"/>
      <c r="B252" s="112"/>
      <c r="C252" s="113"/>
      <c r="D252" s="111"/>
      <c r="E252" s="113"/>
      <c r="F252" s="111"/>
      <c r="G252" s="112"/>
      <c r="H252" s="110"/>
      <c r="I252" s="112"/>
      <c r="J252" s="112"/>
      <c r="K252" s="112"/>
      <c r="L252" s="114"/>
      <c r="M252" s="114"/>
      <c r="N252" s="112"/>
      <c r="O252" s="115"/>
      <c r="P252" s="115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</row>
    <row r="253" spans="1:28" ht="15.75" customHeight="1" x14ac:dyDescent="0.25">
      <c r="A253" s="110"/>
      <c r="B253" s="112"/>
      <c r="C253" s="113"/>
      <c r="D253" s="111"/>
      <c r="E253" s="113"/>
      <c r="F253" s="111"/>
      <c r="G253" s="112"/>
      <c r="H253" s="110"/>
      <c r="I253" s="112"/>
      <c r="J253" s="112"/>
      <c r="K253" s="112"/>
      <c r="L253" s="114"/>
      <c r="M253" s="114"/>
      <c r="N253" s="112"/>
      <c r="O253" s="115"/>
      <c r="P253" s="115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</row>
    <row r="254" spans="1:28" ht="15.75" customHeight="1" x14ac:dyDescent="0.25">
      <c r="A254" s="110"/>
      <c r="B254" s="112"/>
      <c r="C254" s="113"/>
      <c r="D254" s="111"/>
      <c r="E254" s="113"/>
      <c r="F254" s="111"/>
      <c r="G254" s="112"/>
      <c r="H254" s="110"/>
      <c r="I254" s="112"/>
      <c r="J254" s="112"/>
      <c r="K254" s="112"/>
      <c r="L254" s="114"/>
      <c r="M254" s="114"/>
      <c r="N254" s="112"/>
      <c r="O254" s="115"/>
      <c r="P254" s="115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</row>
    <row r="255" spans="1:28" ht="15.75" customHeight="1" x14ac:dyDescent="0.25">
      <c r="A255" s="110"/>
      <c r="B255" s="112"/>
      <c r="C255" s="113"/>
      <c r="D255" s="111"/>
      <c r="E255" s="113"/>
      <c r="F255" s="111"/>
      <c r="G255" s="112"/>
      <c r="H255" s="110"/>
      <c r="I255" s="112"/>
      <c r="J255" s="112"/>
      <c r="K255" s="112"/>
      <c r="L255" s="114"/>
      <c r="M255" s="114"/>
      <c r="N255" s="112"/>
      <c r="O255" s="115"/>
      <c r="P255" s="115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</row>
    <row r="256" spans="1:28" ht="15.75" customHeight="1" x14ac:dyDescent="0.25">
      <c r="A256" s="110"/>
      <c r="B256" s="112"/>
      <c r="C256" s="113"/>
      <c r="D256" s="111"/>
      <c r="E256" s="113"/>
      <c r="F256" s="111"/>
      <c r="G256" s="112"/>
      <c r="H256" s="110"/>
      <c r="I256" s="112"/>
      <c r="J256" s="112"/>
      <c r="K256" s="112"/>
      <c r="L256" s="114"/>
      <c r="M256" s="114"/>
      <c r="N256" s="112"/>
      <c r="O256" s="115"/>
      <c r="P256" s="115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</row>
    <row r="257" spans="1:28" ht="15.75" customHeight="1" x14ac:dyDescent="0.25">
      <c r="A257" s="110"/>
      <c r="B257" s="112"/>
      <c r="C257" s="113"/>
      <c r="D257" s="111"/>
      <c r="E257" s="113"/>
      <c r="F257" s="111"/>
      <c r="G257" s="112"/>
      <c r="H257" s="110"/>
      <c r="I257" s="112"/>
      <c r="J257" s="112"/>
      <c r="K257" s="112"/>
      <c r="L257" s="114"/>
      <c r="M257" s="114"/>
      <c r="N257" s="112"/>
      <c r="O257" s="115"/>
      <c r="P257" s="115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</row>
    <row r="258" spans="1:28" ht="15.75" customHeight="1" x14ac:dyDescent="0.25">
      <c r="A258" s="110"/>
      <c r="B258" s="112"/>
      <c r="C258" s="113"/>
      <c r="D258" s="111"/>
      <c r="E258" s="113"/>
      <c r="F258" s="111"/>
      <c r="G258" s="112"/>
      <c r="H258" s="110"/>
      <c r="I258" s="112"/>
      <c r="J258" s="112"/>
      <c r="K258" s="112"/>
      <c r="L258" s="114"/>
      <c r="M258" s="114"/>
      <c r="N258" s="112"/>
      <c r="O258" s="115"/>
      <c r="P258" s="115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</row>
    <row r="259" spans="1:28" ht="15.75" customHeight="1" x14ac:dyDescent="0.25">
      <c r="A259" s="110"/>
      <c r="B259" s="112"/>
      <c r="C259" s="113"/>
      <c r="D259" s="111"/>
      <c r="E259" s="113"/>
      <c r="F259" s="111"/>
      <c r="G259" s="112"/>
      <c r="H259" s="110"/>
      <c r="I259" s="112"/>
      <c r="J259" s="112"/>
      <c r="K259" s="112"/>
      <c r="L259" s="114"/>
      <c r="M259" s="114"/>
      <c r="N259" s="112"/>
      <c r="O259" s="115"/>
      <c r="P259" s="115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</row>
    <row r="260" spans="1:28" ht="15.75" customHeight="1" x14ac:dyDescent="0.25">
      <c r="A260" s="110"/>
      <c r="B260" s="112"/>
      <c r="C260" s="113"/>
      <c r="D260" s="111"/>
      <c r="E260" s="113"/>
      <c r="F260" s="111"/>
      <c r="G260" s="112"/>
      <c r="H260" s="110"/>
      <c r="I260" s="112"/>
      <c r="J260" s="112"/>
      <c r="K260" s="112"/>
      <c r="L260" s="114"/>
      <c r="M260" s="114"/>
      <c r="N260" s="112"/>
      <c r="O260" s="115"/>
      <c r="P260" s="115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</row>
    <row r="261" spans="1:28" ht="15.75" customHeight="1" x14ac:dyDescent="0.25">
      <c r="A261" s="110"/>
      <c r="B261" s="112"/>
      <c r="C261" s="113"/>
      <c r="D261" s="111"/>
      <c r="E261" s="113"/>
      <c r="F261" s="111"/>
      <c r="G261" s="112"/>
      <c r="H261" s="110"/>
      <c r="I261" s="112"/>
      <c r="J261" s="112"/>
      <c r="K261" s="112"/>
      <c r="L261" s="114"/>
      <c r="M261" s="114"/>
      <c r="N261" s="112"/>
      <c r="O261" s="115"/>
      <c r="P261" s="115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</row>
    <row r="262" spans="1:28" ht="15.75" customHeight="1" x14ac:dyDescent="0.25">
      <c r="A262" s="110"/>
      <c r="B262" s="112"/>
      <c r="C262" s="113"/>
      <c r="D262" s="111"/>
      <c r="E262" s="113"/>
      <c r="F262" s="111"/>
      <c r="G262" s="112"/>
      <c r="H262" s="110"/>
      <c r="I262" s="112"/>
      <c r="J262" s="112"/>
      <c r="K262" s="112"/>
      <c r="L262" s="114"/>
      <c r="M262" s="114"/>
      <c r="N262" s="112"/>
      <c r="O262" s="115"/>
      <c r="P262" s="115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</row>
    <row r="263" spans="1:28" ht="15.75" customHeight="1" x14ac:dyDescent="0.25">
      <c r="A263" s="110"/>
      <c r="B263" s="112"/>
      <c r="C263" s="113"/>
      <c r="D263" s="111"/>
      <c r="E263" s="113"/>
      <c r="F263" s="111"/>
      <c r="G263" s="112"/>
      <c r="H263" s="110"/>
      <c r="I263" s="112"/>
      <c r="J263" s="112"/>
      <c r="K263" s="112"/>
      <c r="L263" s="114"/>
      <c r="M263" s="114"/>
      <c r="N263" s="112"/>
      <c r="O263" s="115"/>
      <c r="P263" s="115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</row>
    <row r="264" spans="1:28" ht="15.75" customHeight="1" x14ac:dyDescent="0.25">
      <c r="A264" s="110"/>
      <c r="B264" s="112"/>
      <c r="C264" s="113"/>
      <c r="D264" s="111"/>
      <c r="E264" s="113"/>
      <c r="F264" s="111"/>
      <c r="G264" s="112"/>
      <c r="H264" s="110"/>
      <c r="I264" s="112"/>
      <c r="J264" s="112"/>
      <c r="K264" s="112"/>
      <c r="L264" s="114"/>
      <c r="M264" s="114"/>
      <c r="N264" s="112"/>
      <c r="O264" s="115"/>
      <c r="P264" s="115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</row>
    <row r="265" spans="1:28" ht="15.75" customHeight="1" x14ac:dyDescent="0.25">
      <c r="A265" s="110"/>
      <c r="B265" s="112"/>
      <c r="C265" s="113"/>
      <c r="D265" s="111"/>
      <c r="E265" s="113"/>
      <c r="F265" s="111"/>
      <c r="G265" s="112"/>
      <c r="H265" s="110"/>
      <c r="I265" s="112"/>
      <c r="J265" s="112"/>
      <c r="K265" s="112"/>
      <c r="L265" s="114"/>
      <c r="M265" s="114"/>
      <c r="N265" s="112"/>
      <c r="O265" s="115"/>
      <c r="P265" s="115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</row>
    <row r="266" spans="1:28" ht="15.75" customHeight="1" x14ac:dyDescent="0.25">
      <c r="A266" s="110"/>
      <c r="B266" s="112"/>
      <c r="C266" s="113"/>
      <c r="D266" s="111"/>
      <c r="E266" s="113"/>
      <c r="F266" s="111"/>
      <c r="G266" s="112"/>
      <c r="H266" s="110"/>
      <c r="I266" s="112"/>
      <c r="J266" s="112"/>
      <c r="K266" s="112"/>
      <c r="L266" s="114"/>
      <c r="M266" s="114"/>
      <c r="N266" s="112"/>
      <c r="O266" s="115"/>
      <c r="P266" s="115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</row>
    <row r="267" spans="1:28" ht="15.75" customHeight="1" x14ac:dyDescent="0.25">
      <c r="A267" s="110"/>
      <c r="B267" s="112"/>
      <c r="C267" s="113"/>
      <c r="D267" s="111"/>
      <c r="E267" s="113"/>
      <c r="F267" s="111"/>
      <c r="G267" s="112"/>
      <c r="H267" s="110"/>
      <c r="I267" s="112"/>
      <c r="J267" s="112"/>
      <c r="K267" s="112"/>
      <c r="L267" s="114"/>
      <c r="M267" s="114"/>
      <c r="N267" s="112"/>
      <c r="O267" s="115"/>
      <c r="P267" s="115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</row>
    <row r="268" spans="1:28" ht="15.75" customHeight="1" x14ac:dyDescent="0.25">
      <c r="A268" s="110"/>
      <c r="B268" s="112"/>
      <c r="C268" s="113"/>
      <c r="D268" s="111"/>
      <c r="E268" s="113"/>
      <c r="F268" s="111"/>
      <c r="G268" s="112"/>
      <c r="H268" s="110"/>
      <c r="I268" s="112"/>
      <c r="J268" s="112"/>
      <c r="K268" s="112"/>
      <c r="L268" s="114"/>
      <c r="M268" s="114"/>
      <c r="N268" s="112"/>
      <c r="O268" s="115"/>
      <c r="P268" s="115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</row>
    <row r="269" spans="1:28" ht="15.75" customHeight="1" x14ac:dyDescent="0.25">
      <c r="A269" s="110"/>
      <c r="B269" s="112"/>
      <c r="C269" s="113"/>
      <c r="D269" s="111"/>
      <c r="E269" s="113"/>
      <c r="F269" s="111"/>
      <c r="G269" s="112"/>
      <c r="H269" s="110"/>
      <c r="I269" s="112"/>
      <c r="J269" s="112"/>
      <c r="K269" s="112"/>
      <c r="L269" s="114"/>
      <c r="M269" s="114"/>
      <c r="N269" s="112"/>
      <c r="O269" s="115"/>
      <c r="P269" s="115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</row>
    <row r="270" spans="1:28" ht="15.75" customHeight="1" x14ac:dyDescent="0.25">
      <c r="A270" s="110"/>
      <c r="B270" s="112"/>
      <c r="C270" s="113"/>
      <c r="D270" s="111"/>
      <c r="E270" s="113"/>
      <c r="F270" s="111"/>
      <c r="G270" s="112"/>
      <c r="H270" s="110"/>
      <c r="I270" s="112"/>
      <c r="J270" s="112"/>
      <c r="K270" s="112"/>
      <c r="L270" s="114"/>
      <c r="M270" s="114"/>
      <c r="N270" s="112"/>
      <c r="O270" s="115"/>
      <c r="P270" s="115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</row>
    <row r="271" spans="1:28" ht="15.75" customHeight="1" x14ac:dyDescent="0.25">
      <c r="A271" s="110"/>
      <c r="B271" s="112"/>
      <c r="C271" s="113"/>
      <c r="D271" s="111"/>
      <c r="E271" s="113"/>
      <c r="F271" s="111"/>
      <c r="G271" s="112"/>
      <c r="H271" s="110"/>
      <c r="I271" s="112"/>
      <c r="J271" s="112"/>
      <c r="K271" s="112"/>
      <c r="L271" s="114"/>
      <c r="M271" s="114"/>
      <c r="N271" s="112"/>
      <c r="O271" s="115"/>
      <c r="P271" s="115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</row>
    <row r="272" spans="1:28" ht="15.75" customHeight="1" x14ac:dyDescent="0.25">
      <c r="A272" s="110"/>
      <c r="B272" s="112"/>
      <c r="C272" s="113"/>
      <c r="D272" s="111"/>
      <c r="E272" s="113"/>
      <c r="F272" s="111"/>
      <c r="G272" s="112"/>
      <c r="H272" s="110"/>
      <c r="I272" s="112"/>
      <c r="J272" s="112"/>
      <c r="K272" s="112"/>
      <c r="L272" s="114"/>
      <c r="M272" s="114"/>
      <c r="N272" s="112"/>
      <c r="O272" s="115"/>
      <c r="P272" s="115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</row>
    <row r="273" spans="1:28" ht="15.75" customHeight="1" x14ac:dyDescent="0.25">
      <c r="A273" s="110"/>
      <c r="B273" s="112"/>
      <c r="C273" s="113"/>
      <c r="D273" s="111"/>
      <c r="E273" s="113"/>
      <c r="F273" s="111"/>
      <c r="G273" s="112"/>
      <c r="H273" s="110"/>
      <c r="I273" s="112"/>
      <c r="J273" s="112"/>
      <c r="K273" s="112"/>
      <c r="L273" s="114"/>
      <c r="M273" s="114"/>
      <c r="N273" s="112"/>
      <c r="O273" s="115"/>
      <c r="P273" s="115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</row>
    <row r="274" spans="1:28" ht="15.75" customHeight="1" x14ac:dyDescent="0.25">
      <c r="A274" s="110"/>
      <c r="B274" s="112"/>
      <c r="C274" s="113"/>
      <c r="D274" s="111"/>
      <c r="E274" s="113"/>
      <c r="F274" s="111"/>
      <c r="G274" s="112"/>
      <c r="H274" s="110"/>
      <c r="I274" s="112"/>
      <c r="J274" s="112"/>
      <c r="K274" s="112"/>
      <c r="L274" s="114"/>
      <c r="M274" s="114"/>
      <c r="N274" s="112"/>
      <c r="O274" s="115"/>
      <c r="P274" s="115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</row>
    <row r="275" spans="1:28" ht="15.75" customHeight="1" x14ac:dyDescent="0.25">
      <c r="A275" s="110"/>
      <c r="B275" s="112"/>
      <c r="C275" s="113"/>
      <c r="D275" s="111"/>
      <c r="E275" s="113"/>
      <c r="F275" s="111"/>
      <c r="G275" s="112"/>
      <c r="H275" s="110"/>
      <c r="I275" s="112"/>
      <c r="J275" s="112"/>
      <c r="K275" s="112"/>
      <c r="L275" s="114"/>
      <c r="M275" s="114"/>
      <c r="N275" s="112"/>
      <c r="O275" s="115"/>
      <c r="P275" s="115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</row>
    <row r="276" spans="1:28" ht="15.75" customHeight="1" x14ac:dyDescent="0.25">
      <c r="A276" s="110"/>
      <c r="B276" s="112"/>
      <c r="C276" s="113"/>
      <c r="D276" s="111"/>
      <c r="E276" s="113"/>
      <c r="F276" s="111"/>
      <c r="G276" s="112"/>
      <c r="H276" s="110"/>
      <c r="I276" s="112"/>
      <c r="J276" s="112"/>
      <c r="K276" s="112"/>
      <c r="L276" s="114"/>
      <c r="M276" s="114"/>
      <c r="N276" s="112"/>
      <c r="O276" s="115"/>
      <c r="P276" s="115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</row>
    <row r="277" spans="1:28" ht="15.75" customHeight="1" x14ac:dyDescent="0.25">
      <c r="A277" s="110"/>
      <c r="B277" s="112"/>
      <c r="C277" s="113"/>
      <c r="D277" s="111"/>
      <c r="E277" s="113"/>
      <c r="F277" s="111"/>
      <c r="G277" s="112"/>
      <c r="H277" s="110"/>
      <c r="I277" s="112"/>
      <c r="J277" s="112"/>
      <c r="K277" s="112"/>
      <c r="L277" s="114"/>
      <c r="M277" s="114"/>
      <c r="N277" s="112"/>
      <c r="O277" s="115"/>
      <c r="P277" s="115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</row>
    <row r="278" spans="1:28" ht="15.75" customHeight="1" x14ac:dyDescent="0.25">
      <c r="A278" s="110"/>
      <c r="B278" s="112"/>
      <c r="C278" s="113"/>
      <c r="D278" s="111"/>
      <c r="E278" s="113"/>
      <c r="F278" s="111"/>
      <c r="G278" s="112"/>
      <c r="H278" s="110"/>
      <c r="I278" s="112"/>
      <c r="J278" s="112"/>
      <c r="K278" s="112"/>
      <c r="L278" s="114"/>
      <c r="M278" s="114"/>
      <c r="N278" s="112"/>
      <c r="O278" s="115"/>
      <c r="P278" s="115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</row>
    <row r="279" spans="1:28" ht="15.75" customHeight="1" x14ac:dyDescent="0.25">
      <c r="A279" s="110"/>
      <c r="B279" s="112"/>
      <c r="C279" s="113"/>
      <c r="D279" s="111"/>
      <c r="E279" s="113"/>
      <c r="F279" s="111"/>
      <c r="G279" s="112"/>
      <c r="H279" s="110"/>
      <c r="I279" s="112"/>
      <c r="J279" s="112"/>
      <c r="K279" s="112"/>
      <c r="L279" s="114"/>
      <c r="M279" s="114"/>
      <c r="N279" s="112"/>
      <c r="O279" s="115"/>
      <c r="P279" s="115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</row>
    <row r="280" spans="1:28" ht="15.75" customHeight="1" x14ac:dyDescent="0.25">
      <c r="A280" s="110"/>
      <c r="B280" s="112"/>
      <c r="C280" s="113"/>
      <c r="D280" s="111"/>
      <c r="E280" s="113"/>
      <c r="F280" s="111"/>
      <c r="G280" s="112"/>
      <c r="H280" s="110"/>
      <c r="I280" s="112"/>
      <c r="J280" s="112"/>
      <c r="K280" s="112"/>
      <c r="L280" s="114"/>
      <c r="M280" s="114"/>
      <c r="N280" s="112"/>
      <c r="O280" s="115"/>
      <c r="P280" s="115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</row>
    <row r="281" spans="1:28" ht="15.75" customHeight="1" x14ac:dyDescent="0.25">
      <c r="A281" s="110"/>
      <c r="B281" s="112"/>
      <c r="C281" s="113"/>
      <c r="D281" s="111"/>
      <c r="E281" s="113"/>
      <c r="F281" s="111"/>
      <c r="G281" s="112"/>
      <c r="H281" s="110"/>
      <c r="I281" s="112"/>
      <c r="J281" s="112"/>
      <c r="K281" s="112"/>
      <c r="L281" s="114"/>
      <c r="M281" s="114"/>
      <c r="N281" s="112"/>
      <c r="O281" s="115"/>
      <c r="P281" s="115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</row>
    <row r="282" spans="1:28" ht="15.75" customHeight="1" x14ac:dyDescent="0.25">
      <c r="A282" s="110"/>
      <c r="B282" s="112"/>
      <c r="C282" s="113"/>
      <c r="D282" s="111"/>
      <c r="E282" s="113"/>
      <c r="F282" s="111"/>
      <c r="G282" s="112"/>
      <c r="H282" s="110"/>
      <c r="I282" s="112"/>
      <c r="J282" s="112"/>
      <c r="K282" s="112"/>
      <c r="L282" s="114"/>
      <c r="M282" s="114"/>
      <c r="N282" s="112"/>
      <c r="O282" s="115"/>
      <c r="P282" s="115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</row>
    <row r="283" spans="1:28" ht="15.75" customHeight="1" x14ac:dyDescent="0.25">
      <c r="A283" s="110"/>
      <c r="B283" s="112"/>
      <c r="C283" s="113"/>
      <c r="D283" s="111"/>
      <c r="E283" s="113"/>
      <c r="F283" s="111"/>
      <c r="G283" s="112"/>
      <c r="H283" s="110"/>
      <c r="I283" s="112"/>
      <c r="J283" s="112"/>
      <c r="K283" s="112"/>
      <c r="L283" s="114"/>
      <c r="M283" s="114"/>
      <c r="N283" s="112"/>
      <c r="O283" s="115"/>
      <c r="P283" s="115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</row>
    <row r="284" spans="1:28" ht="15.75" customHeight="1" x14ac:dyDescent="0.25">
      <c r="A284" s="110"/>
      <c r="B284" s="112"/>
      <c r="C284" s="113"/>
      <c r="D284" s="111"/>
      <c r="E284" s="113"/>
      <c r="F284" s="111"/>
      <c r="G284" s="112"/>
      <c r="H284" s="110"/>
      <c r="I284" s="112"/>
      <c r="J284" s="112"/>
      <c r="K284" s="112"/>
      <c r="L284" s="114"/>
      <c r="M284" s="114"/>
      <c r="N284" s="112"/>
      <c r="O284" s="115"/>
      <c r="P284" s="115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</row>
    <row r="285" spans="1:28" ht="15.75" customHeight="1" x14ac:dyDescent="0.25">
      <c r="A285" s="110"/>
      <c r="B285" s="112"/>
      <c r="C285" s="113"/>
      <c r="D285" s="111"/>
      <c r="E285" s="113"/>
      <c r="F285" s="111"/>
      <c r="G285" s="112"/>
      <c r="H285" s="110"/>
      <c r="I285" s="112"/>
      <c r="J285" s="112"/>
      <c r="K285" s="112"/>
      <c r="L285" s="114"/>
      <c r="M285" s="114"/>
      <c r="N285" s="112"/>
      <c r="O285" s="115"/>
      <c r="P285" s="115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</row>
    <row r="286" spans="1:28" ht="15.75" customHeight="1" x14ac:dyDescent="0.25">
      <c r="A286" s="110"/>
      <c r="B286" s="112"/>
      <c r="C286" s="113"/>
      <c r="D286" s="111"/>
      <c r="E286" s="113"/>
      <c r="F286" s="111"/>
      <c r="G286" s="112"/>
      <c r="H286" s="110"/>
      <c r="I286" s="112"/>
      <c r="J286" s="112"/>
      <c r="K286" s="112"/>
      <c r="L286" s="114"/>
      <c r="M286" s="114"/>
      <c r="N286" s="112"/>
      <c r="O286" s="115"/>
      <c r="P286" s="115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</row>
    <row r="287" spans="1:28" ht="15.75" customHeight="1" x14ac:dyDescent="0.25">
      <c r="A287" s="110"/>
      <c r="B287" s="112"/>
      <c r="C287" s="113"/>
      <c r="D287" s="111"/>
      <c r="E287" s="113"/>
      <c r="F287" s="111"/>
      <c r="G287" s="112"/>
      <c r="H287" s="110"/>
      <c r="I287" s="112"/>
      <c r="J287" s="112"/>
      <c r="K287" s="112"/>
      <c r="L287" s="114"/>
      <c r="M287" s="114"/>
      <c r="N287" s="112"/>
      <c r="O287" s="115"/>
      <c r="P287" s="115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</row>
    <row r="288" spans="1:28" ht="15.75" customHeight="1" x14ac:dyDescent="0.25">
      <c r="A288" s="110"/>
      <c r="B288" s="112"/>
      <c r="C288" s="113"/>
      <c r="D288" s="111"/>
      <c r="E288" s="113"/>
      <c r="F288" s="111"/>
      <c r="G288" s="112"/>
      <c r="H288" s="110"/>
      <c r="I288" s="112"/>
      <c r="J288" s="112"/>
      <c r="K288" s="112"/>
      <c r="L288" s="114"/>
      <c r="M288" s="114"/>
      <c r="N288" s="112"/>
      <c r="O288" s="115"/>
      <c r="P288" s="115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</row>
    <row r="289" spans="1:28" ht="15.75" customHeight="1" x14ac:dyDescent="0.25">
      <c r="A289" s="110"/>
      <c r="B289" s="112"/>
      <c r="C289" s="113"/>
      <c r="D289" s="111"/>
      <c r="E289" s="113"/>
      <c r="F289" s="111"/>
      <c r="G289" s="112"/>
      <c r="H289" s="110"/>
      <c r="I289" s="112"/>
      <c r="J289" s="112"/>
      <c r="K289" s="112"/>
      <c r="L289" s="114"/>
      <c r="M289" s="114"/>
      <c r="N289" s="112"/>
      <c r="O289" s="115"/>
      <c r="P289" s="115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</row>
    <row r="290" spans="1:28" ht="15.75" customHeight="1" x14ac:dyDescent="0.25">
      <c r="A290" s="110"/>
      <c r="B290" s="112"/>
      <c r="C290" s="113"/>
      <c r="D290" s="111"/>
      <c r="E290" s="113"/>
      <c r="F290" s="111"/>
      <c r="G290" s="112"/>
      <c r="H290" s="110"/>
      <c r="I290" s="112"/>
      <c r="J290" s="112"/>
      <c r="K290" s="112"/>
      <c r="L290" s="114"/>
      <c r="M290" s="114"/>
      <c r="N290" s="112"/>
      <c r="O290" s="115"/>
      <c r="P290" s="115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</row>
    <row r="291" spans="1:28" ht="15.75" customHeight="1" x14ac:dyDescent="0.25">
      <c r="A291" s="110"/>
      <c r="B291" s="112"/>
      <c r="C291" s="113"/>
      <c r="D291" s="111"/>
      <c r="E291" s="113"/>
      <c r="F291" s="111"/>
      <c r="G291" s="112"/>
      <c r="H291" s="110"/>
      <c r="I291" s="112"/>
      <c r="J291" s="112"/>
      <c r="K291" s="112"/>
      <c r="L291" s="114"/>
      <c r="M291" s="114"/>
      <c r="N291" s="112"/>
      <c r="O291" s="115"/>
      <c r="P291" s="115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</row>
    <row r="292" spans="1:28" ht="15.75" customHeight="1" x14ac:dyDescent="0.25">
      <c r="A292" s="110"/>
      <c r="B292" s="112"/>
      <c r="C292" s="113"/>
      <c r="D292" s="111"/>
      <c r="E292" s="113"/>
      <c r="F292" s="111"/>
      <c r="G292" s="112"/>
      <c r="H292" s="110"/>
      <c r="I292" s="112"/>
      <c r="J292" s="112"/>
      <c r="K292" s="112"/>
      <c r="L292" s="114"/>
      <c r="M292" s="114"/>
      <c r="N292" s="112"/>
      <c r="O292" s="115"/>
      <c r="P292" s="115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</row>
    <row r="293" spans="1:28" ht="15.75" customHeight="1" x14ac:dyDescent="0.25">
      <c r="A293" s="110"/>
      <c r="B293" s="112"/>
      <c r="C293" s="113"/>
      <c r="D293" s="111"/>
      <c r="E293" s="113"/>
      <c r="F293" s="111"/>
      <c r="G293" s="112"/>
      <c r="H293" s="110"/>
      <c r="I293" s="112"/>
      <c r="J293" s="112"/>
      <c r="K293" s="112"/>
      <c r="L293" s="114"/>
      <c r="M293" s="114"/>
      <c r="N293" s="112"/>
      <c r="O293" s="115"/>
      <c r="P293" s="115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</row>
    <row r="294" spans="1:28" ht="15.75" customHeight="1" x14ac:dyDescent="0.25">
      <c r="A294" s="110"/>
      <c r="B294" s="112"/>
      <c r="C294" s="113"/>
      <c r="D294" s="111"/>
      <c r="E294" s="113"/>
      <c r="F294" s="111"/>
      <c r="G294" s="112"/>
      <c r="H294" s="110"/>
      <c r="I294" s="112"/>
      <c r="J294" s="112"/>
      <c r="K294" s="112"/>
      <c r="L294" s="114"/>
      <c r="M294" s="114"/>
      <c r="N294" s="112"/>
      <c r="O294" s="115"/>
      <c r="P294" s="115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</row>
    <row r="295" spans="1:28" ht="15.75" customHeight="1" x14ac:dyDescent="0.25">
      <c r="A295" s="110"/>
      <c r="B295" s="112"/>
      <c r="C295" s="113"/>
      <c r="D295" s="111"/>
      <c r="E295" s="113"/>
      <c r="F295" s="111"/>
      <c r="G295" s="112"/>
      <c r="H295" s="110"/>
      <c r="I295" s="112"/>
      <c r="J295" s="112"/>
      <c r="K295" s="112"/>
      <c r="L295" s="114"/>
      <c r="M295" s="114"/>
      <c r="N295" s="112"/>
      <c r="O295" s="115"/>
      <c r="P295" s="115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</row>
    <row r="296" spans="1:28" ht="15.75" customHeight="1" x14ac:dyDescent="0.25">
      <c r="A296" s="110"/>
      <c r="B296" s="112"/>
      <c r="C296" s="113"/>
      <c r="D296" s="111"/>
      <c r="E296" s="113"/>
      <c r="F296" s="111"/>
      <c r="G296" s="112"/>
      <c r="H296" s="110"/>
      <c r="I296" s="112"/>
      <c r="J296" s="112"/>
      <c r="K296" s="112"/>
      <c r="L296" s="114"/>
      <c r="M296" s="114"/>
      <c r="N296" s="112"/>
      <c r="O296" s="115"/>
      <c r="P296" s="115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</row>
    <row r="297" spans="1:28" ht="15.75" customHeight="1" x14ac:dyDescent="0.25">
      <c r="A297" s="110"/>
      <c r="B297" s="112"/>
      <c r="C297" s="113"/>
      <c r="D297" s="111"/>
      <c r="E297" s="113"/>
      <c r="F297" s="111"/>
      <c r="G297" s="112"/>
      <c r="H297" s="110"/>
      <c r="I297" s="112"/>
      <c r="J297" s="112"/>
      <c r="K297" s="112"/>
      <c r="L297" s="114"/>
      <c r="M297" s="114"/>
      <c r="N297" s="112"/>
      <c r="O297" s="115"/>
      <c r="P297" s="115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</row>
    <row r="298" spans="1:28" ht="15.75" customHeight="1" x14ac:dyDescent="0.25">
      <c r="A298" s="110"/>
      <c r="B298" s="112"/>
      <c r="C298" s="113"/>
      <c r="D298" s="111"/>
      <c r="E298" s="113"/>
      <c r="F298" s="111"/>
      <c r="G298" s="112"/>
      <c r="H298" s="110"/>
      <c r="I298" s="112"/>
      <c r="J298" s="112"/>
      <c r="K298" s="112"/>
      <c r="L298" s="114"/>
      <c r="M298" s="114"/>
      <c r="N298" s="112"/>
      <c r="O298" s="115"/>
      <c r="P298" s="115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</row>
    <row r="299" spans="1:28" ht="15.75" customHeight="1" x14ac:dyDescent="0.25">
      <c r="A299" s="110"/>
      <c r="B299" s="112"/>
      <c r="C299" s="113"/>
      <c r="D299" s="111"/>
      <c r="E299" s="113"/>
      <c r="F299" s="111"/>
      <c r="G299" s="112"/>
      <c r="H299" s="110"/>
      <c r="I299" s="112"/>
      <c r="J299" s="112"/>
      <c r="K299" s="112"/>
      <c r="L299" s="114"/>
      <c r="M299" s="114"/>
      <c r="N299" s="112"/>
      <c r="O299" s="115"/>
      <c r="P299" s="115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</row>
    <row r="300" spans="1:28" ht="15.75" customHeight="1" x14ac:dyDescent="0.25">
      <c r="A300" s="110"/>
      <c r="B300" s="112"/>
      <c r="C300" s="113"/>
      <c r="D300" s="111"/>
      <c r="E300" s="113"/>
      <c r="F300" s="111"/>
      <c r="G300" s="112"/>
      <c r="H300" s="110"/>
      <c r="I300" s="112"/>
      <c r="J300" s="112"/>
      <c r="K300" s="112"/>
      <c r="L300" s="114"/>
      <c r="M300" s="114"/>
      <c r="N300" s="112"/>
      <c r="O300" s="115"/>
      <c r="P300" s="115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</row>
    <row r="301" spans="1:28" ht="15.75" customHeight="1" x14ac:dyDescent="0.25">
      <c r="A301" s="110"/>
      <c r="B301" s="112"/>
      <c r="C301" s="113"/>
      <c r="D301" s="111"/>
      <c r="E301" s="113"/>
      <c r="F301" s="111"/>
      <c r="G301" s="112"/>
      <c r="H301" s="110"/>
      <c r="I301" s="112"/>
      <c r="J301" s="112"/>
      <c r="K301" s="112"/>
      <c r="L301" s="114"/>
      <c r="M301" s="114"/>
      <c r="N301" s="112"/>
      <c r="O301" s="115"/>
      <c r="P301" s="115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</row>
    <row r="302" spans="1:28" ht="15.75" customHeight="1" x14ac:dyDescent="0.25">
      <c r="A302" s="110"/>
      <c r="B302" s="112"/>
      <c r="C302" s="113"/>
      <c r="D302" s="111"/>
      <c r="E302" s="113"/>
      <c r="F302" s="111"/>
      <c r="G302" s="112"/>
      <c r="H302" s="110"/>
      <c r="I302" s="112"/>
      <c r="J302" s="112"/>
      <c r="K302" s="112"/>
      <c r="L302" s="114"/>
      <c r="M302" s="114"/>
      <c r="N302" s="112"/>
      <c r="O302" s="115"/>
      <c r="P302" s="115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</row>
    <row r="303" spans="1:28" ht="15.75" customHeight="1" x14ac:dyDescent="0.25">
      <c r="A303" s="110"/>
      <c r="B303" s="112"/>
      <c r="C303" s="113"/>
      <c r="D303" s="111"/>
      <c r="E303" s="113"/>
      <c r="F303" s="111"/>
      <c r="G303" s="112"/>
      <c r="H303" s="110"/>
      <c r="I303" s="112"/>
      <c r="J303" s="112"/>
      <c r="K303" s="112"/>
      <c r="L303" s="114"/>
      <c r="M303" s="114"/>
      <c r="N303" s="112"/>
      <c r="O303" s="115"/>
      <c r="P303" s="115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</row>
    <row r="304" spans="1:28" ht="15.75" customHeight="1" x14ac:dyDescent="0.25">
      <c r="A304" s="110"/>
      <c r="B304" s="112"/>
      <c r="C304" s="113"/>
      <c r="D304" s="111"/>
      <c r="E304" s="113"/>
      <c r="F304" s="111"/>
      <c r="G304" s="112"/>
      <c r="H304" s="110"/>
      <c r="I304" s="112"/>
      <c r="J304" s="112"/>
      <c r="K304" s="112"/>
      <c r="L304" s="114"/>
      <c r="M304" s="114"/>
      <c r="N304" s="112"/>
      <c r="O304" s="115"/>
      <c r="P304" s="115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</row>
    <row r="305" spans="1:28" ht="15.75" customHeight="1" x14ac:dyDescent="0.25">
      <c r="A305" s="110"/>
      <c r="B305" s="112"/>
      <c r="C305" s="113"/>
      <c r="D305" s="111"/>
      <c r="E305" s="113"/>
      <c r="F305" s="111"/>
      <c r="G305" s="112"/>
      <c r="H305" s="110"/>
      <c r="I305" s="112"/>
      <c r="J305" s="112"/>
      <c r="K305" s="112"/>
      <c r="L305" s="114"/>
      <c r="M305" s="114"/>
      <c r="N305" s="112"/>
      <c r="O305" s="115"/>
      <c r="P305" s="115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</row>
    <row r="306" spans="1:28" ht="15.75" customHeight="1" x14ac:dyDescent="0.25">
      <c r="A306" s="110"/>
      <c r="B306" s="112"/>
      <c r="C306" s="113"/>
      <c r="D306" s="111"/>
      <c r="E306" s="113"/>
      <c r="F306" s="111"/>
      <c r="G306" s="112"/>
      <c r="H306" s="110"/>
      <c r="I306" s="112"/>
      <c r="J306" s="112"/>
      <c r="K306" s="112"/>
      <c r="L306" s="114"/>
      <c r="M306" s="114"/>
      <c r="N306" s="112"/>
      <c r="O306" s="115"/>
      <c r="P306" s="115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</row>
    <row r="307" spans="1:28" ht="15.75" customHeight="1" x14ac:dyDescent="0.25">
      <c r="A307" s="110"/>
      <c r="B307" s="112"/>
      <c r="C307" s="113"/>
      <c r="D307" s="111"/>
      <c r="E307" s="113"/>
      <c r="F307" s="111"/>
      <c r="G307" s="112"/>
      <c r="H307" s="110"/>
      <c r="I307" s="112"/>
      <c r="J307" s="112"/>
      <c r="K307" s="112"/>
      <c r="L307" s="114"/>
      <c r="M307" s="114"/>
      <c r="N307" s="112"/>
      <c r="O307" s="115"/>
      <c r="P307" s="115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</row>
    <row r="308" spans="1:28" ht="15.75" customHeight="1" x14ac:dyDescent="0.25">
      <c r="A308" s="110"/>
      <c r="B308" s="112"/>
      <c r="C308" s="113"/>
      <c r="D308" s="111"/>
      <c r="E308" s="113"/>
      <c r="F308" s="111"/>
      <c r="G308" s="112"/>
      <c r="H308" s="110"/>
      <c r="I308" s="112"/>
      <c r="J308" s="112"/>
      <c r="K308" s="112"/>
      <c r="L308" s="114"/>
      <c r="M308" s="114"/>
      <c r="N308" s="112"/>
      <c r="O308" s="115"/>
      <c r="P308" s="115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</row>
    <row r="309" spans="1:28" ht="15.75" customHeight="1" x14ac:dyDescent="0.25">
      <c r="A309" s="110"/>
      <c r="B309" s="112"/>
      <c r="C309" s="113"/>
      <c r="D309" s="111"/>
      <c r="E309" s="113"/>
      <c r="F309" s="111"/>
      <c r="G309" s="112"/>
      <c r="H309" s="110"/>
      <c r="I309" s="112"/>
      <c r="J309" s="112"/>
      <c r="K309" s="112"/>
      <c r="L309" s="114"/>
      <c r="M309" s="114"/>
      <c r="N309" s="112"/>
      <c r="O309" s="115"/>
      <c r="P309" s="115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</row>
    <row r="310" spans="1:28" ht="15.75" customHeight="1" x14ac:dyDescent="0.25">
      <c r="A310" s="110"/>
      <c r="B310" s="112"/>
      <c r="C310" s="113"/>
      <c r="D310" s="111"/>
      <c r="E310" s="113"/>
      <c r="F310" s="111"/>
      <c r="G310" s="112"/>
      <c r="H310" s="110"/>
      <c r="I310" s="112"/>
      <c r="J310" s="112"/>
      <c r="K310" s="112"/>
      <c r="L310" s="114"/>
      <c r="M310" s="114"/>
      <c r="N310" s="112"/>
      <c r="O310" s="115"/>
      <c r="P310" s="115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</row>
    <row r="311" spans="1:28" ht="15.75" customHeight="1" x14ac:dyDescent="0.25">
      <c r="A311" s="110"/>
      <c r="B311" s="112"/>
      <c r="C311" s="113"/>
      <c r="D311" s="111"/>
      <c r="E311" s="113"/>
      <c r="F311" s="111"/>
      <c r="G311" s="112"/>
      <c r="H311" s="110"/>
      <c r="I311" s="112"/>
      <c r="J311" s="112"/>
      <c r="K311" s="112"/>
      <c r="L311" s="114"/>
      <c r="M311" s="114"/>
      <c r="N311" s="112"/>
      <c r="O311" s="115"/>
      <c r="P311" s="115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</row>
    <row r="312" spans="1:28" ht="15.75" customHeight="1" x14ac:dyDescent="0.25">
      <c r="A312" s="110"/>
      <c r="B312" s="112"/>
      <c r="C312" s="113"/>
      <c r="D312" s="111"/>
      <c r="E312" s="113"/>
      <c r="F312" s="111"/>
      <c r="G312" s="112"/>
      <c r="H312" s="110"/>
      <c r="I312" s="112"/>
      <c r="J312" s="112"/>
      <c r="K312" s="112"/>
      <c r="L312" s="114"/>
      <c r="M312" s="114"/>
      <c r="N312" s="112"/>
      <c r="O312" s="115"/>
      <c r="P312" s="115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</row>
    <row r="313" spans="1:28" ht="15.75" customHeight="1" x14ac:dyDescent="0.25">
      <c r="A313" s="110"/>
      <c r="B313" s="112"/>
      <c r="C313" s="113"/>
      <c r="D313" s="111"/>
      <c r="E313" s="113"/>
      <c r="F313" s="111"/>
      <c r="G313" s="112"/>
      <c r="H313" s="110"/>
      <c r="I313" s="112"/>
      <c r="J313" s="112"/>
      <c r="K313" s="112"/>
      <c r="L313" s="114"/>
      <c r="M313" s="114"/>
      <c r="N313" s="112"/>
      <c r="O313" s="115"/>
      <c r="P313" s="115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</row>
    <row r="314" spans="1:28" ht="15.75" customHeight="1" x14ac:dyDescent="0.25">
      <c r="A314" s="110"/>
      <c r="B314" s="112"/>
      <c r="C314" s="113"/>
      <c r="D314" s="111"/>
      <c r="E314" s="113"/>
      <c r="F314" s="111"/>
      <c r="G314" s="112"/>
      <c r="H314" s="110"/>
      <c r="I314" s="112"/>
      <c r="J314" s="112"/>
      <c r="K314" s="112"/>
      <c r="L314" s="114"/>
      <c r="M314" s="114"/>
      <c r="N314" s="112"/>
      <c r="O314" s="115"/>
      <c r="P314" s="115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</row>
    <row r="315" spans="1:28" ht="15.75" customHeight="1" x14ac:dyDescent="0.25">
      <c r="A315" s="110"/>
      <c r="B315" s="112"/>
      <c r="C315" s="113"/>
      <c r="D315" s="111"/>
      <c r="E315" s="113"/>
      <c r="F315" s="111"/>
      <c r="G315" s="112"/>
      <c r="H315" s="110"/>
      <c r="I315" s="112"/>
      <c r="J315" s="112"/>
      <c r="K315" s="112"/>
      <c r="L315" s="114"/>
      <c r="M315" s="114"/>
      <c r="N315" s="112"/>
      <c r="O315" s="115"/>
      <c r="P315" s="115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</row>
    <row r="316" spans="1:28" ht="15.75" customHeight="1" x14ac:dyDescent="0.25">
      <c r="A316" s="110"/>
      <c r="B316" s="112"/>
      <c r="C316" s="113"/>
      <c r="D316" s="111"/>
      <c r="E316" s="113"/>
      <c r="F316" s="111"/>
      <c r="G316" s="112"/>
      <c r="H316" s="110"/>
      <c r="I316" s="112"/>
      <c r="J316" s="112"/>
      <c r="K316" s="112"/>
      <c r="L316" s="114"/>
      <c r="M316" s="114"/>
      <c r="N316" s="112"/>
      <c r="O316" s="115"/>
      <c r="P316" s="115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</row>
    <row r="317" spans="1:28" ht="15.75" customHeight="1" x14ac:dyDescent="0.25">
      <c r="A317" s="110"/>
      <c r="B317" s="112"/>
      <c r="C317" s="113"/>
      <c r="D317" s="111"/>
      <c r="E317" s="113"/>
      <c r="F317" s="111"/>
      <c r="G317" s="112"/>
      <c r="H317" s="110"/>
      <c r="I317" s="112"/>
      <c r="J317" s="112"/>
      <c r="K317" s="112"/>
      <c r="L317" s="114"/>
      <c r="M317" s="114"/>
      <c r="N317" s="112"/>
      <c r="O317" s="115"/>
      <c r="P317" s="115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</row>
    <row r="318" spans="1:28" ht="15.75" customHeight="1" x14ac:dyDescent="0.25">
      <c r="A318" s="110"/>
      <c r="B318" s="112"/>
      <c r="C318" s="113"/>
      <c r="D318" s="111"/>
      <c r="E318" s="113"/>
      <c r="F318" s="111"/>
      <c r="G318" s="112"/>
      <c r="H318" s="110"/>
      <c r="I318" s="112"/>
      <c r="J318" s="112"/>
      <c r="K318" s="112"/>
      <c r="L318" s="114"/>
      <c r="M318" s="114"/>
      <c r="N318" s="112"/>
      <c r="O318" s="115"/>
      <c r="P318" s="115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</row>
    <row r="319" spans="1:28" ht="15.75" customHeight="1" x14ac:dyDescent="0.25">
      <c r="A319" s="110"/>
      <c r="B319" s="112"/>
      <c r="C319" s="113"/>
      <c r="D319" s="111"/>
      <c r="E319" s="113"/>
      <c r="F319" s="111"/>
      <c r="G319" s="112"/>
      <c r="H319" s="110"/>
      <c r="I319" s="112"/>
      <c r="J319" s="112"/>
      <c r="K319" s="112"/>
      <c r="L319" s="114"/>
      <c r="M319" s="114"/>
      <c r="N319" s="112"/>
      <c r="O319" s="115"/>
      <c r="P319" s="115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</row>
    <row r="320" spans="1:28" ht="15.75" customHeight="1" x14ac:dyDescent="0.25">
      <c r="A320" s="110"/>
      <c r="B320" s="112"/>
      <c r="C320" s="113"/>
      <c r="D320" s="111"/>
      <c r="E320" s="113"/>
      <c r="F320" s="111"/>
      <c r="G320" s="112"/>
      <c r="H320" s="110"/>
      <c r="I320" s="112"/>
      <c r="J320" s="112"/>
      <c r="K320" s="112"/>
      <c r="L320" s="114"/>
      <c r="M320" s="114"/>
      <c r="N320" s="112"/>
      <c r="O320" s="115"/>
      <c r="P320" s="115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</row>
    <row r="321" spans="1:28" ht="15.75" customHeight="1" x14ac:dyDescent="0.25">
      <c r="A321" s="110"/>
      <c r="B321" s="112"/>
      <c r="C321" s="113"/>
      <c r="D321" s="111"/>
      <c r="E321" s="113"/>
      <c r="F321" s="111"/>
      <c r="G321" s="112"/>
      <c r="H321" s="110"/>
      <c r="I321" s="112"/>
      <c r="J321" s="112"/>
      <c r="K321" s="112"/>
      <c r="L321" s="114"/>
      <c r="M321" s="114"/>
      <c r="N321" s="112"/>
      <c r="O321" s="115"/>
      <c r="P321" s="115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</row>
    <row r="322" spans="1:28" ht="15.75" customHeight="1" x14ac:dyDescent="0.25">
      <c r="A322" s="110"/>
      <c r="B322" s="112"/>
      <c r="C322" s="113"/>
      <c r="D322" s="111"/>
      <c r="E322" s="113"/>
      <c r="F322" s="111"/>
      <c r="G322" s="112"/>
      <c r="H322" s="110"/>
      <c r="I322" s="112"/>
      <c r="J322" s="112"/>
      <c r="K322" s="112"/>
      <c r="L322" s="114"/>
      <c r="M322" s="114"/>
      <c r="N322" s="112"/>
      <c r="O322" s="115"/>
      <c r="P322" s="115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</row>
    <row r="323" spans="1:28" ht="15.75" customHeight="1" x14ac:dyDescent="0.25">
      <c r="A323" s="110"/>
      <c r="B323" s="112"/>
      <c r="C323" s="113"/>
      <c r="D323" s="111"/>
      <c r="E323" s="113"/>
      <c r="F323" s="111"/>
      <c r="G323" s="112"/>
      <c r="H323" s="110"/>
      <c r="I323" s="112"/>
      <c r="J323" s="112"/>
      <c r="K323" s="112"/>
      <c r="L323" s="114"/>
      <c r="M323" s="114"/>
      <c r="N323" s="112"/>
      <c r="O323" s="115"/>
      <c r="P323" s="115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</row>
    <row r="324" spans="1:28" ht="15.75" customHeight="1" x14ac:dyDescent="0.25">
      <c r="A324" s="110"/>
      <c r="B324" s="112"/>
      <c r="C324" s="113"/>
      <c r="D324" s="111"/>
      <c r="E324" s="113"/>
      <c r="F324" s="111"/>
      <c r="G324" s="112"/>
      <c r="H324" s="110"/>
      <c r="I324" s="112"/>
      <c r="J324" s="112"/>
      <c r="K324" s="112"/>
      <c r="L324" s="114"/>
      <c r="M324" s="114"/>
      <c r="N324" s="112"/>
      <c r="O324" s="115"/>
      <c r="P324" s="115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</row>
    <row r="325" spans="1:28" ht="15.75" customHeight="1" x14ac:dyDescent="0.25">
      <c r="A325" s="110"/>
      <c r="B325" s="112"/>
      <c r="C325" s="113"/>
      <c r="D325" s="111"/>
      <c r="E325" s="113"/>
      <c r="F325" s="111"/>
      <c r="G325" s="112"/>
      <c r="H325" s="110"/>
      <c r="I325" s="112"/>
      <c r="J325" s="112"/>
      <c r="K325" s="112"/>
      <c r="L325" s="114"/>
      <c r="M325" s="114"/>
      <c r="N325" s="112"/>
      <c r="O325" s="115"/>
      <c r="P325" s="115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</row>
    <row r="326" spans="1:28" ht="15.75" customHeight="1" x14ac:dyDescent="0.25">
      <c r="A326" s="110"/>
      <c r="B326" s="112"/>
      <c r="C326" s="113"/>
      <c r="D326" s="111"/>
      <c r="E326" s="113"/>
      <c r="F326" s="111"/>
      <c r="G326" s="112"/>
      <c r="H326" s="110"/>
      <c r="I326" s="112"/>
      <c r="J326" s="112"/>
      <c r="K326" s="112"/>
      <c r="L326" s="114"/>
      <c r="M326" s="114"/>
      <c r="N326" s="112"/>
      <c r="O326" s="115"/>
      <c r="P326" s="115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</row>
    <row r="327" spans="1:28" ht="15.75" customHeight="1" x14ac:dyDescent="0.25">
      <c r="A327" s="110"/>
      <c r="B327" s="112"/>
      <c r="C327" s="113"/>
      <c r="D327" s="111"/>
      <c r="E327" s="113"/>
      <c r="F327" s="111"/>
      <c r="G327" s="112"/>
      <c r="H327" s="110"/>
      <c r="I327" s="112"/>
      <c r="J327" s="112"/>
      <c r="K327" s="112"/>
      <c r="L327" s="114"/>
      <c r="M327" s="114"/>
      <c r="N327" s="112"/>
      <c r="O327" s="115"/>
      <c r="P327" s="115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</row>
    <row r="328" spans="1:28" ht="15.75" customHeight="1" x14ac:dyDescent="0.25">
      <c r="A328" s="110"/>
      <c r="B328" s="112"/>
      <c r="C328" s="113"/>
      <c r="D328" s="111"/>
      <c r="E328" s="113"/>
      <c r="F328" s="111"/>
      <c r="G328" s="112"/>
      <c r="H328" s="110"/>
      <c r="I328" s="112"/>
      <c r="J328" s="112"/>
      <c r="K328" s="112"/>
      <c r="L328" s="114"/>
      <c r="M328" s="114"/>
      <c r="N328" s="112"/>
      <c r="O328" s="115"/>
      <c r="P328" s="115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</row>
    <row r="329" spans="1:28" ht="15.75" customHeight="1" x14ac:dyDescent="0.25">
      <c r="A329" s="110"/>
      <c r="B329" s="112"/>
      <c r="C329" s="113"/>
      <c r="D329" s="111"/>
      <c r="E329" s="113"/>
      <c r="F329" s="111"/>
      <c r="G329" s="112"/>
      <c r="H329" s="110"/>
      <c r="I329" s="112"/>
      <c r="J329" s="112"/>
      <c r="K329" s="112"/>
      <c r="L329" s="114"/>
      <c r="M329" s="114"/>
      <c r="N329" s="112"/>
      <c r="O329" s="115"/>
      <c r="P329" s="115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</row>
    <row r="330" spans="1:28" ht="15.75" customHeight="1" x14ac:dyDescent="0.25">
      <c r="A330" s="110"/>
      <c r="B330" s="112"/>
      <c r="C330" s="113"/>
      <c r="D330" s="111"/>
      <c r="E330" s="113"/>
      <c r="F330" s="111"/>
      <c r="G330" s="112"/>
      <c r="H330" s="110"/>
      <c r="I330" s="112"/>
      <c r="J330" s="112"/>
      <c r="K330" s="112"/>
      <c r="L330" s="114"/>
      <c r="M330" s="114"/>
      <c r="N330" s="112"/>
      <c r="O330" s="115"/>
      <c r="P330" s="115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</row>
    <row r="331" spans="1:28" ht="15.75" customHeight="1" x14ac:dyDescent="0.25">
      <c r="A331" s="110"/>
      <c r="B331" s="112"/>
      <c r="C331" s="113"/>
      <c r="D331" s="111"/>
      <c r="E331" s="113"/>
      <c r="F331" s="111"/>
      <c r="G331" s="112"/>
      <c r="H331" s="110"/>
      <c r="I331" s="112"/>
      <c r="J331" s="112"/>
      <c r="K331" s="112"/>
      <c r="L331" s="114"/>
      <c r="M331" s="114"/>
      <c r="N331" s="112"/>
      <c r="O331" s="115"/>
      <c r="P331" s="115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</row>
    <row r="332" spans="1:28" ht="15.75" customHeight="1" x14ac:dyDescent="0.25">
      <c r="A332" s="110"/>
      <c r="B332" s="112"/>
      <c r="C332" s="113"/>
      <c r="D332" s="111"/>
      <c r="E332" s="113"/>
      <c r="F332" s="111"/>
      <c r="G332" s="112"/>
      <c r="H332" s="110"/>
      <c r="I332" s="112"/>
      <c r="J332" s="112"/>
      <c r="K332" s="112"/>
      <c r="L332" s="114"/>
      <c r="M332" s="114"/>
      <c r="N332" s="112"/>
      <c r="O332" s="115"/>
      <c r="P332" s="115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</row>
    <row r="333" spans="1:28" ht="15.75" customHeight="1" x14ac:dyDescent="0.25">
      <c r="A333" s="110"/>
      <c r="B333" s="112"/>
      <c r="C333" s="113"/>
      <c r="D333" s="111"/>
      <c r="E333" s="113"/>
      <c r="F333" s="111"/>
      <c r="G333" s="112"/>
      <c r="H333" s="110"/>
      <c r="I333" s="112"/>
      <c r="J333" s="112"/>
      <c r="K333" s="112"/>
      <c r="L333" s="114"/>
      <c r="M333" s="114"/>
      <c r="N333" s="112"/>
      <c r="O333" s="115"/>
      <c r="P333" s="115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</row>
    <row r="334" spans="1:28" ht="15.75" customHeight="1" x14ac:dyDescent="0.25">
      <c r="A334" s="110"/>
      <c r="B334" s="112"/>
      <c r="C334" s="113"/>
      <c r="D334" s="111"/>
      <c r="E334" s="113"/>
      <c r="F334" s="111"/>
      <c r="G334" s="112"/>
      <c r="H334" s="110"/>
      <c r="I334" s="112"/>
      <c r="J334" s="112"/>
      <c r="K334" s="112"/>
      <c r="L334" s="114"/>
      <c r="M334" s="114"/>
      <c r="N334" s="112"/>
      <c r="O334" s="115"/>
      <c r="P334" s="115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</row>
    <row r="335" spans="1:28" ht="15.75" customHeight="1" x14ac:dyDescent="0.25">
      <c r="A335" s="110"/>
      <c r="B335" s="112"/>
      <c r="C335" s="113"/>
      <c r="D335" s="111"/>
      <c r="E335" s="113"/>
      <c r="F335" s="111"/>
      <c r="G335" s="112"/>
      <c r="H335" s="110"/>
      <c r="I335" s="112"/>
      <c r="J335" s="112"/>
      <c r="K335" s="112"/>
      <c r="L335" s="114"/>
      <c r="M335" s="114"/>
      <c r="N335" s="112"/>
      <c r="O335" s="115"/>
      <c r="P335" s="115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</row>
    <row r="336" spans="1:28" ht="15.75" customHeight="1" x14ac:dyDescent="0.25">
      <c r="A336" s="110"/>
      <c r="B336" s="112"/>
      <c r="C336" s="113"/>
      <c r="D336" s="111"/>
      <c r="E336" s="113"/>
      <c r="F336" s="111"/>
      <c r="G336" s="112"/>
      <c r="H336" s="110"/>
      <c r="I336" s="112"/>
      <c r="J336" s="112"/>
      <c r="K336" s="112"/>
      <c r="L336" s="114"/>
      <c r="M336" s="114"/>
      <c r="N336" s="112"/>
      <c r="O336" s="115"/>
      <c r="P336" s="115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</row>
    <row r="337" spans="1:28" ht="15.75" customHeight="1" x14ac:dyDescent="0.25">
      <c r="A337" s="110"/>
      <c r="B337" s="112"/>
      <c r="C337" s="113"/>
      <c r="D337" s="111"/>
      <c r="E337" s="113"/>
      <c r="F337" s="111"/>
      <c r="G337" s="112"/>
      <c r="H337" s="110"/>
      <c r="I337" s="112"/>
      <c r="J337" s="112"/>
      <c r="K337" s="112"/>
      <c r="L337" s="114"/>
      <c r="M337" s="114"/>
      <c r="N337" s="112"/>
      <c r="O337" s="115"/>
      <c r="P337" s="115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</row>
    <row r="338" spans="1:28" ht="15.75" customHeight="1" x14ac:dyDescent="0.25">
      <c r="A338" s="110"/>
      <c r="B338" s="112"/>
      <c r="C338" s="113"/>
      <c r="D338" s="111"/>
      <c r="E338" s="113"/>
      <c r="F338" s="111"/>
      <c r="G338" s="112"/>
      <c r="H338" s="110"/>
      <c r="I338" s="112"/>
      <c r="J338" s="112"/>
      <c r="K338" s="112"/>
      <c r="L338" s="114"/>
      <c r="M338" s="114"/>
      <c r="N338" s="112"/>
      <c r="O338" s="115"/>
      <c r="P338" s="115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 spans="1:28" ht="15.75" customHeight="1" x14ac:dyDescent="0.25">
      <c r="A339" s="110"/>
      <c r="B339" s="112"/>
      <c r="C339" s="113"/>
      <c r="D339" s="111"/>
      <c r="E339" s="113"/>
      <c r="F339" s="111"/>
      <c r="G339" s="112"/>
      <c r="H339" s="110"/>
      <c r="I339" s="112"/>
      <c r="J339" s="112"/>
      <c r="K339" s="112"/>
      <c r="L339" s="114"/>
      <c r="M339" s="114"/>
      <c r="N339" s="112"/>
      <c r="O339" s="115"/>
      <c r="P339" s="115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</row>
    <row r="340" spans="1:28" ht="15.75" customHeight="1" x14ac:dyDescent="0.25">
      <c r="A340" s="110"/>
      <c r="B340" s="112"/>
      <c r="C340" s="113"/>
      <c r="D340" s="111"/>
      <c r="E340" s="113"/>
      <c r="F340" s="111"/>
      <c r="G340" s="112"/>
      <c r="H340" s="110"/>
      <c r="I340" s="112"/>
      <c r="J340" s="112"/>
      <c r="K340" s="112"/>
      <c r="L340" s="114"/>
      <c r="M340" s="114"/>
      <c r="N340" s="112"/>
      <c r="O340" s="115"/>
      <c r="P340" s="115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</row>
    <row r="341" spans="1:28" ht="15.75" customHeight="1" x14ac:dyDescent="0.25">
      <c r="A341" s="110"/>
      <c r="B341" s="112"/>
      <c r="C341" s="113"/>
      <c r="D341" s="111"/>
      <c r="E341" s="113"/>
      <c r="F341" s="111"/>
      <c r="G341" s="112"/>
      <c r="H341" s="110"/>
      <c r="I341" s="112"/>
      <c r="J341" s="112"/>
      <c r="K341" s="112"/>
      <c r="L341" s="114"/>
      <c r="M341" s="114"/>
      <c r="N341" s="112"/>
      <c r="O341" s="115"/>
      <c r="P341" s="115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</row>
    <row r="342" spans="1:28" ht="15.75" customHeight="1" x14ac:dyDescent="0.25">
      <c r="A342" s="110"/>
      <c r="B342" s="112"/>
      <c r="C342" s="113"/>
      <c r="D342" s="111"/>
      <c r="E342" s="113"/>
      <c r="F342" s="111"/>
      <c r="G342" s="112"/>
      <c r="H342" s="110"/>
      <c r="I342" s="112"/>
      <c r="J342" s="112"/>
      <c r="K342" s="112"/>
      <c r="L342" s="114"/>
      <c r="M342" s="114"/>
      <c r="N342" s="112"/>
      <c r="O342" s="115"/>
      <c r="P342" s="115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</row>
    <row r="343" spans="1:28" ht="15.75" customHeight="1" x14ac:dyDescent="0.25">
      <c r="A343" s="110"/>
      <c r="B343" s="112"/>
      <c r="C343" s="113"/>
      <c r="D343" s="111"/>
      <c r="E343" s="113"/>
      <c r="F343" s="111"/>
      <c r="G343" s="112"/>
      <c r="H343" s="110"/>
      <c r="I343" s="112"/>
      <c r="J343" s="112"/>
      <c r="K343" s="112"/>
      <c r="L343" s="114"/>
      <c r="M343" s="114"/>
      <c r="N343" s="112"/>
      <c r="O343" s="115"/>
      <c r="P343" s="115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</row>
    <row r="344" spans="1:28" ht="15.75" customHeight="1" x14ac:dyDescent="0.25">
      <c r="A344" s="110"/>
      <c r="B344" s="112"/>
      <c r="C344" s="113"/>
      <c r="D344" s="111"/>
      <c r="E344" s="113"/>
      <c r="F344" s="111"/>
      <c r="G344" s="112"/>
      <c r="H344" s="110"/>
      <c r="I344" s="112"/>
      <c r="J344" s="112"/>
      <c r="K344" s="112"/>
      <c r="L344" s="114"/>
      <c r="M344" s="114"/>
      <c r="N344" s="112"/>
      <c r="O344" s="115"/>
      <c r="P344" s="115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</row>
    <row r="345" spans="1:28" ht="15.75" customHeight="1" x14ac:dyDescent="0.25">
      <c r="A345" s="110"/>
      <c r="B345" s="112"/>
      <c r="C345" s="113"/>
      <c r="D345" s="111"/>
      <c r="E345" s="113"/>
      <c r="F345" s="111"/>
      <c r="G345" s="112"/>
      <c r="H345" s="110"/>
      <c r="I345" s="112"/>
      <c r="J345" s="112"/>
      <c r="K345" s="112"/>
      <c r="L345" s="114"/>
      <c r="M345" s="114"/>
      <c r="N345" s="112"/>
      <c r="O345" s="115"/>
      <c r="P345" s="115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</row>
    <row r="346" spans="1:28" ht="15.75" customHeight="1" x14ac:dyDescent="0.25">
      <c r="A346" s="110"/>
      <c r="B346" s="112"/>
      <c r="C346" s="113"/>
      <c r="D346" s="111"/>
      <c r="E346" s="113"/>
      <c r="F346" s="111"/>
      <c r="G346" s="112"/>
      <c r="H346" s="110"/>
      <c r="I346" s="112"/>
      <c r="J346" s="112"/>
      <c r="K346" s="112"/>
      <c r="L346" s="114"/>
      <c r="M346" s="114"/>
      <c r="N346" s="112"/>
      <c r="O346" s="115"/>
      <c r="P346" s="115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</row>
    <row r="347" spans="1:28" ht="15.75" customHeight="1" x14ac:dyDescent="0.25">
      <c r="A347" s="110"/>
      <c r="B347" s="112"/>
      <c r="C347" s="113"/>
      <c r="D347" s="111"/>
      <c r="E347" s="113"/>
      <c r="F347" s="111"/>
      <c r="G347" s="112"/>
      <c r="H347" s="110"/>
      <c r="I347" s="112"/>
      <c r="J347" s="112"/>
      <c r="K347" s="112"/>
      <c r="L347" s="114"/>
      <c r="M347" s="114"/>
      <c r="N347" s="112"/>
      <c r="O347" s="115"/>
      <c r="P347" s="115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</row>
    <row r="348" spans="1:28" ht="15.75" customHeight="1" x14ac:dyDescent="0.25">
      <c r="A348" s="110"/>
      <c r="B348" s="112"/>
      <c r="C348" s="113"/>
      <c r="D348" s="111"/>
      <c r="E348" s="113"/>
      <c r="F348" s="111"/>
      <c r="G348" s="112"/>
      <c r="H348" s="110"/>
      <c r="I348" s="112"/>
      <c r="J348" s="112"/>
      <c r="K348" s="112"/>
      <c r="L348" s="114"/>
      <c r="M348" s="114"/>
      <c r="N348" s="112"/>
      <c r="O348" s="115"/>
      <c r="P348" s="115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</row>
    <row r="349" spans="1:28" ht="15.75" customHeight="1" x14ac:dyDescent="0.25">
      <c r="A349" s="110"/>
      <c r="B349" s="112"/>
      <c r="C349" s="113"/>
      <c r="D349" s="111"/>
      <c r="E349" s="113"/>
      <c r="F349" s="111"/>
      <c r="G349" s="112"/>
      <c r="H349" s="110"/>
      <c r="I349" s="112"/>
      <c r="J349" s="112"/>
      <c r="K349" s="112"/>
      <c r="L349" s="114"/>
      <c r="M349" s="114"/>
      <c r="N349" s="112"/>
      <c r="O349" s="115"/>
      <c r="P349" s="115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</row>
    <row r="350" spans="1:28" ht="15.75" customHeight="1" x14ac:dyDescent="0.25">
      <c r="A350" s="110"/>
      <c r="B350" s="112"/>
      <c r="C350" s="113"/>
      <c r="D350" s="111"/>
      <c r="E350" s="113"/>
      <c r="F350" s="111"/>
      <c r="G350" s="112"/>
      <c r="H350" s="110"/>
      <c r="I350" s="112"/>
      <c r="J350" s="112"/>
      <c r="K350" s="112"/>
      <c r="L350" s="114"/>
      <c r="M350" s="114"/>
      <c r="N350" s="112"/>
      <c r="O350" s="115"/>
      <c r="P350" s="115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</row>
    <row r="351" spans="1:28" ht="15.75" customHeight="1" x14ac:dyDescent="0.25">
      <c r="A351" s="110"/>
      <c r="B351" s="112"/>
      <c r="C351" s="113"/>
      <c r="D351" s="111"/>
      <c r="E351" s="113"/>
      <c r="F351" s="111"/>
      <c r="G351" s="112"/>
      <c r="H351" s="110"/>
      <c r="I351" s="112"/>
      <c r="J351" s="112"/>
      <c r="K351" s="112"/>
      <c r="L351" s="114"/>
      <c r="M351" s="114"/>
      <c r="N351" s="112"/>
      <c r="O351" s="115"/>
      <c r="P351" s="115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</row>
    <row r="352" spans="1:28" ht="15.75" customHeight="1" x14ac:dyDescent="0.25">
      <c r="A352" s="110"/>
      <c r="B352" s="112"/>
      <c r="C352" s="113"/>
      <c r="D352" s="111"/>
      <c r="E352" s="113"/>
      <c r="F352" s="111"/>
      <c r="G352" s="112"/>
      <c r="H352" s="110"/>
      <c r="I352" s="112"/>
      <c r="J352" s="112"/>
      <c r="K352" s="112"/>
      <c r="L352" s="114"/>
      <c r="M352" s="114"/>
      <c r="N352" s="112"/>
      <c r="O352" s="115"/>
      <c r="P352" s="115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</row>
    <row r="353" spans="1:28" ht="15.75" customHeight="1" x14ac:dyDescent="0.25">
      <c r="A353" s="110"/>
      <c r="B353" s="112"/>
      <c r="C353" s="113"/>
      <c r="D353" s="111"/>
      <c r="E353" s="113"/>
      <c r="F353" s="111"/>
      <c r="G353" s="112"/>
      <c r="H353" s="110"/>
      <c r="I353" s="112"/>
      <c r="J353" s="112"/>
      <c r="K353" s="112"/>
      <c r="L353" s="114"/>
      <c r="M353" s="114"/>
      <c r="N353" s="112"/>
      <c r="O353" s="115"/>
      <c r="P353" s="115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</row>
    <row r="354" spans="1:28" ht="15.75" customHeight="1" x14ac:dyDescent="0.25">
      <c r="A354" s="110"/>
      <c r="B354" s="112"/>
      <c r="C354" s="113"/>
      <c r="D354" s="111"/>
      <c r="E354" s="113"/>
      <c r="F354" s="111"/>
      <c r="G354" s="112"/>
      <c r="H354" s="110"/>
      <c r="I354" s="112"/>
      <c r="J354" s="112"/>
      <c r="K354" s="112"/>
      <c r="L354" s="114"/>
      <c r="M354" s="114"/>
      <c r="N354" s="112"/>
      <c r="O354" s="115"/>
      <c r="P354" s="115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</row>
    <row r="355" spans="1:28" ht="15.75" customHeight="1" x14ac:dyDescent="0.25">
      <c r="A355" s="110"/>
      <c r="B355" s="112"/>
      <c r="C355" s="113"/>
      <c r="D355" s="111"/>
      <c r="E355" s="113"/>
      <c r="F355" s="111"/>
      <c r="G355" s="112"/>
      <c r="H355" s="110"/>
      <c r="I355" s="112"/>
      <c r="J355" s="112"/>
      <c r="K355" s="112"/>
      <c r="L355" s="114"/>
      <c r="M355" s="114"/>
      <c r="N355" s="112"/>
      <c r="O355" s="115"/>
      <c r="P355" s="115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</row>
    <row r="356" spans="1:28" ht="15.75" customHeight="1" x14ac:dyDescent="0.25">
      <c r="A356" s="110"/>
      <c r="B356" s="112"/>
      <c r="C356" s="113"/>
      <c r="D356" s="111"/>
      <c r="E356" s="113"/>
      <c r="F356" s="111"/>
      <c r="G356" s="112"/>
      <c r="H356" s="110"/>
      <c r="I356" s="112"/>
      <c r="J356" s="112"/>
      <c r="K356" s="112"/>
      <c r="L356" s="114"/>
      <c r="M356" s="114"/>
      <c r="N356" s="112"/>
      <c r="O356" s="115"/>
      <c r="P356" s="115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</row>
    <row r="357" spans="1:28" ht="15.75" customHeight="1" x14ac:dyDescent="0.25">
      <c r="A357" s="110"/>
      <c r="B357" s="112"/>
      <c r="C357" s="113"/>
      <c r="D357" s="111"/>
      <c r="E357" s="113"/>
      <c r="F357" s="111"/>
      <c r="G357" s="112"/>
      <c r="H357" s="110"/>
      <c r="I357" s="112"/>
      <c r="J357" s="112"/>
      <c r="K357" s="112"/>
      <c r="L357" s="114"/>
      <c r="M357" s="114"/>
      <c r="N357" s="112"/>
      <c r="O357" s="115"/>
      <c r="P357" s="115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</row>
    <row r="358" spans="1:28" ht="15.75" customHeight="1" x14ac:dyDescent="0.25">
      <c r="A358" s="110"/>
      <c r="B358" s="112"/>
      <c r="C358" s="113"/>
      <c r="D358" s="111"/>
      <c r="E358" s="113"/>
      <c r="F358" s="111"/>
      <c r="G358" s="112"/>
      <c r="H358" s="110"/>
      <c r="I358" s="112"/>
      <c r="J358" s="112"/>
      <c r="K358" s="112"/>
      <c r="L358" s="114"/>
      <c r="M358" s="114"/>
      <c r="N358" s="112"/>
      <c r="O358" s="115"/>
      <c r="P358" s="115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</row>
    <row r="359" spans="1:28" ht="15.75" customHeight="1" x14ac:dyDescent="0.25">
      <c r="A359" s="110"/>
      <c r="B359" s="112"/>
      <c r="C359" s="113"/>
      <c r="D359" s="111"/>
      <c r="E359" s="113"/>
      <c r="F359" s="111"/>
      <c r="G359" s="112"/>
      <c r="H359" s="110"/>
      <c r="I359" s="112"/>
      <c r="J359" s="112"/>
      <c r="K359" s="112"/>
      <c r="L359" s="114"/>
      <c r="M359" s="114"/>
      <c r="N359" s="112"/>
      <c r="O359" s="115"/>
      <c r="P359" s="115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</row>
    <row r="360" spans="1:28" ht="15.75" customHeight="1" x14ac:dyDescent="0.25">
      <c r="A360" s="110"/>
      <c r="B360" s="112"/>
      <c r="C360" s="113"/>
      <c r="D360" s="111"/>
      <c r="E360" s="113"/>
      <c r="F360" s="111"/>
      <c r="G360" s="112"/>
      <c r="H360" s="110"/>
      <c r="I360" s="112"/>
      <c r="J360" s="112"/>
      <c r="K360" s="112"/>
      <c r="L360" s="114"/>
      <c r="M360" s="114"/>
      <c r="N360" s="112"/>
      <c r="O360" s="115"/>
      <c r="P360" s="115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</row>
    <row r="361" spans="1:28" ht="15.75" customHeight="1" x14ac:dyDescent="0.25">
      <c r="A361" s="110"/>
      <c r="B361" s="112"/>
      <c r="C361" s="113"/>
      <c r="D361" s="111"/>
      <c r="E361" s="113"/>
      <c r="F361" s="111"/>
      <c r="G361" s="112"/>
      <c r="H361" s="110"/>
      <c r="I361" s="112"/>
      <c r="J361" s="112"/>
      <c r="K361" s="112"/>
      <c r="L361" s="114"/>
      <c r="M361" s="114"/>
      <c r="N361" s="112"/>
      <c r="O361" s="115"/>
      <c r="P361" s="115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</row>
    <row r="362" spans="1:28" ht="15.75" customHeight="1" x14ac:dyDescent="0.25">
      <c r="A362" s="110"/>
      <c r="B362" s="112"/>
      <c r="C362" s="113"/>
      <c r="D362" s="111"/>
      <c r="E362" s="113"/>
      <c r="F362" s="111"/>
      <c r="G362" s="112"/>
      <c r="H362" s="110"/>
      <c r="I362" s="112"/>
      <c r="J362" s="112"/>
      <c r="K362" s="112"/>
      <c r="L362" s="114"/>
      <c r="M362" s="114"/>
      <c r="N362" s="112"/>
      <c r="O362" s="115"/>
      <c r="P362" s="115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</row>
    <row r="363" spans="1:28" ht="15.75" customHeight="1" x14ac:dyDescent="0.25">
      <c r="A363" s="110"/>
      <c r="B363" s="112"/>
      <c r="C363" s="113"/>
      <c r="D363" s="111"/>
      <c r="E363" s="113"/>
      <c r="F363" s="111"/>
      <c r="G363" s="112"/>
      <c r="H363" s="110"/>
      <c r="I363" s="112"/>
      <c r="J363" s="112"/>
      <c r="K363" s="112"/>
      <c r="L363" s="114"/>
      <c r="M363" s="114"/>
      <c r="N363" s="112"/>
      <c r="O363" s="115"/>
      <c r="P363" s="115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</row>
    <row r="364" spans="1:28" ht="15.75" customHeight="1" x14ac:dyDescent="0.25">
      <c r="A364" s="110"/>
      <c r="B364" s="112"/>
      <c r="C364" s="113"/>
      <c r="D364" s="111"/>
      <c r="E364" s="113"/>
      <c r="F364" s="111"/>
      <c r="G364" s="112"/>
      <c r="H364" s="110"/>
      <c r="I364" s="112"/>
      <c r="J364" s="112"/>
      <c r="K364" s="112"/>
      <c r="L364" s="114"/>
      <c r="M364" s="114"/>
      <c r="N364" s="112"/>
      <c r="O364" s="115"/>
      <c r="P364" s="115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</row>
    <row r="365" spans="1:28" ht="15.75" customHeight="1" x14ac:dyDescent="0.25">
      <c r="A365" s="110"/>
      <c r="B365" s="112"/>
      <c r="C365" s="113"/>
      <c r="D365" s="111"/>
      <c r="E365" s="113"/>
      <c r="F365" s="111"/>
      <c r="G365" s="112"/>
      <c r="H365" s="110"/>
      <c r="I365" s="112"/>
      <c r="J365" s="112"/>
      <c r="K365" s="112"/>
      <c r="L365" s="114"/>
      <c r="M365" s="114"/>
      <c r="N365" s="112"/>
      <c r="O365" s="115"/>
      <c r="P365" s="115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</row>
    <row r="366" spans="1:28" ht="15.75" customHeight="1" x14ac:dyDescent="0.25">
      <c r="A366" s="110"/>
      <c r="B366" s="112"/>
      <c r="C366" s="113"/>
      <c r="D366" s="111"/>
      <c r="E366" s="113"/>
      <c r="F366" s="111"/>
      <c r="G366" s="112"/>
      <c r="H366" s="110"/>
      <c r="I366" s="112"/>
      <c r="J366" s="112"/>
      <c r="K366" s="112"/>
      <c r="L366" s="114"/>
      <c r="M366" s="114"/>
      <c r="N366" s="112"/>
      <c r="O366" s="115"/>
      <c r="P366" s="115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</row>
    <row r="367" spans="1:28" ht="15.75" customHeight="1" x14ac:dyDescent="0.25">
      <c r="A367" s="110"/>
      <c r="B367" s="112"/>
      <c r="C367" s="113"/>
      <c r="D367" s="111"/>
      <c r="E367" s="113"/>
      <c r="F367" s="111"/>
      <c r="G367" s="112"/>
      <c r="H367" s="110"/>
      <c r="I367" s="112"/>
      <c r="J367" s="112"/>
      <c r="K367" s="112"/>
      <c r="L367" s="114"/>
      <c r="M367" s="114"/>
      <c r="N367" s="112"/>
      <c r="O367" s="115"/>
      <c r="P367" s="115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</row>
    <row r="368" spans="1:28" ht="15.75" customHeight="1" x14ac:dyDescent="0.25">
      <c r="A368" s="110"/>
      <c r="B368" s="112"/>
      <c r="C368" s="113"/>
      <c r="D368" s="111"/>
      <c r="E368" s="113"/>
      <c r="F368" s="111"/>
      <c r="G368" s="112"/>
      <c r="H368" s="110"/>
      <c r="I368" s="112"/>
      <c r="J368" s="112"/>
      <c r="K368" s="112"/>
      <c r="L368" s="114"/>
      <c r="M368" s="114"/>
      <c r="N368" s="112"/>
      <c r="O368" s="115"/>
      <c r="P368" s="115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</row>
    <row r="369" spans="1:28" ht="15.75" customHeight="1" x14ac:dyDescent="0.25">
      <c r="A369" s="110"/>
      <c r="B369" s="112"/>
      <c r="C369" s="113"/>
      <c r="D369" s="111"/>
      <c r="E369" s="113"/>
      <c r="F369" s="111"/>
      <c r="G369" s="112"/>
      <c r="H369" s="110"/>
      <c r="I369" s="112"/>
      <c r="J369" s="112"/>
      <c r="K369" s="112"/>
      <c r="L369" s="114"/>
      <c r="M369" s="114"/>
      <c r="N369" s="112"/>
      <c r="O369" s="115"/>
      <c r="P369" s="115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</row>
    <row r="370" spans="1:28" ht="15.75" customHeight="1" x14ac:dyDescent="0.25">
      <c r="A370" s="110"/>
      <c r="B370" s="112"/>
      <c r="C370" s="113"/>
      <c r="D370" s="111"/>
      <c r="E370" s="113"/>
      <c r="F370" s="111"/>
      <c r="G370" s="112"/>
      <c r="H370" s="110"/>
      <c r="I370" s="112"/>
      <c r="J370" s="112"/>
      <c r="K370" s="112"/>
      <c r="L370" s="114"/>
      <c r="M370" s="114"/>
      <c r="N370" s="112"/>
      <c r="O370" s="115"/>
      <c r="P370" s="115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</row>
    <row r="371" spans="1:28" ht="15.75" customHeight="1" x14ac:dyDescent="0.25">
      <c r="A371" s="110"/>
      <c r="B371" s="112"/>
      <c r="C371" s="113"/>
      <c r="D371" s="111"/>
      <c r="E371" s="113"/>
      <c r="F371" s="111"/>
      <c r="G371" s="112"/>
      <c r="H371" s="110"/>
      <c r="I371" s="112"/>
      <c r="J371" s="112"/>
      <c r="K371" s="112"/>
      <c r="L371" s="114"/>
      <c r="M371" s="114"/>
      <c r="N371" s="112"/>
      <c r="O371" s="115"/>
      <c r="P371" s="115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</row>
    <row r="372" spans="1:28" ht="15.75" customHeight="1" x14ac:dyDescent="0.25">
      <c r="A372" s="110"/>
      <c r="B372" s="112"/>
      <c r="C372" s="113"/>
      <c r="D372" s="111"/>
      <c r="E372" s="113"/>
      <c r="F372" s="111"/>
      <c r="G372" s="112"/>
      <c r="H372" s="110"/>
      <c r="I372" s="112"/>
      <c r="J372" s="112"/>
      <c r="K372" s="112"/>
      <c r="L372" s="114"/>
      <c r="M372" s="114"/>
      <c r="N372" s="112"/>
      <c r="O372" s="115"/>
      <c r="P372" s="115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</row>
    <row r="373" spans="1:28" ht="15.75" customHeight="1" x14ac:dyDescent="0.25">
      <c r="A373" s="110"/>
      <c r="B373" s="112"/>
      <c r="C373" s="113"/>
      <c r="D373" s="111"/>
      <c r="E373" s="113"/>
      <c r="F373" s="111"/>
      <c r="G373" s="112"/>
      <c r="H373" s="110"/>
      <c r="I373" s="112"/>
      <c r="J373" s="112"/>
      <c r="K373" s="112"/>
      <c r="L373" s="114"/>
      <c r="M373" s="114"/>
      <c r="N373" s="112"/>
      <c r="O373" s="115"/>
      <c r="P373" s="115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</row>
    <row r="374" spans="1:28" ht="15.75" customHeight="1" x14ac:dyDescent="0.25">
      <c r="A374" s="110"/>
      <c r="B374" s="112"/>
      <c r="C374" s="113"/>
      <c r="D374" s="111"/>
      <c r="E374" s="113"/>
      <c r="F374" s="111"/>
      <c r="G374" s="112"/>
      <c r="H374" s="110"/>
      <c r="I374" s="112"/>
      <c r="J374" s="112"/>
      <c r="K374" s="112"/>
      <c r="L374" s="114"/>
      <c r="M374" s="114"/>
      <c r="N374" s="112"/>
      <c r="O374" s="115"/>
      <c r="P374" s="115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</row>
    <row r="375" spans="1:28" ht="15.75" customHeight="1" x14ac:dyDescent="0.25">
      <c r="A375" s="110"/>
      <c r="B375" s="112"/>
      <c r="C375" s="113"/>
      <c r="D375" s="111"/>
      <c r="E375" s="113"/>
      <c r="F375" s="111"/>
      <c r="G375" s="112"/>
      <c r="H375" s="110"/>
      <c r="I375" s="112"/>
      <c r="J375" s="112"/>
      <c r="K375" s="112"/>
      <c r="L375" s="114"/>
      <c r="M375" s="114"/>
      <c r="N375" s="112"/>
      <c r="O375" s="115"/>
      <c r="P375" s="115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</row>
    <row r="376" spans="1:28" ht="15.75" customHeight="1" x14ac:dyDescent="0.25">
      <c r="A376" s="110"/>
      <c r="B376" s="112"/>
      <c r="C376" s="113"/>
      <c r="D376" s="111"/>
      <c r="E376" s="113"/>
      <c r="F376" s="111"/>
      <c r="G376" s="112"/>
      <c r="H376" s="110"/>
      <c r="I376" s="112"/>
      <c r="J376" s="112"/>
      <c r="K376" s="112"/>
      <c r="L376" s="114"/>
      <c r="M376" s="114"/>
      <c r="N376" s="112"/>
      <c r="O376" s="115"/>
      <c r="P376" s="115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</row>
    <row r="377" spans="1:28" ht="15.75" customHeight="1" x14ac:dyDescent="0.25">
      <c r="A377" s="110"/>
      <c r="B377" s="112"/>
      <c r="C377" s="113"/>
      <c r="D377" s="111"/>
      <c r="E377" s="113"/>
      <c r="F377" s="111"/>
      <c r="G377" s="112"/>
      <c r="H377" s="110"/>
      <c r="I377" s="112"/>
      <c r="J377" s="112"/>
      <c r="K377" s="112"/>
      <c r="L377" s="114"/>
      <c r="M377" s="114"/>
      <c r="N377" s="112"/>
      <c r="O377" s="115"/>
      <c r="P377" s="115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</row>
    <row r="378" spans="1:28" ht="15.75" customHeight="1" x14ac:dyDescent="0.25">
      <c r="A378" s="110"/>
      <c r="B378" s="112"/>
      <c r="C378" s="113"/>
      <c r="D378" s="111"/>
      <c r="E378" s="113"/>
      <c r="F378" s="111"/>
      <c r="G378" s="112"/>
      <c r="H378" s="110"/>
      <c r="I378" s="112"/>
      <c r="J378" s="112"/>
      <c r="K378" s="112"/>
      <c r="L378" s="114"/>
      <c r="M378" s="114"/>
      <c r="N378" s="112"/>
      <c r="O378" s="115"/>
      <c r="P378" s="115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</row>
    <row r="379" spans="1:28" ht="15.75" customHeight="1" x14ac:dyDescent="0.25">
      <c r="A379" s="110"/>
      <c r="B379" s="112"/>
      <c r="C379" s="113"/>
      <c r="D379" s="111"/>
      <c r="E379" s="113"/>
      <c r="F379" s="111"/>
      <c r="G379" s="112"/>
      <c r="H379" s="110"/>
      <c r="I379" s="112"/>
      <c r="J379" s="112"/>
      <c r="K379" s="112"/>
      <c r="L379" s="114"/>
      <c r="M379" s="114"/>
      <c r="N379" s="112"/>
      <c r="O379" s="115"/>
      <c r="P379" s="115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</row>
    <row r="380" spans="1:28" ht="15.75" customHeight="1" x14ac:dyDescent="0.25">
      <c r="A380" s="110"/>
      <c r="B380" s="112"/>
      <c r="C380" s="113"/>
      <c r="D380" s="111"/>
      <c r="E380" s="113"/>
      <c r="F380" s="111"/>
      <c r="G380" s="112"/>
      <c r="H380" s="110"/>
      <c r="I380" s="112"/>
      <c r="J380" s="112"/>
      <c r="K380" s="112"/>
      <c r="L380" s="114"/>
      <c r="M380" s="114"/>
      <c r="N380" s="112"/>
      <c r="O380" s="115"/>
      <c r="P380" s="115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</row>
    <row r="381" spans="1:28" ht="15.75" customHeight="1" x14ac:dyDescent="0.25">
      <c r="A381" s="110"/>
      <c r="B381" s="112"/>
      <c r="C381" s="113"/>
      <c r="D381" s="111"/>
      <c r="E381" s="113"/>
      <c r="F381" s="111"/>
      <c r="G381" s="112"/>
      <c r="H381" s="110"/>
      <c r="I381" s="112"/>
      <c r="J381" s="112"/>
      <c r="K381" s="112"/>
      <c r="L381" s="114"/>
      <c r="M381" s="114"/>
      <c r="N381" s="112"/>
      <c r="O381" s="115"/>
      <c r="P381" s="115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</row>
    <row r="382" spans="1:28" ht="15.75" customHeight="1" x14ac:dyDescent="0.25">
      <c r="A382" s="110"/>
      <c r="B382" s="112"/>
      <c r="C382" s="113"/>
      <c r="D382" s="111"/>
      <c r="E382" s="113"/>
      <c r="F382" s="111"/>
      <c r="G382" s="112"/>
      <c r="H382" s="110"/>
      <c r="I382" s="112"/>
      <c r="J382" s="112"/>
      <c r="K382" s="112"/>
      <c r="L382" s="114"/>
      <c r="M382" s="114"/>
      <c r="N382" s="112"/>
      <c r="O382" s="115"/>
      <c r="P382" s="115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</row>
    <row r="383" spans="1:28" ht="15.75" customHeight="1" x14ac:dyDescent="0.25">
      <c r="A383" s="110"/>
      <c r="B383" s="112"/>
      <c r="C383" s="113"/>
      <c r="D383" s="111"/>
      <c r="E383" s="113"/>
      <c r="F383" s="111"/>
      <c r="G383" s="112"/>
      <c r="H383" s="110"/>
      <c r="I383" s="112"/>
      <c r="J383" s="112"/>
      <c r="K383" s="112"/>
      <c r="L383" s="114"/>
      <c r="M383" s="114"/>
      <c r="N383" s="112"/>
      <c r="O383" s="115"/>
      <c r="P383" s="115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</row>
    <row r="384" spans="1:28" ht="15.75" customHeight="1" x14ac:dyDescent="0.25">
      <c r="A384" s="110"/>
      <c r="B384" s="112"/>
      <c r="C384" s="113"/>
      <c r="D384" s="111"/>
      <c r="E384" s="113"/>
      <c r="F384" s="111"/>
      <c r="G384" s="112"/>
      <c r="H384" s="110"/>
      <c r="I384" s="112"/>
      <c r="J384" s="112"/>
      <c r="K384" s="112"/>
      <c r="L384" s="114"/>
      <c r="M384" s="114"/>
      <c r="N384" s="112"/>
      <c r="O384" s="115"/>
      <c r="P384" s="115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</row>
    <row r="385" spans="1:28" ht="15.75" customHeight="1" x14ac:dyDescent="0.25">
      <c r="A385" s="110"/>
      <c r="B385" s="112"/>
      <c r="C385" s="113"/>
      <c r="D385" s="111"/>
      <c r="E385" s="113"/>
      <c r="F385" s="111"/>
      <c r="G385" s="112"/>
      <c r="H385" s="110"/>
      <c r="I385" s="112"/>
      <c r="J385" s="112"/>
      <c r="K385" s="112"/>
      <c r="L385" s="114"/>
      <c r="M385" s="114"/>
      <c r="N385" s="112"/>
      <c r="O385" s="115"/>
      <c r="P385" s="115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</row>
    <row r="386" spans="1:28" ht="15.75" customHeight="1" x14ac:dyDescent="0.25">
      <c r="A386" s="110"/>
      <c r="B386" s="112"/>
      <c r="C386" s="113"/>
      <c r="D386" s="111"/>
      <c r="E386" s="113"/>
      <c r="F386" s="111"/>
      <c r="G386" s="112"/>
      <c r="H386" s="110"/>
      <c r="I386" s="112"/>
      <c r="J386" s="112"/>
      <c r="K386" s="112"/>
      <c r="L386" s="114"/>
      <c r="M386" s="114"/>
      <c r="N386" s="112"/>
      <c r="O386" s="115"/>
      <c r="P386" s="115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</row>
    <row r="387" spans="1:28" ht="15.75" customHeight="1" x14ac:dyDescent="0.25">
      <c r="A387" s="110"/>
      <c r="B387" s="112"/>
      <c r="C387" s="113"/>
      <c r="D387" s="111"/>
      <c r="E387" s="113"/>
      <c r="F387" s="111"/>
      <c r="G387" s="112"/>
      <c r="H387" s="110"/>
      <c r="I387" s="112"/>
      <c r="J387" s="112"/>
      <c r="K387" s="112"/>
      <c r="L387" s="114"/>
      <c r="M387" s="114"/>
      <c r="N387" s="112"/>
      <c r="O387" s="115"/>
      <c r="P387" s="115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</row>
    <row r="388" spans="1:28" ht="15.75" customHeight="1" x14ac:dyDescent="0.25">
      <c r="A388" s="110"/>
      <c r="B388" s="112"/>
      <c r="C388" s="113"/>
      <c r="D388" s="111"/>
      <c r="E388" s="113"/>
      <c r="F388" s="111"/>
      <c r="G388" s="112"/>
      <c r="H388" s="110"/>
      <c r="I388" s="112"/>
      <c r="J388" s="112"/>
      <c r="K388" s="112"/>
      <c r="L388" s="114"/>
      <c r="M388" s="114"/>
      <c r="N388" s="112"/>
      <c r="O388" s="115"/>
      <c r="P388" s="115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</row>
    <row r="389" spans="1:28" ht="15.75" customHeight="1" x14ac:dyDescent="0.25">
      <c r="A389" s="110"/>
      <c r="B389" s="112"/>
      <c r="C389" s="113"/>
      <c r="D389" s="111"/>
      <c r="E389" s="113"/>
      <c r="F389" s="111"/>
      <c r="G389" s="112"/>
      <c r="H389" s="110"/>
      <c r="I389" s="112"/>
      <c r="J389" s="112"/>
      <c r="K389" s="112"/>
      <c r="L389" s="114"/>
      <c r="M389" s="114"/>
      <c r="N389" s="112"/>
      <c r="O389" s="115"/>
      <c r="P389" s="115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</row>
    <row r="390" spans="1:28" ht="15.75" customHeight="1" x14ac:dyDescent="0.25">
      <c r="A390" s="110"/>
      <c r="B390" s="112"/>
      <c r="C390" s="113"/>
      <c r="D390" s="111"/>
      <c r="E390" s="113"/>
      <c r="F390" s="111"/>
      <c r="G390" s="112"/>
      <c r="H390" s="110"/>
      <c r="I390" s="112"/>
      <c r="J390" s="112"/>
      <c r="K390" s="112"/>
      <c r="L390" s="114"/>
      <c r="M390" s="114"/>
      <c r="N390" s="112"/>
      <c r="O390" s="115"/>
      <c r="P390" s="115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</row>
    <row r="391" spans="1:28" ht="15.75" customHeight="1" x14ac:dyDescent="0.25">
      <c r="A391" s="110"/>
      <c r="B391" s="112"/>
      <c r="C391" s="113"/>
      <c r="D391" s="111"/>
      <c r="E391" s="113"/>
      <c r="F391" s="111"/>
      <c r="G391" s="112"/>
      <c r="H391" s="110"/>
      <c r="I391" s="112"/>
      <c r="J391" s="112"/>
      <c r="K391" s="112"/>
      <c r="L391" s="114"/>
      <c r="M391" s="114"/>
      <c r="N391" s="112"/>
      <c r="O391" s="115"/>
      <c r="P391" s="115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</row>
    <row r="392" spans="1:28" ht="15.75" customHeight="1" x14ac:dyDescent="0.25">
      <c r="A392" s="110"/>
      <c r="B392" s="112"/>
      <c r="C392" s="113"/>
      <c r="D392" s="111"/>
      <c r="E392" s="113"/>
      <c r="F392" s="111"/>
      <c r="G392" s="112"/>
      <c r="H392" s="110"/>
      <c r="I392" s="112"/>
      <c r="J392" s="112"/>
      <c r="K392" s="112"/>
      <c r="L392" s="114"/>
      <c r="M392" s="114"/>
      <c r="N392" s="112"/>
      <c r="O392" s="115"/>
      <c r="P392" s="115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</row>
    <row r="393" spans="1:28" ht="15.75" customHeight="1" x14ac:dyDescent="0.25">
      <c r="A393" s="110"/>
      <c r="B393" s="112"/>
      <c r="C393" s="113"/>
      <c r="D393" s="111"/>
      <c r="E393" s="113"/>
      <c r="F393" s="111"/>
      <c r="G393" s="112"/>
      <c r="H393" s="110"/>
      <c r="I393" s="112"/>
      <c r="J393" s="112"/>
      <c r="K393" s="112"/>
      <c r="L393" s="114"/>
      <c r="M393" s="114"/>
      <c r="N393" s="112"/>
      <c r="O393" s="115"/>
      <c r="P393" s="115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</row>
    <row r="394" spans="1:28" ht="15.75" customHeight="1" x14ac:dyDescent="0.25">
      <c r="A394" s="110"/>
      <c r="B394" s="112"/>
      <c r="C394" s="113"/>
      <c r="D394" s="111"/>
      <c r="E394" s="113"/>
      <c r="F394" s="111"/>
      <c r="G394" s="112"/>
      <c r="H394" s="110"/>
      <c r="I394" s="112"/>
      <c r="J394" s="112"/>
      <c r="K394" s="112"/>
      <c r="L394" s="114"/>
      <c r="M394" s="114"/>
      <c r="N394" s="112"/>
      <c r="O394" s="115"/>
      <c r="P394" s="115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</row>
    <row r="395" spans="1:28" ht="15.75" customHeight="1" x14ac:dyDescent="0.25">
      <c r="A395" s="110"/>
      <c r="B395" s="112"/>
      <c r="C395" s="113"/>
      <c r="D395" s="111"/>
      <c r="E395" s="113"/>
      <c r="F395" s="111"/>
      <c r="G395" s="112"/>
      <c r="H395" s="110"/>
      <c r="I395" s="112"/>
      <c r="J395" s="112"/>
      <c r="K395" s="112"/>
      <c r="L395" s="114"/>
      <c r="M395" s="114"/>
      <c r="N395" s="112"/>
      <c r="O395" s="115"/>
      <c r="P395" s="115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</row>
    <row r="396" spans="1:28" ht="15.75" customHeight="1" x14ac:dyDescent="0.25">
      <c r="A396" s="110"/>
      <c r="B396" s="112"/>
      <c r="C396" s="113"/>
      <c r="D396" s="111"/>
      <c r="E396" s="113"/>
      <c r="F396" s="111"/>
      <c r="G396" s="112"/>
      <c r="H396" s="110"/>
      <c r="I396" s="112"/>
      <c r="J396" s="112"/>
      <c r="K396" s="112"/>
      <c r="L396" s="114"/>
      <c r="M396" s="114"/>
      <c r="N396" s="112"/>
      <c r="O396" s="115"/>
      <c r="P396" s="115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</row>
    <row r="397" spans="1:28" ht="15.75" customHeight="1" x14ac:dyDescent="0.25">
      <c r="A397" s="110"/>
      <c r="B397" s="112"/>
      <c r="C397" s="113"/>
      <c r="D397" s="111"/>
      <c r="E397" s="113"/>
      <c r="F397" s="111"/>
      <c r="G397" s="112"/>
      <c r="H397" s="110"/>
      <c r="I397" s="112"/>
      <c r="J397" s="112"/>
      <c r="K397" s="112"/>
      <c r="L397" s="114"/>
      <c r="M397" s="114"/>
      <c r="N397" s="112"/>
      <c r="O397" s="115"/>
      <c r="P397" s="115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</row>
    <row r="398" spans="1:28" ht="15.75" customHeight="1" x14ac:dyDescent="0.25">
      <c r="A398" s="110"/>
      <c r="B398" s="112"/>
      <c r="C398" s="113"/>
      <c r="D398" s="111"/>
      <c r="E398" s="113"/>
      <c r="F398" s="111"/>
      <c r="G398" s="112"/>
      <c r="H398" s="110"/>
      <c r="I398" s="112"/>
      <c r="J398" s="112"/>
      <c r="K398" s="112"/>
      <c r="L398" s="114"/>
      <c r="M398" s="114"/>
      <c r="N398" s="112"/>
      <c r="O398" s="115"/>
      <c r="P398" s="115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</row>
    <row r="399" spans="1:28" ht="15.75" customHeight="1" x14ac:dyDescent="0.25">
      <c r="A399" s="110"/>
      <c r="B399" s="112"/>
      <c r="C399" s="113"/>
      <c r="D399" s="111"/>
      <c r="E399" s="113"/>
      <c r="F399" s="111"/>
      <c r="G399" s="112"/>
      <c r="H399" s="110"/>
      <c r="I399" s="112"/>
      <c r="J399" s="112"/>
      <c r="K399" s="112"/>
      <c r="L399" s="114"/>
      <c r="M399" s="114"/>
      <c r="N399" s="112"/>
      <c r="O399" s="115"/>
      <c r="P399" s="115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</row>
    <row r="400" spans="1:28" ht="15.75" customHeight="1" x14ac:dyDescent="0.25">
      <c r="A400" s="110"/>
      <c r="B400" s="112"/>
      <c r="C400" s="113"/>
      <c r="D400" s="111"/>
      <c r="E400" s="113"/>
      <c r="F400" s="111"/>
      <c r="G400" s="112"/>
      <c r="H400" s="110"/>
      <c r="I400" s="112"/>
      <c r="J400" s="112"/>
      <c r="K400" s="112"/>
      <c r="L400" s="114"/>
      <c r="M400" s="114"/>
      <c r="N400" s="112"/>
      <c r="O400" s="115"/>
      <c r="P400" s="115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</row>
    <row r="401" spans="1:28" ht="15.75" customHeight="1" x14ac:dyDescent="0.25">
      <c r="A401" s="110"/>
      <c r="B401" s="112"/>
      <c r="C401" s="113"/>
      <c r="D401" s="111"/>
      <c r="E401" s="113"/>
      <c r="F401" s="111"/>
      <c r="G401" s="112"/>
      <c r="H401" s="110"/>
      <c r="I401" s="112"/>
      <c r="J401" s="112"/>
      <c r="K401" s="112"/>
      <c r="L401" s="114"/>
      <c r="M401" s="114"/>
      <c r="N401" s="112"/>
      <c r="O401" s="115"/>
      <c r="P401" s="115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</row>
    <row r="402" spans="1:28" ht="15.75" customHeight="1" x14ac:dyDescent="0.25">
      <c r="A402" s="110"/>
      <c r="B402" s="112"/>
      <c r="C402" s="113"/>
      <c r="D402" s="111"/>
      <c r="E402" s="113"/>
      <c r="F402" s="111"/>
      <c r="G402" s="112"/>
      <c r="H402" s="110"/>
      <c r="I402" s="112"/>
      <c r="J402" s="112"/>
      <c r="K402" s="112"/>
      <c r="L402" s="114"/>
      <c r="M402" s="114"/>
      <c r="N402" s="112"/>
      <c r="O402" s="115"/>
      <c r="P402" s="115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</row>
    <row r="403" spans="1:28" ht="15.75" customHeight="1" x14ac:dyDescent="0.25">
      <c r="A403" s="110"/>
      <c r="B403" s="112"/>
      <c r="C403" s="113"/>
      <c r="D403" s="111"/>
      <c r="E403" s="113"/>
      <c r="F403" s="111"/>
      <c r="G403" s="112"/>
      <c r="H403" s="110"/>
      <c r="I403" s="112"/>
      <c r="J403" s="112"/>
      <c r="K403" s="112"/>
      <c r="L403" s="114"/>
      <c r="M403" s="114"/>
      <c r="N403" s="112"/>
      <c r="O403" s="115"/>
      <c r="P403" s="115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</row>
    <row r="404" spans="1:28" ht="15.75" customHeight="1" x14ac:dyDescent="0.25">
      <c r="A404" s="110"/>
      <c r="B404" s="112"/>
      <c r="C404" s="113"/>
      <c r="D404" s="111"/>
      <c r="E404" s="113"/>
      <c r="F404" s="111"/>
      <c r="G404" s="112"/>
      <c r="H404" s="110"/>
      <c r="I404" s="112"/>
      <c r="J404" s="112"/>
      <c r="K404" s="112"/>
      <c r="L404" s="114"/>
      <c r="M404" s="114"/>
      <c r="N404" s="112"/>
      <c r="O404" s="115"/>
      <c r="P404" s="115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</row>
    <row r="405" spans="1:28" ht="15.75" customHeight="1" x14ac:dyDescent="0.25">
      <c r="A405" s="110"/>
      <c r="B405" s="112"/>
      <c r="C405" s="113"/>
      <c r="D405" s="111"/>
      <c r="E405" s="113"/>
      <c r="F405" s="111"/>
      <c r="G405" s="112"/>
      <c r="H405" s="110"/>
      <c r="I405" s="112"/>
      <c r="J405" s="112"/>
      <c r="K405" s="112"/>
      <c r="L405" s="114"/>
      <c r="M405" s="114"/>
      <c r="N405" s="112"/>
      <c r="O405" s="115"/>
      <c r="P405" s="115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</row>
    <row r="406" spans="1:28" ht="15.75" customHeight="1" x14ac:dyDescent="0.25">
      <c r="A406" s="110"/>
      <c r="B406" s="112"/>
      <c r="C406" s="113"/>
      <c r="D406" s="111"/>
      <c r="E406" s="113"/>
      <c r="F406" s="111"/>
      <c r="G406" s="112"/>
      <c r="H406" s="110"/>
      <c r="I406" s="112"/>
      <c r="J406" s="112"/>
      <c r="K406" s="112"/>
      <c r="L406" s="114"/>
      <c r="M406" s="114"/>
      <c r="N406" s="112"/>
      <c r="O406" s="115"/>
      <c r="P406" s="115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</row>
    <row r="407" spans="1:28" ht="15.75" customHeight="1" x14ac:dyDescent="0.25">
      <c r="A407" s="110"/>
      <c r="B407" s="112"/>
      <c r="C407" s="113"/>
      <c r="D407" s="111"/>
      <c r="E407" s="113"/>
      <c r="F407" s="111"/>
      <c r="G407" s="112"/>
      <c r="H407" s="110"/>
      <c r="I407" s="112"/>
      <c r="J407" s="112"/>
      <c r="K407" s="112"/>
      <c r="L407" s="114"/>
      <c r="M407" s="114"/>
      <c r="N407" s="112"/>
      <c r="O407" s="115"/>
      <c r="P407" s="115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</row>
    <row r="408" spans="1:28" ht="15.75" customHeight="1" x14ac:dyDescent="0.25">
      <c r="A408" s="110"/>
      <c r="B408" s="112"/>
      <c r="C408" s="113"/>
      <c r="D408" s="111"/>
      <c r="E408" s="113"/>
      <c r="F408" s="111"/>
      <c r="G408" s="112"/>
      <c r="H408" s="110"/>
      <c r="I408" s="112"/>
      <c r="J408" s="112"/>
      <c r="K408" s="112"/>
      <c r="L408" s="114"/>
      <c r="M408" s="114"/>
      <c r="N408" s="112"/>
      <c r="O408" s="115"/>
      <c r="P408" s="115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</row>
    <row r="409" spans="1:28" ht="15.75" customHeight="1" x14ac:dyDescent="0.25">
      <c r="A409" s="110"/>
      <c r="B409" s="112"/>
      <c r="C409" s="113"/>
      <c r="D409" s="111"/>
      <c r="E409" s="113"/>
      <c r="F409" s="111"/>
      <c r="G409" s="112"/>
      <c r="H409" s="110"/>
      <c r="I409" s="112"/>
      <c r="J409" s="112"/>
      <c r="K409" s="112"/>
      <c r="L409" s="114"/>
      <c r="M409" s="114"/>
      <c r="N409" s="112"/>
      <c r="O409" s="115"/>
      <c r="P409" s="115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</row>
    <row r="410" spans="1:28" ht="15.75" customHeight="1" x14ac:dyDescent="0.25">
      <c r="A410" s="110"/>
      <c r="B410" s="112"/>
      <c r="C410" s="113"/>
      <c r="D410" s="111"/>
      <c r="E410" s="113"/>
      <c r="F410" s="111"/>
      <c r="G410" s="112"/>
      <c r="H410" s="110"/>
      <c r="I410" s="112"/>
      <c r="J410" s="112"/>
      <c r="K410" s="112"/>
      <c r="L410" s="114"/>
      <c r="M410" s="114"/>
      <c r="N410" s="112"/>
      <c r="O410" s="115"/>
      <c r="P410" s="115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</row>
    <row r="411" spans="1:28" ht="15.75" customHeight="1" x14ac:dyDescent="0.25">
      <c r="A411" s="110"/>
      <c r="B411" s="112"/>
      <c r="C411" s="113"/>
      <c r="D411" s="111"/>
      <c r="E411" s="113"/>
      <c r="F411" s="111"/>
      <c r="G411" s="112"/>
      <c r="H411" s="110"/>
      <c r="I411" s="112"/>
      <c r="J411" s="112"/>
      <c r="K411" s="112"/>
      <c r="L411" s="114"/>
      <c r="M411" s="114"/>
      <c r="N411" s="112"/>
      <c r="O411" s="115"/>
      <c r="P411" s="115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</row>
    <row r="412" spans="1:28" ht="15.75" customHeight="1" x14ac:dyDescent="0.25">
      <c r="A412" s="110"/>
      <c r="B412" s="112"/>
      <c r="C412" s="113"/>
      <c r="D412" s="111"/>
      <c r="E412" s="113"/>
      <c r="F412" s="111"/>
      <c r="G412" s="112"/>
      <c r="H412" s="110"/>
      <c r="I412" s="112"/>
      <c r="J412" s="112"/>
      <c r="K412" s="112"/>
      <c r="L412" s="114"/>
      <c r="M412" s="114"/>
      <c r="N412" s="112"/>
      <c r="O412" s="115"/>
      <c r="P412" s="115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</row>
    <row r="413" spans="1:28" ht="15.75" customHeight="1" x14ac:dyDescent="0.25">
      <c r="A413" s="110"/>
      <c r="B413" s="112"/>
      <c r="C413" s="113"/>
      <c r="D413" s="111"/>
      <c r="E413" s="113"/>
      <c r="F413" s="111"/>
      <c r="G413" s="112"/>
      <c r="H413" s="110"/>
      <c r="I413" s="112"/>
      <c r="J413" s="112"/>
      <c r="K413" s="112"/>
      <c r="L413" s="114"/>
      <c r="M413" s="114"/>
      <c r="N413" s="112"/>
      <c r="O413" s="115"/>
      <c r="P413" s="115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</row>
    <row r="414" spans="1:28" ht="15.75" customHeight="1" x14ac:dyDescent="0.25">
      <c r="A414" s="110"/>
      <c r="B414" s="112"/>
      <c r="C414" s="113"/>
      <c r="D414" s="111"/>
      <c r="E414" s="113"/>
      <c r="F414" s="111"/>
      <c r="G414" s="112"/>
      <c r="H414" s="110"/>
      <c r="I414" s="112"/>
      <c r="J414" s="112"/>
      <c r="K414" s="112"/>
      <c r="L414" s="114"/>
      <c r="M414" s="114"/>
      <c r="N414" s="112"/>
      <c r="O414" s="115"/>
      <c r="P414" s="115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</row>
    <row r="415" spans="1:28" ht="15.75" customHeight="1" x14ac:dyDescent="0.25">
      <c r="A415" s="110"/>
      <c r="B415" s="112"/>
      <c r="C415" s="113"/>
      <c r="D415" s="111"/>
      <c r="E415" s="113"/>
      <c r="F415" s="111"/>
      <c r="G415" s="112"/>
      <c r="H415" s="110"/>
      <c r="I415" s="112"/>
      <c r="J415" s="112"/>
      <c r="K415" s="112"/>
      <c r="L415" s="114"/>
      <c r="M415" s="114"/>
      <c r="N415" s="112"/>
      <c r="O415" s="115"/>
      <c r="P415" s="115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</row>
    <row r="416" spans="1:28" ht="15.75" customHeight="1" x14ac:dyDescent="0.25">
      <c r="A416" s="110"/>
      <c r="B416" s="112"/>
      <c r="C416" s="113"/>
      <c r="D416" s="111"/>
      <c r="E416" s="113"/>
      <c r="F416" s="111"/>
      <c r="G416" s="112"/>
      <c r="H416" s="110"/>
      <c r="I416" s="112"/>
      <c r="J416" s="112"/>
      <c r="K416" s="112"/>
      <c r="L416" s="114"/>
      <c r="M416" s="114"/>
      <c r="N416" s="112"/>
      <c r="O416" s="115"/>
      <c r="P416" s="115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</row>
    <row r="417" spans="1:28" ht="15.75" customHeight="1" x14ac:dyDescent="0.25">
      <c r="A417" s="110"/>
      <c r="B417" s="112"/>
      <c r="C417" s="113"/>
      <c r="D417" s="111"/>
      <c r="E417" s="113"/>
      <c r="F417" s="111"/>
      <c r="G417" s="112"/>
      <c r="H417" s="110"/>
      <c r="I417" s="112"/>
      <c r="J417" s="112"/>
      <c r="K417" s="112"/>
      <c r="L417" s="114"/>
      <c r="M417" s="114"/>
      <c r="N417" s="112"/>
      <c r="O417" s="115"/>
      <c r="P417" s="115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</row>
    <row r="418" spans="1:28" ht="15.75" customHeight="1" x14ac:dyDescent="0.25">
      <c r="A418" s="110"/>
      <c r="B418" s="112"/>
      <c r="C418" s="113"/>
      <c r="D418" s="111"/>
      <c r="E418" s="113"/>
      <c r="F418" s="111"/>
      <c r="G418" s="112"/>
      <c r="H418" s="110"/>
      <c r="I418" s="112"/>
      <c r="J418" s="112"/>
      <c r="K418" s="112"/>
      <c r="L418" s="114"/>
      <c r="M418" s="114"/>
      <c r="N418" s="112"/>
      <c r="O418" s="115"/>
      <c r="P418" s="115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</row>
    <row r="419" spans="1:28" ht="15.75" customHeight="1" x14ac:dyDescent="0.25">
      <c r="A419" s="110"/>
      <c r="B419" s="112"/>
      <c r="C419" s="113"/>
      <c r="D419" s="111"/>
      <c r="E419" s="113"/>
      <c r="F419" s="111"/>
      <c r="G419" s="112"/>
      <c r="H419" s="110"/>
      <c r="I419" s="112"/>
      <c r="J419" s="112"/>
      <c r="K419" s="112"/>
      <c r="L419" s="114"/>
      <c r="M419" s="114"/>
      <c r="N419" s="112"/>
      <c r="O419" s="115"/>
      <c r="P419" s="115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</row>
    <row r="420" spans="1:28" ht="15.75" customHeight="1" x14ac:dyDescent="0.25">
      <c r="A420" s="110"/>
      <c r="B420" s="112"/>
      <c r="C420" s="113"/>
      <c r="D420" s="111"/>
      <c r="E420" s="113"/>
      <c r="F420" s="111"/>
      <c r="G420" s="112"/>
      <c r="H420" s="110"/>
      <c r="I420" s="112"/>
      <c r="J420" s="112"/>
      <c r="K420" s="112"/>
      <c r="L420" s="114"/>
      <c r="M420" s="114"/>
      <c r="N420" s="112"/>
      <c r="O420" s="115"/>
      <c r="P420" s="115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</row>
    <row r="421" spans="1:28" ht="15.75" customHeight="1" x14ac:dyDescent="0.25">
      <c r="A421" s="110"/>
      <c r="B421" s="112"/>
      <c r="C421" s="113"/>
      <c r="D421" s="111"/>
      <c r="E421" s="113"/>
      <c r="F421" s="111"/>
      <c r="G421" s="112"/>
      <c r="H421" s="110"/>
      <c r="I421" s="112"/>
      <c r="J421" s="112"/>
      <c r="K421" s="112"/>
      <c r="L421" s="114"/>
      <c r="M421" s="114"/>
      <c r="N421" s="112"/>
      <c r="O421" s="115"/>
      <c r="P421" s="115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</row>
    <row r="422" spans="1:28" ht="15.75" customHeight="1" x14ac:dyDescent="0.25">
      <c r="A422" s="110"/>
      <c r="B422" s="112"/>
      <c r="C422" s="113"/>
      <c r="D422" s="111"/>
      <c r="E422" s="113"/>
      <c r="F422" s="111"/>
      <c r="G422" s="112"/>
      <c r="H422" s="110"/>
      <c r="I422" s="112"/>
      <c r="J422" s="112"/>
      <c r="K422" s="112"/>
      <c r="L422" s="114"/>
      <c r="M422" s="114"/>
      <c r="N422" s="112"/>
      <c r="O422" s="115"/>
      <c r="P422" s="115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</row>
    <row r="423" spans="1:28" ht="15.75" customHeight="1" x14ac:dyDescent="0.25">
      <c r="A423" s="110"/>
      <c r="B423" s="112"/>
      <c r="C423" s="113"/>
      <c r="D423" s="111"/>
      <c r="E423" s="113"/>
      <c r="F423" s="111"/>
      <c r="G423" s="112"/>
      <c r="H423" s="110"/>
      <c r="I423" s="112"/>
      <c r="J423" s="112"/>
      <c r="K423" s="112"/>
      <c r="L423" s="114"/>
      <c r="M423" s="114"/>
      <c r="N423" s="112"/>
      <c r="O423" s="115"/>
      <c r="P423" s="115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</row>
    <row r="424" spans="1:28" ht="15.75" customHeight="1" x14ac:dyDescent="0.25">
      <c r="A424" s="110"/>
      <c r="B424" s="112"/>
      <c r="C424" s="113"/>
      <c r="D424" s="111"/>
      <c r="E424" s="113"/>
      <c r="F424" s="111"/>
      <c r="G424" s="112"/>
      <c r="H424" s="110"/>
      <c r="I424" s="112"/>
      <c r="J424" s="112"/>
      <c r="K424" s="112"/>
      <c r="L424" s="114"/>
      <c r="M424" s="114"/>
      <c r="N424" s="112"/>
      <c r="O424" s="115"/>
      <c r="P424" s="115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</row>
    <row r="425" spans="1:28" ht="15.75" customHeight="1" x14ac:dyDescent="0.25">
      <c r="A425" s="110"/>
      <c r="B425" s="112"/>
      <c r="C425" s="113"/>
      <c r="D425" s="111"/>
      <c r="E425" s="113"/>
      <c r="F425" s="111"/>
      <c r="G425" s="112"/>
      <c r="H425" s="110"/>
      <c r="I425" s="112"/>
      <c r="J425" s="112"/>
      <c r="K425" s="112"/>
      <c r="L425" s="114"/>
      <c r="M425" s="114"/>
      <c r="N425" s="112"/>
      <c r="O425" s="115"/>
      <c r="P425" s="115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</row>
    <row r="426" spans="1:28" ht="15.75" customHeight="1" x14ac:dyDescent="0.25">
      <c r="A426" s="110"/>
      <c r="B426" s="112"/>
      <c r="C426" s="113"/>
      <c r="D426" s="111"/>
      <c r="E426" s="113"/>
      <c r="F426" s="111"/>
      <c r="G426" s="112"/>
      <c r="H426" s="110"/>
      <c r="I426" s="112"/>
      <c r="J426" s="112"/>
      <c r="K426" s="112"/>
      <c r="L426" s="114"/>
      <c r="M426" s="114"/>
      <c r="N426" s="112"/>
      <c r="O426" s="115"/>
      <c r="P426" s="115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</row>
    <row r="427" spans="1:28" ht="15.75" customHeight="1" x14ac:dyDescent="0.25">
      <c r="A427" s="110"/>
      <c r="B427" s="112"/>
      <c r="C427" s="113"/>
      <c r="D427" s="111"/>
      <c r="E427" s="113"/>
      <c r="F427" s="111"/>
      <c r="G427" s="112"/>
      <c r="H427" s="110"/>
      <c r="I427" s="112"/>
      <c r="J427" s="112"/>
      <c r="K427" s="112"/>
      <c r="L427" s="114"/>
      <c r="M427" s="114"/>
      <c r="N427" s="112"/>
      <c r="O427" s="115"/>
      <c r="P427" s="115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</row>
    <row r="428" spans="1:28" ht="15.75" customHeight="1" x14ac:dyDescent="0.25">
      <c r="A428" s="110"/>
      <c r="B428" s="112"/>
      <c r="C428" s="113"/>
      <c r="D428" s="111"/>
      <c r="E428" s="113"/>
      <c r="F428" s="111"/>
      <c r="G428" s="112"/>
      <c r="H428" s="110"/>
      <c r="I428" s="112"/>
      <c r="J428" s="112"/>
      <c r="K428" s="112"/>
      <c r="L428" s="114"/>
      <c r="M428" s="114"/>
      <c r="N428" s="112"/>
      <c r="O428" s="115"/>
      <c r="P428" s="115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</row>
    <row r="429" spans="1:28" ht="15.75" customHeight="1" x14ac:dyDescent="0.25">
      <c r="A429" s="110"/>
      <c r="B429" s="112"/>
      <c r="C429" s="113"/>
      <c r="D429" s="111"/>
      <c r="E429" s="113"/>
      <c r="F429" s="111"/>
      <c r="G429" s="112"/>
      <c r="H429" s="110"/>
      <c r="I429" s="112"/>
      <c r="J429" s="112"/>
      <c r="K429" s="112"/>
      <c r="L429" s="114"/>
      <c r="M429" s="114"/>
      <c r="N429" s="112"/>
      <c r="O429" s="115"/>
      <c r="P429" s="115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</row>
    <row r="430" spans="1:28" ht="15.75" customHeight="1" x14ac:dyDescent="0.25">
      <c r="A430" s="110"/>
      <c r="B430" s="112"/>
      <c r="C430" s="113"/>
      <c r="D430" s="111"/>
      <c r="E430" s="113"/>
      <c r="F430" s="111"/>
      <c r="G430" s="112"/>
      <c r="H430" s="110"/>
      <c r="I430" s="112"/>
      <c r="J430" s="112"/>
      <c r="K430" s="112"/>
      <c r="L430" s="114"/>
      <c r="M430" s="114"/>
      <c r="N430" s="112"/>
      <c r="O430" s="115"/>
      <c r="P430" s="115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</row>
    <row r="431" spans="1:28" ht="15.75" customHeight="1" x14ac:dyDescent="0.25">
      <c r="A431" s="110"/>
      <c r="B431" s="112"/>
      <c r="C431" s="113"/>
      <c r="D431" s="111"/>
      <c r="E431" s="113"/>
      <c r="F431" s="111"/>
      <c r="G431" s="112"/>
      <c r="H431" s="110"/>
      <c r="I431" s="112"/>
      <c r="J431" s="112"/>
      <c r="K431" s="112"/>
      <c r="L431" s="114"/>
      <c r="M431" s="114"/>
      <c r="N431" s="112"/>
      <c r="O431" s="115"/>
      <c r="P431" s="115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</row>
    <row r="432" spans="1:28" ht="15.75" customHeight="1" x14ac:dyDescent="0.25">
      <c r="A432" s="110"/>
      <c r="B432" s="112"/>
      <c r="C432" s="113"/>
      <c r="D432" s="111"/>
      <c r="E432" s="113"/>
      <c r="F432" s="111"/>
      <c r="G432" s="112"/>
      <c r="H432" s="110"/>
      <c r="I432" s="112"/>
      <c r="J432" s="112"/>
      <c r="K432" s="112"/>
      <c r="L432" s="114"/>
      <c r="M432" s="114"/>
      <c r="N432" s="112"/>
      <c r="O432" s="115"/>
      <c r="P432" s="115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</row>
    <row r="433" spans="1:28" ht="15.75" customHeight="1" x14ac:dyDescent="0.25">
      <c r="A433" s="110"/>
      <c r="B433" s="112"/>
      <c r="C433" s="113"/>
      <c r="D433" s="111"/>
      <c r="E433" s="113"/>
      <c r="F433" s="111"/>
      <c r="G433" s="112"/>
      <c r="H433" s="110"/>
      <c r="I433" s="112"/>
      <c r="J433" s="112"/>
      <c r="K433" s="112"/>
      <c r="L433" s="114"/>
      <c r="M433" s="114"/>
      <c r="N433" s="112"/>
      <c r="O433" s="115"/>
      <c r="P433" s="115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</row>
    <row r="434" spans="1:28" ht="15.75" customHeight="1" x14ac:dyDescent="0.25">
      <c r="A434" s="110"/>
      <c r="B434" s="112"/>
      <c r="C434" s="113"/>
      <c r="D434" s="111"/>
      <c r="E434" s="113"/>
      <c r="F434" s="111"/>
      <c r="G434" s="112"/>
      <c r="H434" s="110"/>
      <c r="I434" s="112"/>
      <c r="J434" s="112"/>
      <c r="K434" s="112"/>
      <c r="L434" s="114"/>
      <c r="M434" s="114"/>
      <c r="N434" s="112"/>
      <c r="O434" s="115"/>
      <c r="P434" s="115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</row>
    <row r="435" spans="1:28" ht="15.75" customHeight="1" x14ac:dyDescent="0.25">
      <c r="A435" s="110"/>
      <c r="B435" s="112"/>
      <c r="C435" s="113"/>
      <c r="D435" s="111"/>
      <c r="E435" s="113"/>
      <c r="F435" s="111"/>
      <c r="G435" s="112"/>
      <c r="H435" s="110"/>
      <c r="I435" s="112"/>
      <c r="J435" s="112"/>
      <c r="K435" s="112"/>
      <c r="L435" s="114"/>
      <c r="M435" s="114"/>
      <c r="N435" s="112"/>
      <c r="O435" s="115"/>
      <c r="P435" s="115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</row>
    <row r="436" spans="1:28" ht="15.75" customHeight="1" x14ac:dyDescent="0.25">
      <c r="A436" s="110"/>
      <c r="B436" s="112"/>
      <c r="C436" s="113"/>
      <c r="D436" s="111"/>
      <c r="E436" s="113"/>
      <c r="F436" s="111"/>
      <c r="G436" s="112"/>
      <c r="H436" s="110"/>
      <c r="I436" s="112"/>
      <c r="J436" s="112"/>
      <c r="K436" s="112"/>
      <c r="L436" s="114"/>
      <c r="M436" s="114"/>
      <c r="N436" s="112"/>
      <c r="O436" s="115"/>
      <c r="P436" s="115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</row>
    <row r="437" spans="1:28" ht="15.75" customHeight="1" x14ac:dyDescent="0.25">
      <c r="A437" s="110"/>
      <c r="B437" s="112"/>
      <c r="C437" s="113"/>
      <c r="D437" s="111"/>
      <c r="E437" s="113"/>
      <c r="F437" s="111"/>
      <c r="G437" s="112"/>
      <c r="H437" s="110"/>
      <c r="I437" s="112"/>
      <c r="J437" s="112"/>
      <c r="K437" s="112"/>
      <c r="L437" s="114"/>
      <c r="M437" s="114"/>
      <c r="N437" s="112"/>
      <c r="O437" s="115"/>
      <c r="P437" s="115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</row>
    <row r="438" spans="1:28" ht="15.75" customHeight="1" x14ac:dyDescent="0.25">
      <c r="A438" s="110"/>
      <c r="B438" s="112"/>
      <c r="C438" s="113"/>
      <c r="D438" s="111"/>
      <c r="E438" s="113"/>
      <c r="F438" s="111"/>
      <c r="G438" s="112"/>
      <c r="H438" s="110"/>
      <c r="I438" s="112"/>
      <c r="J438" s="112"/>
      <c r="K438" s="112"/>
      <c r="L438" s="114"/>
      <c r="M438" s="114"/>
      <c r="N438" s="112"/>
      <c r="O438" s="115"/>
      <c r="P438" s="115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</row>
    <row r="439" spans="1:28" ht="15.75" customHeight="1" x14ac:dyDescent="0.25">
      <c r="A439" s="110"/>
      <c r="B439" s="112"/>
      <c r="C439" s="113"/>
      <c r="D439" s="111"/>
      <c r="E439" s="113"/>
      <c r="F439" s="111"/>
      <c r="G439" s="112"/>
      <c r="H439" s="110"/>
      <c r="I439" s="112"/>
      <c r="J439" s="112"/>
      <c r="K439" s="112"/>
      <c r="L439" s="114"/>
      <c r="M439" s="114"/>
      <c r="N439" s="112"/>
      <c r="O439" s="115"/>
      <c r="P439" s="115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</row>
    <row r="440" spans="1:28" ht="15.75" customHeight="1" x14ac:dyDescent="0.25">
      <c r="A440" s="110"/>
      <c r="B440" s="112"/>
      <c r="C440" s="113"/>
      <c r="D440" s="111"/>
      <c r="E440" s="113"/>
      <c r="F440" s="111"/>
      <c r="G440" s="112"/>
      <c r="H440" s="110"/>
      <c r="I440" s="112"/>
      <c r="J440" s="112"/>
      <c r="K440" s="112"/>
      <c r="L440" s="114"/>
      <c r="M440" s="114"/>
      <c r="N440" s="112"/>
      <c r="O440" s="115"/>
      <c r="P440" s="115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</row>
    <row r="441" spans="1:28" ht="15.75" customHeight="1" x14ac:dyDescent="0.25">
      <c r="A441" s="110"/>
      <c r="B441" s="112"/>
      <c r="C441" s="113"/>
      <c r="D441" s="111"/>
      <c r="E441" s="113"/>
      <c r="F441" s="111"/>
      <c r="G441" s="112"/>
      <c r="H441" s="110"/>
      <c r="I441" s="112"/>
      <c r="J441" s="112"/>
      <c r="K441" s="112"/>
      <c r="L441" s="114"/>
      <c r="M441" s="114"/>
      <c r="N441" s="112"/>
      <c r="O441" s="115"/>
      <c r="P441" s="115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</row>
    <row r="442" spans="1:28" ht="15.75" customHeight="1" x14ac:dyDescent="0.25">
      <c r="A442" s="110"/>
      <c r="B442" s="112"/>
      <c r="C442" s="113"/>
      <c r="D442" s="111"/>
      <c r="E442" s="113"/>
      <c r="F442" s="111"/>
      <c r="G442" s="112"/>
      <c r="H442" s="110"/>
      <c r="I442" s="112"/>
      <c r="J442" s="112"/>
      <c r="K442" s="112"/>
      <c r="L442" s="114"/>
      <c r="M442" s="114"/>
      <c r="N442" s="112"/>
      <c r="O442" s="115"/>
      <c r="P442" s="115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</row>
    <row r="443" spans="1:28" ht="15.75" customHeight="1" x14ac:dyDescent="0.25">
      <c r="A443" s="110"/>
      <c r="B443" s="112"/>
      <c r="C443" s="113"/>
      <c r="D443" s="111"/>
      <c r="E443" s="113"/>
      <c r="F443" s="111"/>
      <c r="G443" s="112"/>
      <c r="H443" s="110"/>
      <c r="I443" s="112"/>
      <c r="J443" s="112"/>
      <c r="K443" s="112"/>
      <c r="L443" s="114"/>
      <c r="M443" s="114"/>
      <c r="N443" s="112"/>
      <c r="O443" s="115"/>
      <c r="P443" s="115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</row>
    <row r="444" spans="1:28" ht="15.75" customHeight="1" x14ac:dyDescent="0.25">
      <c r="A444" s="110"/>
      <c r="B444" s="112"/>
      <c r="C444" s="113"/>
      <c r="D444" s="111"/>
      <c r="E444" s="113"/>
      <c r="F444" s="111"/>
      <c r="G444" s="112"/>
      <c r="H444" s="110"/>
      <c r="I444" s="112"/>
      <c r="J444" s="112"/>
      <c r="K444" s="112"/>
      <c r="L444" s="114"/>
      <c r="M444" s="114"/>
      <c r="N444" s="112"/>
      <c r="O444" s="115"/>
      <c r="P444" s="115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</row>
    <row r="445" spans="1:28" ht="15.75" customHeight="1" x14ac:dyDescent="0.25">
      <c r="A445" s="110"/>
      <c r="B445" s="112"/>
      <c r="C445" s="113"/>
      <c r="D445" s="111"/>
      <c r="E445" s="113"/>
      <c r="F445" s="111"/>
      <c r="G445" s="112"/>
      <c r="H445" s="110"/>
      <c r="I445" s="112"/>
      <c r="J445" s="112"/>
      <c r="K445" s="112"/>
      <c r="L445" s="114"/>
      <c r="M445" s="114"/>
      <c r="N445" s="112"/>
      <c r="O445" s="115"/>
      <c r="P445" s="115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</row>
    <row r="446" spans="1:28" ht="15.75" customHeight="1" x14ac:dyDescent="0.25">
      <c r="A446" s="110"/>
      <c r="B446" s="112"/>
      <c r="C446" s="113"/>
      <c r="D446" s="111"/>
      <c r="E446" s="113"/>
      <c r="F446" s="111"/>
      <c r="G446" s="112"/>
      <c r="H446" s="110"/>
      <c r="I446" s="112"/>
      <c r="J446" s="112"/>
      <c r="K446" s="112"/>
      <c r="L446" s="114"/>
      <c r="M446" s="114"/>
      <c r="N446" s="112"/>
      <c r="O446" s="115"/>
      <c r="P446" s="115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</row>
    <row r="447" spans="1:28" ht="15.75" customHeight="1" x14ac:dyDescent="0.25">
      <c r="A447" s="110"/>
      <c r="B447" s="112"/>
      <c r="C447" s="113"/>
      <c r="D447" s="111"/>
      <c r="E447" s="113"/>
      <c r="F447" s="111"/>
      <c r="G447" s="112"/>
      <c r="H447" s="110"/>
      <c r="I447" s="112"/>
      <c r="J447" s="112"/>
      <c r="K447" s="112"/>
      <c r="L447" s="114"/>
      <c r="M447" s="114"/>
      <c r="N447" s="112"/>
      <c r="O447" s="115"/>
      <c r="P447" s="115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</row>
    <row r="448" spans="1:28" ht="15.75" customHeight="1" x14ac:dyDescent="0.25">
      <c r="A448" s="110"/>
      <c r="B448" s="112"/>
      <c r="C448" s="113"/>
      <c r="D448" s="111"/>
      <c r="E448" s="113"/>
      <c r="F448" s="111"/>
      <c r="G448" s="112"/>
      <c r="H448" s="110"/>
      <c r="I448" s="112"/>
      <c r="J448" s="112"/>
      <c r="K448" s="112"/>
      <c r="L448" s="114"/>
      <c r="M448" s="114"/>
      <c r="N448" s="112"/>
      <c r="O448" s="115"/>
      <c r="P448" s="115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</row>
    <row r="449" spans="1:28" ht="15.75" customHeight="1" x14ac:dyDescent="0.25">
      <c r="A449" s="110"/>
      <c r="B449" s="112"/>
      <c r="C449" s="113"/>
      <c r="D449" s="111"/>
      <c r="E449" s="113"/>
      <c r="F449" s="111"/>
      <c r="G449" s="112"/>
      <c r="H449" s="110"/>
      <c r="I449" s="112"/>
      <c r="J449" s="112"/>
      <c r="K449" s="112"/>
      <c r="L449" s="114"/>
      <c r="M449" s="114"/>
      <c r="N449" s="112"/>
      <c r="O449" s="115"/>
      <c r="P449" s="115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</row>
    <row r="450" spans="1:28" ht="15.75" customHeight="1" x14ac:dyDescent="0.25">
      <c r="A450" s="110"/>
      <c r="B450" s="112"/>
      <c r="C450" s="113"/>
      <c r="D450" s="111"/>
      <c r="E450" s="113"/>
      <c r="F450" s="111"/>
      <c r="G450" s="112"/>
      <c r="H450" s="110"/>
      <c r="I450" s="112"/>
      <c r="J450" s="112"/>
      <c r="K450" s="112"/>
      <c r="L450" s="114"/>
      <c r="M450" s="114"/>
      <c r="N450" s="112"/>
      <c r="O450" s="115"/>
      <c r="P450" s="115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</row>
    <row r="451" spans="1:28" ht="15.75" customHeight="1" x14ac:dyDescent="0.25">
      <c r="A451" s="110"/>
      <c r="B451" s="112"/>
      <c r="C451" s="113"/>
      <c r="D451" s="111"/>
      <c r="E451" s="113"/>
      <c r="F451" s="111"/>
      <c r="G451" s="112"/>
      <c r="H451" s="110"/>
      <c r="I451" s="112"/>
      <c r="J451" s="112"/>
      <c r="K451" s="112"/>
      <c r="L451" s="114"/>
      <c r="M451" s="114"/>
      <c r="N451" s="112"/>
      <c r="O451" s="115"/>
      <c r="P451" s="115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</row>
    <row r="452" spans="1:28" ht="15.75" customHeight="1" x14ac:dyDescent="0.25">
      <c r="A452" s="110"/>
      <c r="B452" s="112"/>
      <c r="C452" s="113"/>
      <c r="D452" s="111"/>
      <c r="E452" s="113"/>
      <c r="F452" s="111"/>
      <c r="G452" s="112"/>
      <c r="H452" s="110"/>
      <c r="I452" s="112"/>
      <c r="J452" s="112"/>
      <c r="K452" s="112"/>
      <c r="L452" s="114"/>
      <c r="M452" s="114"/>
      <c r="N452" s="112"/>
      <c r="O452" s="115"/>
      <c r="P452" s="115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</row>
    <row r="453" spans="1:28" ht="15.75" customHeight="1" x14ac:dyDescent="0.25">
      <c r="A453" s="110"/>
      <c r="B453" s="112"/>
      <c r="C453" s="113"/>
      <c r="D453" s="111"/>
      <c r="E453" s="113"/>
      <c r="F453" s="111"/>
      <c r="G453" s="112"/>
      <c r="H453" s="110"/>
      <c r="I453" s="112"/>
      <c r="J453" s="112"/>
      <c r="K453" s="112"/>
      <c r="L453" s="114"/>
      <c r="M453" s="114"/>
      <c r="N453" s="112"/>
      <c r="O453" s="115"/>
      <c r="P453" s="115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</row>
    <row r="454" spans="1:28" ht="15.75" customHeight="1" x14ac:dyDescent="0.25">
      <c r="A454" s="110"/>
      <c r="B454" s="112"/>
      <c r="C454" s="113"/>
      <c r="D454" s="111"/>
      <c r="E454" s="113"/>
      <c r="F454" s="111"/>
      <c r="G454" s="112"/>
      <c r="H454" s="110"/>
      <c r="I454" s="112"/>
      <c r="J454" s="112"/>
      <c r="K454" s="112"/>
      <c r="L454" s="114"/>
      <c r="M454" s="114"/>
      <c r="N454" s="112"/>
      <c r="O454" s="115"/>
      <c r="P454" s="115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</row>
    <row r="455" spans="1:28" ht="15.75" customHeight="1" x14ac:dyDescent="0.25">
      <c r="A455" s="110"/>
      <c r="B455" s="112"/>
      <c r="C455" s="113"/>
      <c r="D455" s="111"/>
      <c r="E455" s="113"/>
      <c r="F455" s="111"/>
      <c r="G455" s="112"/>
      <c r="H455" s="110"/>
      <c r="I455" s="112"/>
      <c r="J455" s="112"/>
      <c r="K455" s="112"/>
      <c r="L455" s="114"/>
      <c r="M455" s="114"/>
      <c r="N455" s="112"/>
      <c r="O455" s="115"/>
      <c r="P455" s="115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</row>
    <row r="456" spans="1:28" ht="15.75" customHeight="1" x14ac:dyDescent="0.25">
      <c r="A456" s="110"/>
      <c r="B456" s="112"/>
      <c r="C456" s="113"/>
      <c r="D456" s="111"/>
      <c r="E456" s="113"/>
      <c r="F456" s="111"/>
      <c r="G456" s="112"/>
      <c r="H456" s="110"/>
      <c r="I456" s="112"/>
      <c r="J456" s="112"/>
      <c r="K456" s="112"/>
      <c r="L456" s="114"/>
      <c r="M456" s="114"/>
      <c r="N456" s="112"/>
      <c r="O456" s="115"/>
      <c r="P456" s="115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</row>
    <row r="457" spans="1:28" ht="15.75" customHeight="1" x14ac:dyDescent="0.25">
      <c r="A457" s="110"/>
      <c r="B457" s="112"/>
      <c r="C457" s="113"/>
      <c r="D457" s="111"/>
      <c r="E457" s="113"/>
      <c r="F457" s="111"/>
      <c r="G457" s="112"/>
      <c r="H457" s="110"/>
      <c r="I457" s="112"/>
      <c r="J457" s="112"/>
      <c r="K457" s="112"/>
      <c r="L457" s="114"/>
      <c r="M457" s="114"/>
      <c r="N457" s="112"/>
      <c r="O457" s="115"/>
      <c r="P457" s="115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</row>
    <row r="458" spans="1:28" ht="15.75" customHeight="1" x14ac:dyDescent="0.25">
      <c r="A458" s="110"/>
      <c r="B458" s="112"/>
      <c r="C458" s="113"/>
      <c r="D458" s="111"/>
      <c r="E458" s="113"/>
      <c r="F458" s="111"/>
      <c r="G458" s="112"/>
      <c r="H458" s="110"/>
      <c r="I458" s="112"/>
      <c r="J458" s="112"/>
      <c r="K458" s="112"/>
      <c r="L458" s="114"/>
      <c r="M458" s="114"/>
      <c r="N458" s="112"/>
      <c r="O458" s="115"/>
      <c r="P458" s="115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</row>
    <row r="459" spans="1:28" ht="15.75" customHeight="1" x14ac:dyDescent="0.25">
      <c r="A459" s="110"/>
      <c r="B459" s="112"/>
      <c r="C459" s="113"/>
      <c r="D459" s="111"/>
      <c r="E459" s="113"/>
      <c r="F459" s="111"/>
      <c r="G459" s="112"/>
      <c r="H459" s="110"/>
      <c r="I459" s="112"/>
      <c r="J459" s="112"/>
      <c r="K459" s="112"/>
      <c r="L459" s="114"/>
      <c r="M459" s="114"/>
      <c r="N459" s="112"/>
      <c r="O459" s="115"/>
      <c r="P459" s="115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</row>
    <row r="460" spans="1:28" ht="15.75" customHeight="1" x14ac:dyDescent="0.25">
      <c r="A460" s="110"/>
      <c r="B460" s="112"/>
      <c r="C460" s="113"/>
      <c r="D460" s="111"/>
      <c r="E460" s="113"/>
      <c r="F460" s="111"/>
      <c r="G460" s="112"/>
      <c r="H460" s="110"/>
      <c r="I460" s="112"/>
      <c r="J460" s="112"/>
      <c r="K460" s="112"/>
      <c r="L460" s="114"/>
      <c r="M460" s="114"/>
      <c r="N460" s="112"/>
      <c r="O460" s="115"/>
      <c r="P460" s="115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</row>
    <row r="461" spans="1:28" ht="15.75" customHeight="1" x14ac:dyDescent="0.25">
      <c r="A461" s="110"/>
      <c r="B461" s="112"/>
      <c r="C461" s="113"/>
      <c r="D461" s="111"/>
      <c r="E461" s="113"/>
      <c r="F461" s="111"/>
      <c r="G461" s="112"/>
      <c r="H461" s="110"/>
      <c r="I461" s="112"/>
      <c r="J461" s="112"/>
      <c r="K461" s="112"/>
      <c r="L461" s="114"/>
      <c r="M461" s="114"/>
      <c r="N461" s="112"/>
      <c r="O461" s="115"/>
      <c r="P461" s="115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</row>
    <row r="462" spans="1:28" ht="15.75" customHeight="1" x14ac:dyDescent="0.25">
      <c r="A462" s="110"/>
      <c r="B462" s="112"/>
      <c r="C462" s="113"/>
      <c r="D462" s="111"/>
      <c r="E462" s="113"/>
      <c r="F462" s="111"/>
      <c r="G462" s="112"/>
      <c r="H462" s="110"/>
      <c r="I462" s="112"/>
      <c r="J462" s="112"/>
      <c r="K462" s="112"/>
      <c r="L462" s="114"/>
      <c r="M462" s="114"/>
      <c r="N462" s="112"/>
      <c r="O462" s="115"/>
      <c r="P462" s="115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</row>
    <row r="463" spans="1:28" ht="15.75" customHeight="1" x14ac:dyDescent="0.25">
      <c r="A463" s="110"/>
      <c r="B463" s="112"/>
      <c r="C463" s="113"/>
      <c r="D463" s="111"/>
      <c r="E463" s="113"/>
      <c r="F463" s="111"/>
      <c r="G463" s="112"/>
      <c r="H463" s="110"/>
      <c r="I463" s="112"/>
      <c r="J463" s="112"/>
      <c r="K463" s="112"/>
      <c r="L463" s="114"/>
      <c r="M463" s="114"/>
      <c r="N463" s="112"/>
      <c r="O463" s="115"/>
      <c r="P463" s="115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</row>
    <row r="464" spans="1:28" ht="15.75" customHeight="1" x14ac:dyDescent="0.25">
      <c r="A464" s="110"/>
      <c r="B464" s="112"/>
      <c r="C464" s="113"/>
      <c r="D464" s="111"/>
      <c r="E464" s="113"/>
      <c r="F464" s="111"/>
      <c r="G464" s="112"/>
      <c r="H464" s="110"/>
      <c r="I464" s="112"/>
      <c r="J464" s="112"/>
      <c r="K464" s="112"/>
      <c r="L464" s="114"/>
      <c r="M464" s="114"/>
      <c r="N464" s="112"/>
      <c r="O464" s="115"/>
      <c r="P464" s="115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</row>
    <row r="465" spans="1:28" ht="15.75" customHeight="1" x14ac:dyDescent="0.25">
      <c r="A465" s="110"/>
      <c r="B465" s="112"/>
      <c r="C465" s="113"/>
      <c r="D465" s="111"/>
      <c r="E465" s="113"/>
      <c r="F465" s="111"/>
      <c r="G465" s="112"/>
      <c r="H465" s="110"/>
      <c r="I465" s="112"/>
      <c r="J465" s="112"/>
      <c r="K465" s="112"/>
      <c r="L465" s="114"/>
      <c r="M465" s="114"/>
      <c r="N465" s="112"/>
      <c r="O465" s="115"/>
      <c r="P465" s="115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</row>
    <row r="466" spans="1:28" ht="15.75" customHeight="1" x14ac:dyDescent="0.25">
      <c r="A466" s="110"/>
      <c r="B466" s="112"/>
      <c r="C466" s="113"/>
      <c r="D466" s="111"/>
      <c r="E466" s="113"/>
      <c r="F466" s="111"/>
      <c r="G466" s="112"/>
      <c r="H466" s="110"/>
      <c r="I466" s="112"/>
      <c r="J466" s="112"/>
      <c r="K466" s="112"/>
      <c r="L466" s="114"/>
      <c r="M466" s="114"/>
      <c r="N466" s="112"/>
      <c r="O466" s="115"/>
      <c r="P466" s="115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</row>
    <row r="467" spans="1:28" ht="15.75" customHeight="1" x14ac:dyDescent="0.25">
      <c r="A467" s="110"/>
      <c r="B467" s="112"/>
      <c r="C467" s="113"/>
      <c r="D467" s="111"/>
      <c r="E467" s="113"/>
      <c r="F467" s="111"/>
      <c r="G467" s="112"/>
      <c r="H467" s="110"/>
      <c r="I467" s="112"/>
      <c r="J467" s="112"/>
      <c r="K467" s="112"/>
      <c r="L467" s="114"/>
      <c r="M467" s="114"/>
      <c r="N467" s="112"/>
      <c r="O467" s="115"/>
      <c r="P467" s="115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</row>
    <row r="468" spans="1:28" ht="15.75" customHeight="1" x14ac:dyDescent="0.25">
      <c r="A468" s="110"/>
      <c r="B468" s="112"/>
      <c r="C468" s="113"/>
      <c r="D468" s="111"/>
      <c r="E468" s="113"/>
      <c r="F468" s="111"/>
      <c r="G468" s="112"/>
      <c r="H468" s="110"/>
      <c r="I468" s="112"/>
      <c r="J468" s="112"/>
      <c r="K468" s="112"/>
      <c r="L468" s="114"/>
      <c r="M468" s="114"/>
      <c r="N468" s="112"/>
      <c r="O468" s="115"/>
      <c r="P468" s="115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</row>
    <row r="469" spans="1:28" ht="15.75" customHeight="1" x14ac:dyDescent="0.25">
      <c r="A469" s="110"/>
      <c r="B469" s="112"/>
      <c r="C469" s="113"/>
      <c r="D469" s="111"/>
      <c r="E469" s="113"/>
      <c r="F469" s="111"/>
      <c r="G469" s="112"/>
      <c r="H469" s="110"/>
      <c r="I469" s="112"/>
      <c r="J469" s="112"/>
      <c r="K469" s="112"/>
      <c r="L469" s="114"/>
      <c r="M469" s="114"/>
      <c r="N469" s="112"/>
      <c r="O469" s="115"/>
      <c r="P469" s="115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</row>
    <row r="470" spans="1:28" ht="15.75" customHeight="1" x14ac:dyDescent="0.25">
      <c r="A470" s="110"/>
      <c r="B470" s="112"/>
      <c r="C470" s="113"/>
      <c r="D470" s="111"/>
      <c r="E470" s="113"/>
      <c r="F470" s="111"/>
      <c r="G470" s="112"/>
      <c r="H470" s="110"/>
      <c r="I470" s="112"/>
      <c r="J470" s="112"/>
      <c r="K470" s="112"/>
      <c r="L470" s="114"/>
      <c r="M470" s="114"/>
      <c r="N470" s="112"/>
      <c r="O470" s="115"/>
      <c r="P470" s="115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</row>
    <row r="471" spans="1:28" ht="15.75" customHeight="1" x14ac:dyDescent="0.25">
      <c r="A471" s="110"/>
      <c r="B471" s="112"/>
      <c r="C471" s="113"/>
      <c r="D471" s="111"/>
      <c r="E471" s="113"/>
      <c r="F471" s="111"/>
      <c r="G471" s="112"/>
      <c r="H471" s="110"/>
      <c r="I471" s="112"/>
      <c r="J471" s="112"/>
      <c r="K471" s="112"/>
      <c r="L471" s="114"/>
      <c r="M471" s="114"/>
      <c r="N471" s="112"/>
      <c r="O471" s="115"/>
      <c r="P471" s="115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</row>
    <row r="472" spans="1:28" ht="15.75" customHeight="1" x14ac:dyDescent="0.25">
      <c r="A472" s="110"/>
      <c r="B472" s="112"/>
      <c r="C472" s="113"/>
      <c r="D472" s="111"/>
      <c r="E472" s="113"/>
      <c r="F472" s="111"/>
      <c r="G472" s="112"/>
      <c r="H472" s="110"/>
      <c r="I472" s="112"/>
      <c r="J472" s="112"/>
      <c r="K472" s="112"/>
      <c r="L472" s="114"/>
      <c r="M472" s="114"/>
      <c r="N472" s="112"/>
      <c r="O472" s="115"/>
      <c r="P472" s="115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</row>
    <row r="473" spans="1:28" ht="15.75" customHeight="1" x14ac:dyDescent="0.25">
      <c r="A473" s="110"/>
      <c r="B473" s="112"/>
      <c r="C473" s="113"/>
      <c r="D473" s="111"/>
      <c r="E473" s="113"/>
      <c r="F473" s="111"/>
      <c r="G473" s="112"/>
      <c r="H473" s="110"/>
      <c r="I473" s="112"/>
      <c r="J473" s="112"/>
      <c r="K473" s="112"/>
      <c r="L473" s="114"/>
      <c r="M473" s="114"/>
      <c r="N473" s="112"/>
      <c r="O473" s="115"/>
      <c r="P473" s="115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</row>
    <row r="474" spans="1:28" ht="15.75" customHeight="1" x14ac:dyDescent="0.25">
      <c r="A474" s="110"/>
      <c r="B474" s="112"/>
      <c r="C474" s="113"/>
      <c r="D474" s="111"/>
      <c r="E474" s="113"/>
      <c r="F474" s="111"/>
      <c r="G474" s="112"/>
      <c r="H474" s="110"/>
      <c r="I474" s="112"/>
      <c r="J474" s="112"/>
      <c r="K474" s="112"/>
      <c r="L474" s="114"/>
      <c r="M474" s="114"/>
      <c r="N474" s="112"/>
      <c r="O474" s="115"/>
      <c r="P474" s="115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</row>
    <row r="475" spans="1:28" ht="15.75" customHeight="1" x14ac:dyDescent="0.25">
      <c r="A475" s="110"/>
      <c r="B475" s="112"/>
      <c r="C475" s="113"/>
      <c r="D475" s="111"/>
      <c r="E475" s="113"/>
      <c r="F475" s="111"/>
      <c r="G475" s="112"/>
      <c r="H475" s="110"/>
      <c r="I475" s="112"/>
      <c r="J475" s="112"/>
      <c r="K475" s="112"/>
      <c r="L475" s="114"/>
      <c r="M475" s="114"/>
      <c r="N475" s="112"/>
      <c r="O475" s="115"/>
      <c r="P475" s="115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</row>
    <row r="476" spans="1:28" ht="15.75" customHeight="1" x14ac:dyDescent="0.25">
      <c r="A476" s="110"/>
      <c r="B476" s="112"/>
      <c r="C476" s="113"/>
      <c r="D476" s="111"/>
      <c r="E476" s="113"/>
      <c r="F476" s="111"/>
      <c r="G476" s="112"/>
      <c r="H476" s="110"/>
      <c r="I476" s="112"/>
      <c r="J476" s="112"/>
      <c r="K476" s="112"/>
      <c r="L476" s="114"/>
      <c r="M476" s="114"/>
      <c r="N476" s="112"/>
      <c r="O476" s="115"/>
      <c r="P476" s="115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</row>
    <row r="477" spans="1:28" ht="15.75" customHeight="1" x14ac:dyDescent="0.25">
      <c r="A477" s="110"/>
      <c r="B477" s="112"/>
      <c r="C477" s="113"/>
      <c r="D477" s="111"/>
      <c r="E477" s="113"/>
      <c r="F477" s="111"/>
      <c r="G477" s="112"/>
      <c r="H477" s="110"/>
      <c r="I477" s="112"/>
      <c r="J477" s="112"/>
      <c r="K477" s="112"/>
      <c r="L477" s="114"/>
      <c r="M477" s="114"/>
      <c r="N477" s="112"/>
      <c r="O477" s="115"/>
      <c r="P477" s="115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</row>
    <row r="478" spans="1:28" ht="15.75" customHeight="1" x14ac:dyDescent="0.25">
      <c r="A478" s="110"/>
      <c r="B478" s="112"/>
      <c r="C478" s="113"/>
      <c r="D478" s="111"/>
      <c r="E478" s="113"/>
      <c r="F478" s="111"/>
      <c r="G478" s="112"/>
      <c r="H478" s="110"/>
      <c r="I478" s="112"/>
      <c r="J478" s="112"/>
      <c r="K478" s="112"/>
      <c r="L478" s="114"/>
      <c r="M478" s="114"/>
      <c r="N478" s="112"/>
      <c r="O478" s="115"/>
      <c r="P478" s="115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</row>
    <row r="479" spans="1:28" ht="15.75" customHeight="1" x14ac:dyDescent="0.25">
      <c r="A479" s="110"/>
      <c r="B479" s="112"/>
      <c r="C479" s="113"/>
      <c r="D479" s="111"/>
      <c r="E479" s="113"/>
      <c r="F479" s="111"/>
      <c r="G479" s="112"/>
      <c r="H479" s="110"/>
      <c r="I479" s="112"/>
      <c r="J479" s="112"/>
      <c r="K479" s="112"/>
      <c r="L479" s="114"/>
      <c r="M479" s="114"/>
      <c r="N479" s="112"/>
      <c r="O479" s="115"/>
      <c r="P479" s="115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</row>
    <row r="480" spans="1:28" ht="15.75" customHeight="1" x14ac:dyDescent="0.25">
      <c r="A480" s="110"/>
      <c r="B480" s="112"/>
      <c r="C480" s="113"/>
      <c r="D480" s="111"/>
      <c r="E480" s="113"/>
      <c r="F480" s="111"/>
      <c r="G480" s="112"/>
      <c r="H480" s="110"/>
      <c r="I480" s="112"/>
      <c r="J480" s="112"/>
      <c r="K480" s="112"/>
      <c r="L480" s="114"/>
      <c r="M480" s="114"/>
      <c r="N480" s="112"/>
      <c r="O480" s="115"/>
      <c r="P480" s="115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</row>
    <row r="481" spans="1:28" ht="15.75" customHeight="1" x14ac:dyDescent="0.25">
      <c r="A481" s="110"/>
      <c r="B481" s="112"/>
      <c r="C481" s="113"/>
      <c r="D481" s="111"/>
      <c r="E481" s="113"/>
      <c r="F481" s="111"/>
      <c r="G481" s="112"/>
      <c r="H481" s="110"/>
      <c r="I481" s="112"/>
      <c r="J481" s="112"/>
      <c r="K481" s="112"/>
      <c r="L481" s="114"/>
      <c r="M481" s="114"/>
      <c r="N481" s="112"/>
      <c r="O481" s="115"/>
      <c r="P481" s="115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</row>
    <row r="482" spans="1:28" ht="15.75" customHeight="1" x14ac:dyDescent="0.25">
      <c r="A482" s="110"/>
      <c r="B482" s="112"/>
      <c r="C482" s="113"/>
      <c r="D482" s="111"/>
      <c r="E482" s="113"/>
      <c r="F482" s="111"/>
      <c r="G482" s="112"/>
      <c r="H482" s="110"/>
      <c r="I482" s="112"/>
      <c r="J482" s="112"/>
      <c r="K482" s="112"/>
      <c r="L482" s="114"/>
      <c r="M482" s="114"/>
      <c r="N482" s="112"/>
      <c r="O482" s="115"/>
      <c r="P482" s="115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</row>
    <row r="483" spans="1:28" ht="15.75" customHeight="1" x14ac:dyDescent="0.25">
      <c r="A483" s="110"/>
      <c r="B483" s="112"/>
      <c r="C483" s="113"/>
      <c r="D483" s="111"/>
      <c r="E483" s="113"/>
      <c r="F483" s="111"/>
      <c r="G483" s="112"/>
      <c r="H483" s="110"/>
      <c r="I483" s="112"/>
      <c r="J483" s="112"/>
      <c r="K483" s="112"/>
      <c r="L483" s="114"/>
      <c r="M483" s="114"/>
      <c r="N483" s="112"/>
      <c r="O483" s="115"/>
      <c r="P483" s="115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</row>
    <row r="484" spans="1:28" ht="15.75" customHeight="1" x14ac:dyDescent="0.25">
      <c r="A484" s="110"/>
      <c r="B484" s="112"/>
      <c r="C484" s="113"/>
      <c r="D484" s="111"/>
      <c r="E484" s="113"/>
      <c r="F484" s="111"/>
      <c r="G484" s="112"/>
      <c r="H484" s="110"/>
      <c r="I484" s="112"/>
      <c r="J484" s="112"/>
      <c r="K484" s="112"/>
      <c r="L484" s="114"/>
      <c r="M484" s="114"/>
      <c r="N484" s="112"/>
      <c r="O484" s="115"/>
      <c r="P484" s="115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</row>
    <row r="485" spans="1:28" ht="15.75" customHeight="1" x14ac:dyDescent="0.25">
      <c r="A485" s="110"/>
      <c r="B485" s="112"/>
      <c r="C485" s="113"/>
      <c r="D485" s="111"/>
      <c r="E485" s="113"/>
      <c r="F485" s="111"/>
      <c r="G485" s="112"/>
      <c r="H485" s="110"/>
      <c r="I485" s="112"/>
      <c r="J485" s="112"/>
      <c r="K485" s="112"/>
      <c r="L485" s="114"/>
      <c r="M485" s="114"/>
      <c r="N485" s="112"/>
      <c r="O485" s="115"/>
      <c r="P485" s="115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</row>
    <row r="486" spans="1:28" ht="15.75" customHeight="1" x14ac:dyDescent="0.25">
      <c r="A486" s="110"/>
      <c r="B486" s="112"/>
      <c r="C486" s="113"/>
      <c r="D486" s="111"/>
      <c r="E486" s="113"/>
      <c r="F486" s="111"/>
      <c r="G486" s="112"/>
      <c r="H486" s="110"/>
      <c r="I486" s="112"/>
      <c r="J486" s="112"/>
      <c r="K486" s="112"/>
      <c r="L486" s="114"/>
      <c r="M486" s="114"/>
      <c r="N486" s="112"/>
      <c r="O486" s="115"/>
      <c r="P486" s="115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</row>
    <row r="487" spans="1:28" ht="15.75" customHeight="1" x14ac:dyDescent="0.25">
      <c r="A487" s="110"/>
      <c r="B487" s="112"/>
      <c r="C487" s="113"/>
      <c r="D487" s="111"/>
      <c r="E487" s="113"/>
      <c r="F487" s="111"/>
      <c r="G487" s="112"/>
      <c r="H487" s="110"/>
      <c r="I487" s="112"/>
      <c r="J487" s="112"/>
      <c r="K487" s="112"/>
      <c r="L487" s="114"/>
      <c r="M487" s="114"/>
      <c r="N487" s="112"/>
      <c r="O487" s="115"/>
      <c r="P487" s="115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</row>
    <row r="488" spans="1:28" ht="15.75" customHeight="1" x14ac:dyDescent="0.25">
      <c r="A488" s="110"/>
      <c r="B488" s="112"/>
      <c r="C488" s="113"/>
      <c r="D488" s="111"/>
      <c r="E488" s="113"/>
      <c r="F488" s="111"/>
      <c r="G488" s="112"/>
      <c r="H488" s="110"/>
      <c r="I488" s="112"/>
      <c r="J488" s="112"/>
      <c r="K488" s="112"/>
      <c r="L488" s="114"/>
      <c r="M488" s="114"/>
      <c r="N488" s="112"/>
      <c r="O488" s="115"/>
      <c r="P488" s="115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</row>
    <row r="489" spans="1:28" ht="15.75" customHeight="1" x14ac:dyDescent="0.25">
      <c r="A489" s="110"/>
      <c r="B489" s="112"/>
      <c r="C489" s="113"/>
      <c r="D489" s="111"/>
      <c r="E489" s="113"/>
      <c r="F489" s="111"/>
      <c r="G489" s="112"/>
      <c r="H489" s="110"/>
      <c r="I489" s="112"/>
      <c r="J489" s="112"/>
      <c r="K489" s="112"/>
      <c r="L489" s="114"/>
      <c r="M489" s="114"/>
      <c r="N489" s="112"/>
      <c r="O489" s="115"/>
      <c r="P489" s="115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</row>
    <row r="490" spans="1:28" ht="15.75" customHeight="1" x14ac:dyDescent="0.25">
      <c r="A490" s="110"/>
      <c r="B490" s="112"/>
      <c r="C490" s="113"/>
      <c r="D490" s="111"/>
      <c r="E490" s="113"/>
      <c r="F490" s="111"/>
      <c r="G490" s="112"/>
      <c r="H490" s="110"/>
      <c r="I490" s="112"/>
      <c r="J490" s="112"/>
      <c r="K490" s="112"/>
      <c r="L490" s="114"/>
      <c r="M490" s="114"/>
      <c r="N490" s="112"/>
      <c r="O490" s="115"/>
      <c r="P490" s="115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</row>
    <row r="491" spans="1:28" ht="15.75" customHeight="1" x14ac:dyDescent="0.25">
      <c r="A491" s="110"/>
      <c r="B491" s="112"/>
      <c r="C491" s="113"/>
      <c r="D491" s="111"/>
      <c r="E491" s="113"/>
      <c r="F491" s="111"/>
      <c r="G491" s="112"/>
      <c r="H491" s="110"/>
      <c r="I491" s="112"/>
      <c r="J491" s="112"/>
      <c r="K491" s="112"/>
      <c r="L491" s="114"/>
      <c r="M491" s="114"/>
      <c r="N491" s="112"/>
      <c r="O491" s="115"/>
      <c r="P491" s="115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</row>
    <row r="492" spans="1:28" ht="15.75" customHeight="1" x14ac:dyDescent="0.25">
      <c r="A492" s="110"/>
      <c r="B492" s="112"/>
      <c r="C492" s="113"/>
      <c r="D492" s="111"/>
      <c r="E492" s="113"/>
      <c r="F492" s="111"/>
      <c r="G492" s="112"/>
      <c r="H492" s="110"/>
      <c r="I492" s="112"/>
      <c r="J492" s="112"/>
      <c r="K492" s="112"/>
      <c r="L492" s="114"/>
      <c r="M492" s="114"/>
      <c r="N492" s="112"/>
      <c r="O492" s="115"/>
      <c r="P492" s="115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</row>
    <row r="493" spans="1:28" ht="15.75" customHeight="1" x14ac:dyDescent="0.25">
      <c r="A493" s="110"/>
      <c r="B493" s="112"/>
      <c r="C493" s="113"/>
      <c r="D493" s="111"/>
      <c r="E493" s="113"/>
      <c r="F493" s="111"/>
      <c r="G493" s="112"/>
      <c r="H493" s="110"/>
      <c r="I493" s="112"/>
      <c r="J493" s="112"/>
      <c r="K493" s="112"/>
      <c r="L493" s="114"/>
      <c r="M493" s="114"/>
      <c r="N493" s="112"/>
      <c r="O493" s="115"/>
      <c r="P493" s="115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</row>
    <row r="494" spans="1:28" ht="15.75" customHeight="1" x14ac:dyDescent="0.25">
      <c r="A494" s="110"/>
      <c r="B494" s="112"/>
      <c r="C494" s="113"/>
      <c r="D494" s="111"/>
      <c r="E494" s="113"/>
      <c r="F494" s="111"/>
      <c r="G494" s="112"/>
      <c r="H494" s="110"/>
      <c r="I494" s="112"/>
      <c r="J494" s="112"/>
      <c r="K494" s="112"/>
      <c r="L494" s="114"/>
      <c r="M494" s="114"/>
      <c r="N494" s="112"/>
      <c r="O494" s="115"/>
      <c r="P494" s="115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</row>
    <row r="495" spans="1:28" ht="15.75" customHeight="1" x14ac:dyDescent="0.25">
      <c r="A495" s="110"/>
      <c r="B495" s="112"/>
      <c r="C495" s="113"/>
      <c r="D495" s="111"/>
      <c r="E495" s="113"/>
      <c r="F495" s="111"/>
      <c r="G495" s="112"/>
      <c r="H495" s="110"/>
      <c r="I495" s="112"/>
      <c r="J495" s="112"/>
      <c r="K495" s="112"/>
      <c r="L495" s="114"/>
      <c r="M495" s="114"/>
      <c r="N495" s="112"/>
      <c r="O495" s="115"/>
      <c r="P495" s="115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</row>
    <row r="496" spans="1:28" ht="15.75" customHeight="1" x14ac:dyDescent="0.25">
      <c r="A496" s="110"/>
      <c r="B496" s="112"/>
      <c r="C496" s="113"/>
      <c r="D496" s="111"/>
      <c r="E496" s="113"/>
      <c r="F496" s="111"/>
      <c r="G496" s="112"/>
      <c r="H496" s="110"/>
      <c r="I496" s="112"/>
      <c r="J496" s="112"/>
      <c r="K496" s="112"/>
      <c r="L496" s="114"/>
      <c r="M496" s="114"/>
      <c r="N496" s="112"/>
      <c r="O496" s="115"/>
      <c r="P496" s="115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</row>
    <row r="497" spans="1:28" ht="15.75" customHeight="1" x14ac:dyDescent="0.25">
      <c r="A497" s="110"/>
      <c r="B497" s="112"/>
      <c r="C497" s="113"/>
      <c r="D497" s="111"/>
      <c r="E497" s="113"/>
      <c r="F497" s="111"/>
      <c r="G497" s="112"/>
      <c r="H497" s="110"/>
      <c r="I497" s="112"/>
      <c r="J497" s="112"/>
      <c r="K497" s="112"/>
      <c r="L497" s="114"/>
      <c r="M497" s="114"/>
      <c r="N497" s="112"/>
      <c r="O497" s="115"/>
      <c r="P497" s="115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</row>
    <row r="498" spans="1:28" ht="15.75" customHeight="1" x14ac:dyDescent="0.25">
      <c r="A498" s="110"/>
      <c r="B498" s="112"/>
      <c r="C498" s="113"/>
      <c r="D498" s="111"/>
      <c r="E498" s="113"/>
      <c r="F498" s="111"/>
      <c r="G498" s="112"/>
      <c r="H498" s="110"/>
      <c r="I498" s="112"/>
      <c r="J498" s="112"/>
      <c r="K498" s="112"/>
      <c r="L498" s="114"/>
      <c r="M498" s="114"/>
      <c r="N498" s="112"/>
      <c r="O498" s="115"/>
      <c r="P498" s="115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</row>
    <row r="499" spans="1:28" ht="15.75" customHeight="1" x14ac:dyDescent="0.25">
      <c r="A499" s="110"/>
      <c r="B499" s="112"/>
      <c r="C499" s="113"/>
      <c r="D499" s="111"/>
      <c r="E499" s="113"/>
      <c r="F499" s="111"/>
      <c r="G499" s="112"/>
      <c r="H499" s="110"/>
      <c r="I499" s="112"/>
      <c r="J499" s="112"/>
      <c r="K499" s="112"/>
      <c r="L499" s="114"/>
      <c r="M499" s="114"/>
      <c r="N499" s="112"/>
      <c r="O499" s="115"/>
      <c r="P499" s="115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</row>
    <row r="500" spans="1:28" ht="15.75" customHeight="1" x14ac:dyDescent="0.25">
      <c r="A500" s="110"/>
      <c r="B500" s="112"/>
      <c r="C500" s="113"/>
      <c r="D500" s="111"/>
      <c r="E500" s="113"/>
      <c r="F500" s="111"/>
      <c r="G500" s="112"/>
      <c r="H500" s="110"/>
      <c r="I500" s="112"/>
      <c r="J500" s="112"/>
      <c r="K500" s="112"/>
      <c r="L500" s="114"/>
      <c r="M500" s="114"/>
      <c r="N500" s="112"/>
      <c r="O500" s="115"/>
      <c r="P500" s="115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</row>
    <row r="501" spans="1:28" ht="15.75" customHeight="1" x14ac:dyDescent="0.25">
      <c r="A501" s="110"/>
      <c r="B501" s="112"/>
      <c r="C501" s="113"/>
      <c r="D501" s="111"/>
      <c r="E501" s="113"/>
      <c r="F501" s="111"/>
      <c r="G501" s="112"/>
      <c r="H501" s="110"/>
      <c r="I501" s="112"/>
      <c r="J501" s="112"/>
      <c r="K501" s="112"/>
      <c r="L501" s="114"/>
      <c r="M501" s="114"/>
      <c r="N501" s="112"/>
      <c r="O501" s="115"/>
      <c r="P501" s="115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</row>
    <row r="502" spans="1:28" ht="15.75" customHeight="1" x14ac:dyDescent="0.25">
      <c r="A502" s="110"/>
      <c r="B502" s="112"/>
      <c r="C502" s="113"/>
      <c r="D502" s="111"/>
      <c r="E502" s="113"/>
      <c r="F502" s="111"/>
      <c r="G502" s="112"/>
      <c r="H502" s="110"/>
      <c r="I502" s="112"/>
      <c r="J502" s="112"/>
      <c r="K502" s="112"/>
      <c r="L502" s="114"/>
      <c r="M502" s="114"/>
      <c r="N502" s="112"/>
      <c r="O502" s="115"/>
      <c r="P502" s="115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</row>
    <row r="503" spans="1:28" ht="15.75" customHeight="1" x14ac:dyDescent="0.25">
      <c r="A503" s="110"/>
      <c r="B503" s="112"/>
      <c r="C503" s="113"/>
      <c r="D503" s="111"/>
      <c r="E503" s="113"/>
      <c r="F503" s="111"/>
      <c r="G503" s="112"/>
      <c r="H503" s="110"/>
      <c r="I503" s="112"/>
      <c r="J503" s="112"/>
      <c r="K503" s="112"/>
      <c r="L503" s="114"/>
      <c r="M503" s="114"/>
      <c r="N503" s="112"/>
      <c r="O503" s="115"/>
      <c r="P503" s="115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</row>
    <row r="504" spans="1:28" ht="15.75" customHeight="1" x14ac:dyDescent="0.25">
      <c r="A504" s="110"/>
      <c r="B504" s="112"/>
      <c r="C504" s="113"/>
      <c r="D504" s="111"/>
      <c r="E504" s="113"/>
      <c r="F504" s="111"/>
      <c r="G504" s="112"/>
      <c r="H504" s="110"/>
      <c r="I504" s="112"/>
      <c r="J504" s="112"/>
      <c r="K504" s="112"/>
      <c r="L504" s="114"/>
      <c r="M504" s="114"/>
      <c r="N504" s="112"/>
      <c r="O504" s="115"/>
      <c r="P504" s="115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</row>
    <row r="505" spans="1:28" ht="15.75" customHeight="1" x14ac:dyDescent="0.25">
      <c r="A505" s="110"/>
      <c r="B505" s="112"/>
      <c r="C505" s="113"/>
      <c r="D505" s="111"/>
      <c r="E505" s="113"/>
      <c r="F505" s="111"/>
      <c r="G505" s="112"/>
      <c r="H505" s="110"/>
      <c r="I505" s="112"/>
      <c r="J505" s="112"/>
      <c r="K505" s="112"/>
      <c r="L505" s="114"/>
      <c r="M505" s="114"/>
      <c r="N505" s="112"/>
      <c r="O505" s="115"/>
      <c r="P505" s="115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</row>
    <row r="506" spans="1:28" ht="15.75" customHeight="1" x14ac:dyDescent="0.25">
      <c r="A506" s="110"/>
      <c r="B506" s="112"/>
      <c r="C506" s="113"/>
      <c r="D506" s="111"/>
      <c r="E506" s="113"/>
      <c r="F506" s="111"/>
      <c r="G506" s="112"/>
      <c r="H506" s="110"/>
      <c r="I506" s="112"/>
      <c r="J506" s="112"/>
      <c r="K506" s="112"/>
      <c r="L506" s="114"/>
      <c r="M506" s="114"/>
      <c r="N506" s="112"/>
      <c r="O506" s="115"/>
      <c r="P506" s="115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</row>
    <row r="507" spans="1:28" ht="15.75" customHeight="1" x14ac:dyDescent="0.25">
      <c r="A507" s="110"/>
      <c r="B507" s="112"/>
      <c r="C507" s="113"/>
      <c r="D507" s="111"/>
      <c r="E507" s="113"/>
      <c r="F507" s="111"/>
      <c r="G507" s="112"/>
      <c r="H507" s="110"/>
      <c r="I507" s="112"/>
      <c r="J507" s="112"/>
      <c r="K507" s="112"/>
      <c r="L507" s="114"/>
      <c r="M507" s="114"/>
      <c r="N507" s="112"/>
      <c r="O507" s="115"/>
      <c r="P507" s="115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</row>
    <row r="508" spans="1:28" ht="15.75" customHeight="1" x14ac:dyDescent="0.25">
      <c r="A508" s="110"/>
      <c r="B508" s="112"/>
      <c r="C508" s="113"/>
      <c r="D508" s="111"/>
      <c r="E508" s="113"/>
      <c r="F508" s="111"/>
      <c r="G508" s="112"/>
      <c r="H508" s="110"/>
      <c r="I508" s="112"/>
      <c r="J508" s="112"/>
      <c r="K508" s="112"/>
      <c r="L508" s="114"/>
      <c r="M508" s="114"/>
      <c r="N508" s="112"/>
      <c r="O508" s="115"/>
      <c r="P508" s="115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</row>
    <row r="509" spans="1:28" ht="15.75" customHeight="1" x14ac:dyDescent="0.25">
      <c r="A509" s="110"/>
      <c r="B509" s="112"/>
      <c r="C509" s="113"/>
      <c r="D509" s="111"/>
      <c r="E509" s="113"/>
      <c r="F509" s="111"/>
      <c r="G509" s="112"/>
      <c r="H509" s="110"/>
      <c r="I509" s="112"/>
      <c r="J509" s="112"/>
      <c r="K509" s="112"/>
      <c r="L509" s="114"/>
      <c r="M509" s="114"/>
      <c r="N509" s="112"/>
      <c r="O509" s="115"/>
      <c r="P509" s="115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</row>
    <row r="510" spans="1:28" ht="15.75" customHeight="1" x14ac:dyDescent="0.25">
      <c r="A510" s="110"/>
      <c r="B510" s="112"/>
      <c r="C510" s="113"/>
      <c r="D510" s="111"/>
      <c r="E510" s="113"/>
      <c r="F510" s="111"/>
      <c r="G510" s="112"/>
      <c r="H510" s="110"/>
      <c r="I510" s="112"/>
      <c r="J510" s="112"/>
      <c r="K510" s="112"/>
      <c r="L510" s="114"/>
      <c r="M510" s="114"/>
      <c r="N510" s="112"/>
      <c r="O510" s="115"/>
      <c r="P510" s="115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</row>
    <row r="511" spans="1:28" ht="15.75" customHeight="1" x14ac:dyDescent="0.25">
      <c r="A511" s="110"/>
      <c r="B511" s="112"/>
      <c r="C511" s="113"/>
      <c r="D511" s="111"/>
      <c r="E511" s="113"/>
      <c r="F511" s="111"/>
      <c r="G511" s="112"/>
      <c r="H511" s="110"/>
      <c r="I511" s="112"/>
      <c r="J511" s="112"/>
      <c r="K511" s="112"/>
      <c r="L511" s="114"/>
      <c r="M511" s="114"/>
      <c r="N511" s="112"/>
      <c r="O511" s="115"/>
      <c r="P511" s="115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</row>
    <row r="512" spans="1:28" ht="15.75" customHeight="1" x14ac:dyDescent="0.25">
      <c r="A512" s="110"/>
      <c r="B512" s="112"/>
      <c r="C512" s="113"/>
      <c r="D512" s="111"/>
      <c r="E512" s="113"/>
      <c r="F512" s="111"/>
      <c r="G512" s="112"/>
      <c r="H512" s="110"/>
      <c r="I512" s="112"/>
      <c r="J512" s="112"/>
      <c r="K512" s="112"/>
      <c r="L512" s="114"/>
      <c r="M512" s="114"/>
      <c r="N512" s="112"/>
      <c r="O512" s="115"/>
      <c r="P512" s="115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</row>
    <row r="513" spans="1:28" ht="15.75" customHeight="1" x14ac:dyDescent="0.25">
      <c r="A513" s="110"/>
      <c r="B513" s="112"/>
      <c r="C513" s="113"/>
      <c r="D513" s="111"/>
      <c r="E513" s="113"/>
      <c r="F513" s="111"/>
      <c r="G513" s="112"/>
      <c r="H513" s="110"/>
      <c r="I513" s="112"/>
      <c r="J513" s="112"/>
      <c r="K513" s="112"/>
      <c r="L513" s="114"/>
      <c r="M513" s="114"/>
      <c r="N513" s="112"/>
      <c r="O513" s="115"/>
      <c r="P513" s="115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</row>
    <row r="514" spans="1:28" ht="15.75" customHeight="1" x14ac:dyDescent="0.25">
      <c r="A514" s="110"/>
      <c r="B514" s="112"/>
      <c r="C514" s="113"/>
      <c r="D514" s="111"/>
      <c r="E514" s="113"/>
      <c r="F514" s="111"/>
      <c r="G514" s="112"/>
      <c r="H514" s="110"/>
      <c r="I514" s="112"/>
      <c r="J514" s="112"/>
      <c r="K514" s="112"/>
      <c r="L514" s="114"/>
      <c r="M514" s="114"/>
      <c r="N514" s="112"/>
      <c r="O514" s="115"/>
      <c r="P514" s="115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</row>
    <row r="515" spans="1:28" ht="15.75" customHeight="1" x14ac:dyDescent="0.25">
      <c r="A515" s="110"/>
      <c r="B515" s="112"/>
      <c r="C515" s="113"/>
      <c r="D515" s="111"/>
      <c r="E515" s="113"/>
      <c r="F515" s="111"/>
      <c r="G515" s="112"/>
      <c r="H515" s="110"/>
      <c r="I515" s="112"/>
      <c r="J515" s="112"/>
      <c r="K515" s="112"/>
      <c r="L515" s="114"/>
      <c r="M515" s="114"/>
      <c r="N515" s="112"/>
      <c r="O515" s="115"/>
      <c r="P515" s="115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</row>
    <row r="516" spans="1:28" ht="15.75" customHeight="1" x14ac:dyDescent="0.25">
      <c r="A516" s="110"/>
      <c r="B516" s="112"/>
      <c r="C516" s="113"/>
      <c r="D516" s="111"/>
      <c r="E516" s="113"/>
      <c r="F516" s="111"/>
      <c r="G516" s="112"/>
      <c r="H516" s="110"/>
      <c r="I516" s="112"/>
      <c r="J516" s="112"/>
      <c r="K516" s="112"/>
      <c r="L516" s="114"/>
      <c r="M516" s="114"/>
      <c r="N516" s="112"/>
      <c r="O516" s="115"/>
      <c r="P516" s="115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</row>
    <row r="517" spans="1:28" ht="15.75" customHeight="1" x14ac:dyDescent="0.25">
      <c r="A517" s="110"/>
      <c r="B517" s="112"/>
      <c r="C517" s="113"/>
      <c r="D517" s="111"/>
      <c r="E517" s="113"/>
      <c r="F517" s="111"/>
      <c r="G517" s="112"/>
      <c r="H517" s="110"/>
      <c r="I517" s="112"/>
      <c r="J517" s="112"/>
      <c r="K517" s="112"/>
      <c r="L517" s="114"/>
      <c r="M517" s="114"/>
      <c r="N517" s="112"/>
      <c r="O517" s="115"/>
      <c r="P517" s="115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</row>
    <row r="518" spans="1:28" ht="15.75" customHeight="1" x14ac:dyDescent="0.25">
      <c r="A518" s="110"/>
      <c r="B518" s="112"/>
      <c r="C518" s="113"/>
      <c r="D518" s="111"/>
      <c r="E518" s="113"/>
      <c r="F518" s="111"/>
      <c r="G518" s="112"/>
      <c r="H518" s="110"/>
      <c r="I518" s="112"/>
      <c r="J518" s="112"/>
      <c r="K518" s="112"/>
      <c r="L518" s="114"/>
      <c r="M518" s="114"/>
      <c r="N518" s="112"/>
      <c r="O518" s="115"/>
      <c r="P518" s="115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</row>
    <row r="519" spans="1:28" ht="15.75" customHeight="1" x14ac:dyDescent="0.25">
      <c r="A519" s="110"/>
      <c r="B519" s="112"/>
      <c r="C519" s="113"/>
      <c r="D519" s="111"/>
      <c r="E519" s="113"/>
      <c r="F519" s="111"/>
      <c r="G519" s="112"/>
      <c r="H519" s="110"/>
      <c r="I519" s="112"/>
      <c r="J519" s="112"/>
      <c r="K519" s="112"/>
      <c r="L519" s="114"/>
      <c r="M519" s="114"/>
      <c r="N519" s="112"/>
      <c r="O519" s="115"/>
      <c r="P519" s="115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</row>
    <row r="520" spans="1:28" ht="15.75" customHeight="1" x14ac:dyDescent="0.25">
      <c r="A520" s="110"/>
      <c r="B520" s="112"/>
      <c r="C520" s="113"/>
      <c r="D520" s="111"/>
      <c r="E520" s="113"/>
      <c r="F520" s="111"/>
      <c r="G520" s="112"/>
      <c r="H520" s="110"/>
      <c r="I520" s="112"/>
      <c r="J520" s="112"/>
      <c r="K520" s="112"/>
      <c r="L520" s="114"/>
      <c r="M520" s="114"/>
      <c r="N520" s="112"/>
      <c r="O520" s="115"/>
      <c r="P520" s="115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</row>
    <row r="521" spans="1:28" ht="15.75" customHeight="1" x14ac:dyDescent="0.25">
      <c r="A521" s="110"/>
      <c r="B521" s="112"/>
      <c r="C521" s="113"/>
      <c r="D521" s="111"/>
      <c r="E521" s="113"/>
      <c r="F521" s="111"/>
      <c r="G521" s="112"/>
      <c r="H521" s="110"/>
      <c r="I521" s="112"/>
      <c r="J521" s="112"/>
      <c r="K521" s="112"/>
      <c r="L521" s="114"/>
      <c r="M521" s="114"/>
      <c r="N521" s="112"/>
      <c r="O521" s="115"/>
      <c r="P521" s="115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</row>
    <row r="522" spans="1:28" ht="15.75" customHeight="1" x14ac:dyDescent="0.25">
      <c r="A522" s="110"/>
      <c r="B522" s="112"/>
      <c r="C522" s="113"/>
      <c r="D522" s="111"/>
      <c r="E522" s="113"/>
      <c r="F522" s="111"/>
      <c r="G522" s="112"/>
      <c r="H522" s="110"/>
      <c r="I522" s="112"/>
      <c r="J522" s="112"/>
      <c r="K522" s="112"/>
      <c r="L522" s="114"/>
      <c r="M522" s="114"/>
      <c r="N522" s="112"/>
      <c r="O522" s="115"/>
      <c r="P522" s="115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</row>
    <row r="523" spans="1:28" ht="15.75" customHeight="1" x14ac:dyDescent="0.25">
      <c r="A523" s="110"/>
      <c r="B523" s="112"/>
      <c r="C523" s="113"/>
      <c r="D523" s="111"/>
      <c r="E523" s="113"/>
      <c r="F523" s="111"/>
      <c r="G523" s="112"/>
      <c r="H523" s="110"/>
      <c r="I523" s="112"/>
      <c r="J523" s="112"/>
      <c r="K523" s="112"/>
      <c r="L523" s="114"/>
      <c r="M523" s="114"/>
      <c r="N523" s="112"/>
      <c r="O523" s="115"/>
      <c r="P523" s="115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</row>
    <row r="524" spans="1:28" ht="15.75" customHeight="1" x14ac:dyDescent="0.25">
      <c r="A524" s="110"/>
      <c r="B524" s="112"/>
      <c r="C524" s="113"/>
      <c r="D524" s="111"/>
      <c r="E524" s="113"/>
      <c r="F524" s="111"/>
      <c r="G524" s="112"/>
      <c r="H524" s="110"/>
      <c r="I524" s="112"/>
      <c r="J524" s="112"/>
      <c r="K524" s="112"/>
      <c r="L524" s="114"/>
      <c r="M524" s="114"/>
      <c r="N524" s="112"/>
      <c r="O524" s="115"/>
      <c r="P524" s="115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</row>
    <row r="525" spans="1:28" ht="15.75" customHeight="1" x14ac:dyDescent="0.25">
      <c r="A525" s="110"/>
      <c r="B525" s="112"/>
      <c r="C525" s="113"/>
      <c r="D525" s="111"/>
      <c r="E525" s="113"/>
      <c r="F525" s="111"/>
      <c r="G525" s="112"/>
      <c r="H525" s="110"/>
      <c r="I525" s="112"/>
      <c r="J525" s="112"/>
      <c r="K525" s="112"/>
      <c r="L525" s="114"/>
      <c r="M525" s="114"/>
      <c r="N525" s="112"/>
      <c r="O525" s="115"/>
      <c r="P525" s="115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</row>
    <row r="526" spans="1:28" ht="15.75" customHeight="1" x14ac:dyDescent="0.25">
      <c r="A526" s="110"/>
      <c r="B526" s="112"/>
      <c r="C526" s="113"/>
      <c r="D526" s="111"/>
      <c r="E526" s="113"/>
      <c r="F526" s="111"/>
      <c r="G526" s="112"/>
      <c r="H526" s="110"/>
      <c r="I526" s="112"/>
      <c r="J526" s="112"/>
      <c r="K526" s="112"/>
      <c r="L526" s="114"/>
      <c r="M526" s="114"/>
      <c r="N526" s="112"/>
      <c r="O526" s="115"/>
      <c r="P526" s="115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</row>
    <row r="527" spans="1:28" ht="15.75" customHeight="1" x14ac:dyDescent="0.25">
      <c r="A527" s="110"/>
      <c r="B527" s="112"/>
      <c r="C527" s="113"/>
      <c r="D527" s="111"/>
      <c r="E527" s="113"/>
      <c r="F527" s="111"/>
      <c r="G527" s="112"/>
      <c r="H527" s="110"/>
      <c r="I527" s="112"/>
      <c r="J527" s="112"/>
      <c r="K527" s="112"/>
      <c r="L527" s="114"/>
      <c r="M527" s="114"/>
      <c r="N527" s="112"/>
      <c r="O527" s="115"/>
      <c r="P527" s="115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</row>
    <row r="528" spans="1:28" ht="15.75" customHeight="1" x14ac:dyDescent="0.25">
      <c r="A528" s="110"/>
      <c r="B528" s="112"/>
      <c r="C528" s="113"/>
      <c r="D528" s="111"/>
      <c r="E528" s="113"/>
      <c r="F528" s="111"/>
      <c r="G528" s="112"/>
      <c r="H528" s="110"/>
      <c r="I528" s="112"/>
      <c r="J528" s="112"/>
      <c r="K528" s="112"/>
      <c r="L528" s="114"/>
      <c r="M528" s="114"/>
      <c r="N528" s="112"/>
      <c r="O528" s="115"/>
      <c r="P528" s="115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</row>
    <row r="529" spans="1:28" ht="15.75" customHeight="1" x14ac:dyDescent="0.25">
      <c r="A529" s="110"/>
      <c r="B529" s="112"/>
      <c r="C529" s="113"/>
      <c r="D529" s="111"/>
      <c r="E529" s="113"/>
      <c r="F529" s="111"/>
      <c r="G529" s="112"/>
      <c r="H529" s="110"/>
      <c r="I529" s="112"/>
      <c r="J529" s="112"/>
      <c r="K529" s="112"/>
      <c r="L529" s="114"/>
      <c r="M529" s="114"/>
      <c r="N529" s="112"/>
      <c r="O529" s="115"/>
      <c r="P529" s="115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</row>
    <row r="530" spans="1:28" ht="15.75" customHeight="1" x14ac:dyDescent="0.25">
      <c r="A530" s="110"/>
      <c r="B530" s="112"/>
      <c r="C530" s="113"/>
      <c r="D530" s="111"/>
      <c r="E530" s="113"/>
      <c r="F530" s="111"/>
      <c r="G530" s="112"/>
      <c r="H530" s="110"/>
      <c r="I530" s="112"/>
      <c r="J530" s="112"/>
      <c r="K530" s="112"/>
      <c r="L530" s="114"/>
      <c r="M530" s="114"/>
      <c r="N530" s="112"/>
      <c r="O530" s="115"/>
      <c r="P530" s="115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</row>
    <row r="531" spans="1:28" ht="15.75" customHeight="1" x14ac:dyDescent="0.25">
      <c r="A531" s="110"/>
      <c r="B531" s="112"/>
      <c r="C531" s="113"/>
      <c r="D531" s="111"/>
      <c r="E531" s="113"/>
      <c r="F531" s="111"/>
      <c r="G531" s="112"/>
      <c r="H531" s="110"/>
      <c r="I531" s="112"/>
      <c r="J531" s="112"/>
      <c r="K531" s="112"/>
      <c r="L531" s="114"/>
      <c r="M531" s="114"/>
      <c r="N531" s="112"/>
      <c r="O531" s="115"/>
      <c r="P531" s="115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</row>
    <row r="532" spans="1:28" ht="15.75" customHeight="1" x14ac:dyDescent="0.25">
      <c r="A532" s="110"/>
      <c r="B532" s="112"/>
      <c r="C532" s="113"/>
      <c r="D532" s="111"/>
      <c r="E532" s="113"/>
      <c r="F532" s="111"/>
      <c r="G532" s="112"/>
      <c r="H532" s="110"/>
      <c r="I532" s="112"/>
      <c r="J532" s="112"/>
      <c r="K532" s="112"/>
      <c r="L532" s="114"/>
      <c r="M532" s="114"/>
      <c r="N532" s="112"/>
      <c r="O532" s="115"/>
      <c r="P532" s="115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</row>
    <row r="533" spans="1:28" ht="15.75" customHeight="1" x14ac:dyDescent="0.25">
      <c r="A533" s="110"/>
      <c r="B533" s="112"/>
      <c r="C533" s="113"/>
      <c r="D533" s="111"/>
      <c r="E533" s="113"/>
      <c r="F533" s="111"/>
      <c r="G533" s="112"/>
      <c r="H533" s="110"/>
      <c r="I533" s="112"/>
      <c r="J533" s="112"/>
      <c r="K533" s="112"/>
      <c r="L533" s="114"/>
      <c r="M533" s="114"/>
      <c r="N533" s="112"/>
      <c r="O533" s="115"/>
      <c r="P533" s="115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</row>
    <row r="534" spans="1:28" ht="15.75" customHeight="1" x14ac:dyDescent="0.25">
      <c r="A534" s="110"/>
      <c r="B534" s="112"/>
      <c r="C534" s="113"/>
      <c r="D534" s="111"/>
      <c r="E534" s="113"/>
      <c r="F534" s="111"/>
      <c r="G534" s="112"/>
      <c r="H534" s="110"/>
      <c r="I534" s="112"/>
      <c r="J534" s="112"/>
      <c r="K534" s="112"/>
      <c r="L534" s="114"/>
      <c r="M534" s="114"/>
      <c r="N534" s="112"/>
      <c r="O534" s="115"/>
      <c r="P534" s="115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</row>
    <row r="535" spans="1:28" ht="15.75" customHeight="1" x14ac:dyDescent="0.25">
      <c r="A535" s="110"/>
      <c r="B535" s="112"/>
      <c r="C535" s="113"/>
      <c r="D535" s="111"/>
      <c r="E535" s="113"/>
      <c r="F535" s="111"/>
      <c r="G535" s="112"/>
      <c r="H535" s="110"/>
      <c r="I535" s="112"/>
      <c r="J535" s="112"/>
      <c r="K535" s="112"/>
      <c r="L535" s="114"/>
      <c r="M535" s="114"/>
      <c r="N535" s="112"/>
      <c r="O535" s="115"/>
      <c r="P535" s="115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</row>
    <row r="536" spans="1:28" ht="15.75" customHeight="1" x14ac:dyDescent="0.25">
      <c r="A536" s="110"/>
      <c r="B536" s="112"/>
      <c r="C536" s="113"/>
      <c r="D536" s="111"/>
      <c r="E536" s="113"/>
      <c r="F536" s="111"/>
      <c r="G536" s="112"/>
      <c r="H536" s="110"/>
      <c r="I536" s="112"/>
      <c r="J536" s="112"/>
      <c r="K536" s="112"/>
      <c r="L536" s="114"/>
      <c r="M536" s="114"/>
      <c r="N536" s="112"/>
      <c r="O536" s="115"/>
      <c r="P536" s="115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</row>
    <row r="537" spans="1:28" ht="15.75" customHeight="1" x14ac:dyDescent="0.25">
      <c r="A537" s="110"/>
      <c r="B537" s="112"/>
      <c r="C537" s="113"/>
      <c r="D537" s="111"/>
      <c r="E537" s="113"/>
      <c r="F537" s="111"/>
      <c r="G537" s="112"/>
      <c r="H537" s="110"/>
      <c r="I537" s="112"/>
      <c r="J537" s="112"/>
      <c r="K537" s="112"/>
      <c r="L537" s="114"/>
      <c r="M537" s="114"/>
      <c r="N537" s="112"/>
      <c r="O537" s="115"/>
      <c r="P537" s="115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</row>
    <row r="538" spans="1:28" ht="15.75" customHeight="1" x14ac:dyDescent="0.25">
      <c r="A538" s="110"/>
      <c r="B538" s="112"/>
      <c r="C538" s="113"/>
      <c r="D538" s="111"/>
      <c r="E538" s="113"/>
      <c r="F538" s="111"/>
      <c r="G538" s="112"/>
      <c r="H538" s="110"/>
      <c r="I538" s="112"/>
      <c r="J538" s="112"/>
      <c r="K538" s="112"/>
      <c r="L538" s="114"/>
      <c r="M538" s="114"/>
      <c r="N538" s="112"/>
      <c r="O538" s="115"/>
      <c r="P538" s="115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</row>
    <row r="539" spans="1:28" ht="15.75" customHeight="1" x14ac:dyDescent="0.25">
      <c r="A539" s="110"/>
      <c r="B539" s="112"/>
      <c r="C539" s="113"/>
      <c r="D539" s="111"/>
      <c r="E539" s="113"/>
      <c r="F539" s="111"/>
      <c r="G539" s="112"/>
      <c r="H539" s="110"/>
      <c r="I539" s="112"/>
      <c r="J539" s="112"/>
      <c r="K539" s="112"/>
      <c r="L539" s="114"/>
      <c r="M539" s="114"/>
      <c r="N539" s="112"/>
      <c r="O539" s="115"/>
      <c r="P539" s="115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</row>
    <row r="540" spans="1:28" ht="15.75" customHeight="1" x14ac:dyDescent="0.25">
      <c r="A540" s="110"/>
      <c r="B540" s="112"/>
      <c r="C540" s="113"/>
      <c r="D540" s="111"/>
      <c r="E540" s="113"/>
      <c r="F540" s="111"/>
      <c r="G540" s="112"/>
      <c r="H540" s="110"/>
      <c r="I540" s="112"/>
      <c r="J540" s="112"/>
      <c r="K540" s="112"/>
      <c r="L540" s="114"/>
      <c r="M540" s="114"/>
      <c r="N540" s="112"/>
      <c r="O540" s="115"/>
      <c r="P540" s="115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</row>
    <row r="541" spans="1:28" ht="15.75" customHeight="1" x14ac:dyDescent="0.25">
      <c r="A541" s="110"/>
      <c r="B541" s="112"/>
      <c r="C541" s="113"/>
      <c r="D541" s="111"/>
      <c r="E541" s="113"/>
      <c r="F541" s="111"/>
      <c r="G541" s="112"/>
      <c r="H541" s="110"/>
      <c r="I541" s="112"/>
      <c r="J541" s="112"/>
      <c r="K541" s="112"/>
      <c r="L541" s="114"/>
      <c r="M541" s="114"/>
      <c r="N541" s="112"/>
      <c r="O541" s="115"/>
      <c r="P541" s="115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</row>
    <row r="542" spans="1:28" ht="15.75" customHeight="1" x14ac:dyDescent="0.25">
      <c r="A542" s="110"/>
      <c r="B542" s="112"/>
      <c r="C542" s="113"/>
      <c r="D542" s="111"/>
      <c r="E542" s="113"/>
      <c r="F542" s="111"/>
      <c r="G542" s="112"/>
      <c r="H542" s="110"/>
      <c r="I542" s="112"/>
      <c r="J542" s="112"/>
      <c r="K542" s="112"/>
      <c r="L542" s="114"/>
      <c r="M542" s="114"/>
      <c r="N542" s="112"/>
      <c r="O542" s="115"/>
      <c r="P542" s="115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</row>
    <row r="543" spans="1:28" ht="15.75" customHeight="1" x14ac:dyDescent="0.25">
      <c r="A543" s="110"/>
      <c r="B543" s="112"/>
      <c r="C543" s="113"/>
      <c r="D543" s="111"/>
      <c r="E543" s="113"/>
      <c r="F543" s="111"/>
      <c r="G543" s="112"/>
      <c r="H543" s="110"/>
      <c r="I543" s="112"/>
      <c r="J543" s="112"/>
      <c r="K543" s="112"/>
      <c r="L543" s="114"/>
      <c r="M543" s="114"/>
      <c r="N543" s="112"/>
      <c r="O543" s="115"/>
      <c r="P543" s="115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</row>
    <row r="544" spans="1:28" ht="15.75" customHeight="1" x14ac:dyDescent="0.25">
      <c r="A544" s="110"/>
      <c r="B544" s="112"/>
      <c r="C544" s="113"/>
      <c r="D544" s="111"/>
      <c r="E544" s="113"/>
      <c r="F544" s="111"/>
      <c r="G544" s="112"/>
      <c r="H544" s="110"/>
      <c r="I544" s="112"/>
      <c r="J544" s="112"/>
      <c r="K544" s="112"/>
      <c r="L544" s="114"/>
      <c r="M544" s="114"/>
      <c r="N544" s="112"/>
      <c r="O544" s="115"/>
      <c r="P544" s="115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</row>
    <row r="545" spans="1:28" ht="15.75" customHeight="1" x14ac:dyDescent="0.25">
      <c r="A545" s="110"/>
      <c r="B545" s="112"/>
      <c r="C545" s="113"/>
      <c r="D545" s="111"/>
      <c r="E545" s="113"/>
      <c r="F545" s="111"/>
      <c r="G545" s="112"/>
      <c r="H545" s="110"/>
      <c r="I545" s="112"/>
      <c r="J545" s="112"/>
      <c r="K545" s="112"/>
      <c r="L545" s="114"/>
      <c r="M545" s="114"/>
      <c r="N545" s="112"/>
      <c r="O545" s="115"/>
      <c r="P545" s="115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</row>
    <row r="546" spans="1:28" ht="15.75" customHeight="1" x14ac:dyDescent="0.25">
      <c r="A546" s="110"/>
      <c r="B546" s="112"/>
      <c r="C546" s="113"/>
      <c r="D546" s="111"/>
      <c r="E546" s="113"/>
      <c r="F546" s="111"/>
      <c r="G546" s="112"/>
      <c r="H546" s="110"/>
      <c r="I546" s="112"/>
      <c r="J546" s="112"/>
      <c r="K546" s="112"/>
      <c r="L546" s="114"/>
      <c r="M546" s="114"/>
      <c r="N546" s="112"/>
      <c r="O546" s="115"/>
      <c r="P546" s="115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</row>
    <row r="547" spans="1:28" ht="15.75" customHeight="1" x14ac:dyDescent="0.25">
      <c r="A547" s="110"/>
      <c r="B547" s="112"/>
      <c r="C547" s="113"/>
      <c r="D547" s="111"/>
      <c r="E547" s="113"/>
      <c r="F547" s="111"/>
      <c r="G547" s="112"/>
      <c r="H547" s="110"/>
      <c r="I547" s="112"/>
      <c r="J547" s="112"/>
      <c r="K547" s="112"/>
      <c r="L547" s="114"/>
      <c r="M547" s="114"/>
      <c r="N547" s="112"/>
      <c r="O547" s="115"/>
      <c r="P547" s="115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</row>
    <row r="548" spans="1:28" ht="15.75" customHeight="1" x14ac:dyDescent="0.25">
      <c r="A548" s="110"/>
      <c r="B548" s="112"/>
      <c r="C548" s="113"/>
      <c r="D548" s="111"/>
      <c r="E548" s="113"/>
      <c r="F548" s="111"/>
      <c r="G548" s="112"/>
      <c r="H548" s="110"/>
      <c r="I548" s="112"/>
      <c r="J548" s="112"/>
      <c r="K548" s="112"/>
      <c r="L548" s="114"/>
      <c r="M548" s="114"/>
      <c r="N548" s="112"/>
      <c r="O548" s="115"/>
      <c r="P548" s="115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</row>
    <row r="549" spans="1:28" ht="15.75" customHeight="1" x14ac:dyDescent="0.25">
      <c r="A549" s="110"/>
      <c r="B549" s="112"/>
      <c r="C549" s="113"/>
      <c r="D549" s="111"/>
      <c r="E549" s="113"/>
      <c r="F549" s="111"/>
      <c r="G549" s="112"/>
      <c r="H549" s="110"/>
      <c r="I549" s="112"/>
      <c r="J549" s="112"/>
      <c r="K549" s="112"/>
      <c r="L549" s="114"/>
      <c r="M549" s="114"/>
      <c r="N549" s="112"/>
      <c r="O549" s="115"/>
      <c r="P549" s="115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</row>
    <row r="550" spans="1:28" ht="15.75" customHeight="1" x14ac:dyDescent="0.25">
      <c r="A550" s="110"/>
      <c r="B550" s="112"/>
      <c r="C550" s="113"/>
      <c r="D550" s="111"/>
      <c r="E550" s="113"/>
      <c r="F550" s="111"/>
      <c r="G550" s="112"/>
      <c r="H550" s="110"/>
      <c r="I550" s="112"/>
      <c r="J550" s="112"/>
      <c r="K550" s="112"/>
      <c r="L550" s="114"/>
      <c r="M550" s="114"/>
      <c r="N550" s="112"/>
      <c r="O550" s="115"/>
      <c r="P550" s="115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</row>
    <row r="551" spans="1:28" ht="15.75" customHeight="1" x14ac:dyDescent="0.25">
      <c r="A551" s="110"/>
      <c r="B551" s="112"/>
      <c r="C551" s="113"/>
      <c r="D551" s="111"/>
      <c r="E551" s="113"/>
      <c r="F551" s="111"/>
      <c r="G551" s="112"/>
      <c r="H551" s="110"/>
      <c r="I551" s="112"/>
      <c r="J551" s="112"/>
      <c r="K551" s="112"/>
      <c r="L551" s="114"/>
      <c r="M551" s="114"/>
      <c r="N551" s="112"/>
      <c r="O551" s="115"/>
      <c r="P551" s="115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</row>
    <row r="552" spans="1:28" ht="15.75" customHeight="1" x14ac:dyDescent="0.25">
      <c r="A552" s="110"/>
      <c r="B552" s="112"/>
      <c r="C552" s="113"/>
      <c r="D552" s="111"/>
      <c r="E552" s="113"/>
      <c r="F552" s="111"/>
      <c r="G552" s="112"/>
      <c r="H552" s="110"/>
      <c r="I552" s="112"/>
      <c r="J552" s="112"/>
      <c r="K552" s="112"/>
      <c r="L552" s="114"/>
      <c r="M552" s="114"/>
      <c r="N552" s="112"/>
      <c r="O552" s="115"/>
      <c r="P552" s="115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</row>
    <row r="553" spans="1:28" ht="15.75" customHeight="1" x14ac:dyDescent="0.25">
      <c r="A553" s="110"/>
      <c r="B553" s="112"/>
      <c r="C553" s="113"/>
      <c r="D553" s="111"/>
      <c r="E553" s="113"/>
      <c r="F553" s="111"/>
      <c r="G553" s="112"/>
      <c r="H553" s="110"/>
      <c r="I553" s="112"/>
      <c r="J553" s="112"/>
      <c r="K553" s="112"/>
      <c r="L553" s="114"/>
      <c r="M553" s="114"/>
      <c r="N553" s="112"/>
      <c r="O553" s="115"/>
      <c r="P553" s="115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</row>
    <row r="554" spans="1:28" ht="15.75" customHeight="1" x14ac:dyDescent="0.25">
      <c r="A554" s="116"/>
      <c r="B554" s="112"/>
      <c r="C554" s="113"/>
      <c r="D554" s="111"/>
      <c r="E554" s="113"/>
      <c r="F554" s="111"/>
      <c r="G554" s="112"/>
      <c r="H554" s="110"/>
      <c r="I554" s="112"/>
      <c r="J554" s="112"/>
      <c r="K554" s="112"/>
      <c r="L554" s="114"/>
      <c r="M554" s="114"/>
      <c r="N554" s="112"/>
      <c r="O554" s="115"/>
      <c r="P554" s="115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</row>
    <row r="555" spans="1:28" ht="15.75" customHeight="1" x14ac:dyDescent="0.25">
      <c r="A555" s="116"/>
      <c r="B555" s="112"/>
      <c r="C555" s="113"/>
      <c r="D555" s="111"/>
      <c r="E555" s="113"/>
      <c r="F555" s="111"/>
      <c r="G555" s="112"/>
      <c r="H555" s="110"/>
      <c r="I555" s="112"/>
      <c r="J555" s="112"/>
      <c r="K555" s="112"/>
      <c r="L555" s="114"/>
      <c r="M555" s="114"/>
      <c r="N555" s="112"/>
      <c r="O555" s="115"/>
      <c r="P555" s="115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</row>
    <row r="556" spans="1:28" ht="15.75" customHeight="1" x14ac:dyDescent="0.25">
      <c r="A556" s="116"/>
      <c r="B556" s="112"/>
      <c r="C556" s="113"/>
      <c r="D556" s="111"/>
      <c r="E556" s="113"/>
      <c r="F556" s="111"/>
      <c r="G556" s="112"/>
      <c r="H556" s="110"/>
      <c r="I556" s="112"/>
      <c r="J556" s="112"/>
      <c r="K556" s="112"/>
      <c r="L556" s="114"/>
      <c r="M556" s="114"/>
      <c r="N556" s="112"/>
      <c r="O556" s="115"/>
      <c r="P556" s="115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</row>
    <row r="557" spans="1:28" ht="15.75" customHeight="1" x14ac:dyDescent="0.25">
      <c r="A557" s="116"/>
      <c r="B557" s="112"/>
      <c r="C557" s="113"/>
      <c r="D557" s="111"/>
      <c r="E557" s="113"/>
      <c r="F557" s="111"/>
      <c r="G557" s="112"/>
      <c r="H557" s="110"/>
      <c r="I557" s="112"/>
      <c r="J557" s="112"/>
      <c r="K557" s="112"/>
      <c r="L557" s="114"/>
      <c r="M557" s="114"/>
      <c r="N557" s="112"/>
      <c r="O557" s="115"/>
      <c r="P557" s="115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</row>
    <row r="558" spans="1:28" ht="15.75" customHeight="1" x14ac:dyDescent="0.25">
      <c r="A558" s="116"/>
      <c r="B558" s="112"/>
      <c r="C558" s="113"/>
      <c r="D558" s="111"/>
      <c r="E558" s="113"/>
      <c r="F558" s="111"/>
      <c r="G558" s="112"/>
      <c r="H558" s="110"/>
      <c r="I558" s="112"/>
      <c r="J558" s="112"/>
      <c r="K558" s="112"/>
      <c r="L558" s="114"/>
      <c r="M558" s="114"/>
      <c r="N558" s="112"/>
      <c r="O558" s="115"/>
      <c r="P558" s="115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</row>
    <row r="559" spans="1:28" ht="15.75" customHeight="1" x14ac:dyDescent="0.25">
      <c r="A559" s="116"/>
      <c r="B559" s="112"/>
      <c r="C559" s="113"/>
      <c r="D559" s="111"/>
      <c r="E559" s="113"/>
      <c r="F559" s="111"/>
      <c r="G559" s="112"/>
      <c r="H559" s="110"/>
      <c r="I559" s="112"/>
      <c r="J559" s="112"/>
      <c r="K559" s="112"/>
      <c r="L559" s="114"/>
      <c r="M559" s="114"/>
      <c r="N559" s="112"/>
      <c r="O559" s="115"/>
      <c r="P559" s="115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</row>
    <row r="560" spans="1:28" ht="15.75" customHeight="1" x14ac:dyDescent="0.25">
      <c r="A560" s="116"/>
      <c r="B560" s="112"/>
      <c r="C560" s="113"/>
      <c r="D560" s="111"/>
      <c r="E560" s="113"/>
      <c r="F560" s="111"/>
      <c r="G560" s="112"/>
      <c r="H560" s="110"/>
      <c r="I560" s="112"/>
      <c r="J560" s="112"/>
      <c r="K560" s="112"/>
      <c r="L560" s="114"/>
      <c r="M560" s="114"/>
      <c r="N560" s="112"/>
      <c r="O560" s="115"/>
      <c r="P560" s="115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</row>
    <row r="561" spans="1:28" ht="15.75" customHeight="1" x14ac:dyDescent="0.25">
      <c r="A561" s="116"/>
      <c r="B561" s="112"/>
      <c r="C561" s="113"/>
      <c r="D561" s="111"/>
      <c r="E561" s="113"/>
      <c r="F561" s="111"/>
      <c r="G561" s="112"/>
      <c r="H561" s="110"/>
      <c r="I561" s="112"/>
      <c r="J561" s="112"/>
      <c r="K561" s="112"/>
      <c r="L561" s="114"/>
      <c r="M561" s="114"/>
      <c r="N561" s="112"/>
      <c r="O561" s="115"/>
      <c r="P561" s="115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</row>
    <row r="562" spans="1:28" ht="15.75" customHeight="1" x14ac:dyDescent="0.25">
      <c r="A562" s="116"/>
      <c r="B562" s="112"/>
      <c r="C562" s="113"/>
      <c r="D562" s="111"/>
      <c r="E562" s="113"/>
      <c r="F562" s="111"/>
      <c r="G562" s="112"/>
      <c r="H562" s="110"/>
      <c r="I562" s="112"/>
      <c r="J562" s="112"/>
      <c r="K562" s="112"/>
      <c r="L562" s="114"/>
      <c r="M562" s="114"/>
      <c r="N562" s="112"/>
      <c r="O562" s="115"/>
      <c r="P562" s="115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</row>
    <row r="563" spans="1:28" ht="15.75" customHeight="1" x14ac:dyDescent="0.25">
      <c r="A563" s="116"/>
      <c r="B563" s="112"/>
      <c r="C563" s="113"/>
      <c r="D563" s="111"/>
      <c r="E563" s="113"/>
      <c r="F563" s="111"/>
      <c r="G563" s="112"/>
      <c r="H563" s="110"/>
      <c r="I563" s="112"/>
      <c r="J563" s="112"/>
      <c r="K563" s="112"/>
      <c r="L563" s="114"/>
      <c r="M563" s="114"/>
      <c r="N563" s="112"/>
      <c r="O563" s="115"/>
      <c r="P563" s="115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</row>
    <row r="564" spans="1:28" ht="15.75" customHeight="1" x14ac:dyDescent="0.25">
      <c r="A564" s="116"/>
      <c r="B564" s="112"/>
      <c r="C564" s="113"/>
      <c r="D564" s="111"/>
      <c r="E564" s="113"/>
      <c r="F564" s="111"/>
      <c r="G564" s="112"/>
      <c r="H564" s="110"/>
      <c r="I564" s="112"/>
      <c r="J564" s="112"/>
      <c r="K564" s="112"/>
      <c r="L564" s="114"/>
      <c r="M564" s="114"/>
      <c r="N564" s="112"/>
      <c r="O564" s="115"/>
      <c r="P564" s="115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</row>
    <row r="565" spans="1:28" ht="15.75" customHeight="1" x14ac:dyDescent="0.25">
      <c r="A565" s="116"/>
      <c r="B565" s="112"/>
      <c r="C565" s="113"/>
      <c r="D565" s="111"/>
      <c r="E565" s="113"/>
      <c r="F565" s="111"/>
      <c r="G565" s="112"/>
      <c r="H565" s="110"/>
      <c r="I565" s="112"/>
      <c r="J565" s="112"/>
      <c r="K565" s="112"/>
      <c r="L565" s="114"/>
      <c r="M565" s="114"/>
      <c r="N565" s="112"/>
      <c r="O565" s="115"/>
      <c r="P565" s="115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</row>
    <row r="566" spans="1:28" ht="15.75" customHeight="1" x14ac:dyDescent="0.25">
      <c r="A566" s="116"/>
      <c r="B566" s="112"/>
      <c r="C566" s="113"/>
      <c r="D566" s="111"/>
      <c r="E566" s="113"/>
      <c r="F566" s="111"/>
      <c r="G566" s="112"/>
      <c r="H566" s="110"/>
      <c r="I566" s="112"/>
      <c r="J566" s="112"/>
      <c r="K566" s="112"/>
      <c r="L566" s="114"/>
      <c r="M566" s="114"/>
      <c r="N566" s="112"/>
      <c r="O566" s="115"/>
      <c r="P566" s="115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</row>
    <row r="567" spans="1:28" ht="15.75" customHeight="1" x14ac:dyDescent="0.25">
      <c r="A567" s="116"/>
      <c r="B567" s="112"/>
      <c r="C567" s="113"/>
      <c r="D567" s="111"/>
      <c r="E567" s="113"/>
      <c r="F567" s="111"/>
      <c r="G567" s="112"/>
      <c r="H567" s="110"/>
      <c r="I567" s="112"/>
      <c r="J567" s="112"/>
      <c r="K567" s="112"/>
      <c r="L567" s="114"/>
      <c r="M567" s="114"/>
      <c r="N567" s="112"/>
      <c r="O567" s="115"/>
      <c r="P567" s="115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</row>
    <row r="568" spans="1:28" ht="15.75" customHeight="1" x14ac:dyDescent="0.25">
      <c r="A568" s="116"/>
      <c r="B568" s="112"/>
      <c r="C568" s="113"/>
      <c r="D568" s="111"/>
      <c r="E568" s="113"/>
      <c r="F568" s="111"/>
      <c r="G568" s="112"/>
      <c r="H568" s="110"/>
      <c r="I568" s="112"/>
      <c r="J568" s="112"/>
      <c r="K568" s="112"/>
      <c r="L568" s="114"/>
      <c r="M568" s="114"/>
      <c r="N568" s="112"/>
      <c r="O568" s="115"/>
      <c r="P568" s="115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</row>
    <row r="569" spans="1:28" ht="15.75" customHeight="1" x14ac:dyDescent="0.25">
      <c r="A569" s="116"/>
      <c r="B569" s="112"/>
      <c r="C569" s="113"/>
      <c r="D569" s="111"/>
      <c r="E569" s="113"/>
      <c r="F569" s="111"/>
      <c r="G569" s="112"/>
      <c r="H569" s="110"/>
      <c r="I569" s="112"/>
      <c r="J569" s="112"/>
      <c r="K569" s="112"/>
      <c r="L569" s="114"/>
      <c r="M569" s="114"/>
      <c r="N569" s="112"/>
      <c r="O569" s="115"/>
      <c r="P569" s="115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</row>
    <row r="570" spans="1:28" ht="15.75" customHeight="1" x14ac:dyDescent="0.25">
      <c r="A570" s="116"/>
      <c r="B570" s="112"/>
      <c r="C570" s="113"/>
      <c r="D570" s="111"/>
      <c r="E570" s="113"/>
      <c r="F570" s="111"/>
      <c r="G570" s="112"/>
      <c r="H570" s="110"/>
      <c r="I570" s="112"/>
      <c r="J570" s="112"/>
      <c r="K570" s="112"/>
      <c r="L570" s="114"/>
      <c r="M570" s="114"/>
      <c r="N570" s="112"/>
      <c r="O570" s="115"/>
      <c r="P570" s="115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</row>
    <row r="571" spans="1:28" ht="15.75" customHeight="1" x14ac:dyDescent="0.25">
      <c r="A571" s="116"/>
      <c r="B571" s="112"/>
      <c r="C571" s="113"/>
      <c r="D571" s="111"/>
      <c r="E571" s="113"/>
      <c r="F571" s="111"/>
      <c r="G571" s="112"/>
      <c r="H571" s="110"/>
      <c r="I571" s="112"/>
      <c r="J571" s="112"/>
      <c r="K571" s="112"/>
      <c r="L571" s="114"/>
      <c r="M571" s="114"/>
      <c r="N571" s="112"/>
      <c r="O571" s="115"/>
      <c r="P571" s="115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</row>
    <row r="572" spans="1:28" ht="15.75" customHeight="1" x14ac:dyDescent="0.25">
      <c r="A572" s="116"/>
      <c r="B572" s="112"/>
      <c r="C572" s="113"/>
      <c r="D572" s="111"/>
      <c r="E572" s="113"/>
      <c r="F572" s="111"/>
      <c r="G572" s="112"/>
      <c r="H572" s="110"/>
      <c r="I572" s="112"/>
      <c r="J572" s="112"/>
      <c r="K572" s="112"/>
      <c r="L572" s="114"/>
      <c r="M572" s="114"/>
      <c r="N572" s="112"/>
      <c r="O572" s="115"/>
      <c r="P572" s="115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</row>
    <row r="573" spans="1:28" ht="15.75" customHeight="1" x14ac:dyDescent="0.25">
      <c r="A573" s="116"/>
      <c r="B573" s="112"/>
      <c r="C573" s="113"/>
      <c r="D573" s="111"/>
      <c r="E573" s="113"/>
      <c r="F573" s="111"/>
      <c r="G573" s="112"/>
      <c r="H573" s="110"/>
      <c r="I573" s="112"/>
      <c r="J573" s="112"/>
      <c r="K573" s="112"/>
      <c r="L573" s="114"/>
      <c r="M573" s="114"/>
      <c r="N573" s="112"/>
      <c r="O573" s="115"/>
      <c r="P573" s="115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</row>
    <row r="574" spans="1:28" ht="15.75" customHeight="1" x14ac:dyDescent="0.25">
      <c r="A574" s="116"/>
      <c r="B574" s="112"/>
      <c r="C574" s="113"/>
      <c r="D574" s="111"/>
      <c r="E574" s="113"/>
      <c r="F574" s="111"/>
      <c r="G574" s="112"/>
      <c r="H574" s="110"/>
      <c r="I574" s="112"/>
      <c r="J574" s="112"/>
      <c r="K574" s="112"/>
      <c r="L574" s="114"/>
      <c r="M574" s="114"/>
      <c r="N574" s="112"/>
      <c r="O574" s="115"/>
      <c r="P574" s="115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</row>
    <row r="575" spans="1:28" ht="15.75" customHeight="1" x14ac:dyDescent="0.25">
      <c r="A575" s="116"/>
      <c r="B575" s="112"/>
      <c r="C575" s="113"/>
      <c r="D575" s="111"/>
      <c r="E575" s="113"/>
      <c r="F575" s="111"/>
      <c r="G575" s="112"/>
      <c r="H575" s="110"/>
      <c r="I575" s="112"/>
      <c r="J575" s="112"/>
      <c r="K575" s="112"/>
      <c r="L575" s="114"/>
      <c r="M575" s="114"/>
      <c r="N575" s="112"/>
      <c r="O575" s="115"/>
      <c r="P575" s="115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</row>
    <row r="576" spans="1:28" ht="15.75" customHeight="1" x14ac:dyDescent="0.25">
      <c r="A576" s="116"/>
      <c r="B576" s="112"/>
      <c r="C576" s="113"/>
      <c r="D576" s="111"/>
      <c r="E576" s="113"/>
      <c r="F576" s="111"/>
      <c r="G576" s="112"/>
      <c r="H576" s="110"/>
      <c r="I576" s="112"/>
      <c r="J576" s="112"/>
      <c r="K576" s="112"/>
      <c r="L576" s="114"/>
      <c r="M576" s="114"/>
      <c r="N576" s="112"/>
      <c r="O576" s="115"/>
      <c r="P576" s="115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</row>
    <row r="577" spans="1:28" ht="15.75" customHeight="1" x14ac:dyDescent="0.25">
      <c r="A577" s="116"/>
      <c r="B577" s="112"/>
      <c r="C577" s="113"/>
      <c r="D577" s="111"/>
      <c r="E577" s="113"/>
      <c r="F577" s="111"/>
      <c r="G577" s="112"/>
      <c r="H577" s="110"/>
      <c r="I577" s="112"/>
      <c r="J577" s="112"/>
      <c r="K577" s="112"/>
      <c r="L577" s="114"/>
      <c r="M577" s="114"/>
      <c r="N577" s="112"/>
      <c r="O577" s="115"/>
      <c r="P577" s="115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</row>
    <row r="578" spans="1:28" ht="15.75" customHeight="1" x14ac:dyDescent="0.25">
      <c r="A578" s="116"/>
      <c r="B578" s="112"/>
      <c r="C578" s="113"/>
      <c r="D578" s="111"/>
      <c r="E578" s="113"/>
      <c r="F578" s="111"/>
      <c r="G578" s="112"/>
      <c r="H578" s="110"/>
      <c r="I578" s="112"/>
      <c r="J578" s="112"/>
      <c r="K578" s="112"/>
      <c r="L578" s="114"/>
      <c r="M578" s="114"/>
      <c r="N578" s="112"/>
      <c r="O578" s="115"/>
      <c r="P578" s="115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</row>
    <row r="579" spans="1:28" ht="15.75" customHeight="1" x14ac:dyDescent="0.25">
      <c r="A579" s="116"/>
      <c r="B579" s="112"/>
      <c r="C579" s="113"/>
      <c r="D579" s="111"/>
      <c r="E579" s="113"/>
      <c r="F579" s="111"/>
      <c r="G579" s="112"/>
      <c r="H579" s="110"/>
      <c r="I579" s="112"/>
      <c r="J579" s="112"/>
      <c r="K579" s="112"/>
      <c r="L579" s="114"/>
      <c r="M579" s="114"/>
      <c r="N579" s="112"/>
      <c r="O579" s="115"/>
      <c r="P579" s="115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</row>
    <row r="580" spans="1:28" ht="15.75" customHeight="1" x14ac:dyDescent="0.25">
      <c r="A580" s="116"/>
      <c r="B580" s="112"/>
      <c r="C580" s="113"/>
      <c r="D580" s="111"/>
      <c r="E580" s="113"/>
      <c r="F580" s="111"/>
      <c r="G580" s="112"/>
      <c r="H580" s="110"/>
      <c r="I580" s="112"/>
      <c r="J580" s="112"/>
      <c r="K580" s="112"/>
      <c r="L580" s="114"/>
      <c r="M580" s="114"/>
      <c r="N580" s="112"/>
      <c r="O580" s="115"/>
      <c r="P580" s="115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</row>
    <row r="581" spans="1:28" ht="15.75" customHeight="1" x14ac:dyDescent="0.25">
      <c r="A581" s="116"/>
      <c r="B581" s="112"/>
      <c r="C581" s="113"/>
      <c r="D581" s="111"/>
      <c r="E581" s="113"/>
      <c r="F581" s="111"/>
      <c r="G581" s="112"/>
      <c r="H581" s="110"/>
      <c r="I581" s="112"/>
      <c r="J581" s="112"/>
      <c r="K581" s="112"/>
      <c r="L581" s="114"/>
      <c r="M581" s="114"/>
      <c r="N581" s="112"/>
      <c r="O581" s="115"/>
      <c r="P581" s="115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</row>
    <row r="582" spans="1:28" ht="15.75" customHeight="1" x14ac:dyDescent="0.25">
      <c r="A582" s="116"/>
      <c r="B582" s="112"/>
      <c r="C582" s="113"/>
      <c r="D582" s="111"/>
      <c r="E582" s="113"/>
      <c r="F582" s="111"/>
      <c r="G582" s="112"/>
      <c r="H582" s="110"/>
      <c r="I582" s="112"/>
      <c r="J582" s="112"/>
      <c r="K582" s="112"/>
      <c r="L582" s="114"/>
      <c r="M582" s="114"/>
      <c r="N582" s="112"/>
      <c r="O582" s="115"/>
      <c r="P582" s="115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</row>
    <row r="583" spans="1:28" ht="15.75" customHeight="1" x14ac:dyDescent="0.25">
      <c r="A583" s="116"/>
      <c r="B583" s="112"/>
      <c r="C583" s="113"/>
      <c r="D583" s="111"/>
      <c r="E583" s="113"/>
      <c r="F583" s="111"/>
      <c r="G583" s="112"/>
      <c r="H583" s="110"/>
      <c r="I583" s="112"/>
      <c r="J583" s="112"/>
      <c r="K583" s="112"/>
      <c r="L583" s="114"/>
      <c r="M583" s="114"/>
      <c r="N583" s="112"/>
      <c r="O583" s="115"/>
      <c r="P583" s="115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</row>
    <row r="584" spans="1:28" ht="15.75" customHeight="1" x14ac:dyDescent="0.25">
      <c r="A584" s="116"/>
      <c r="B584" s="112"/>
      <c r="C584" s="113"/>
      <c r="D584" s="111"/>
      <c r="E584" s="113"/>
      <c r="F584" s="111"/>
      <c r="G584" s="112"/>
      <c r="H584" s="110"/>
      <c r="I584" s="112"/>
      <c r="J584" s="112"/>
      <c r="K584" s="112"/>
      <c r="L584" s="114"/>
      <c r="M584" s="114"/>
      <c r="N584" s="112"/>
      <c r="O584" s="115"/>
      <c r="P584" s="115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</row>
    <row r="585" spans="1:28" ht="15.75" customHeight="1" x14ac:dyDescent="0.25">
      <c r="A585" s="116"/>
      <c r="B585" s="112"/>
      <c r="C585" s="113"/>
      <c r="D585" s="111"/>
      <c r="E585" s="113"/>
      <c r="F585" s="111"/>
      <c r="G585" s="112"/>
      <c r="H585" s="110"/>
      <c r="I585" s="112"/>
      <c r="J585" s="112"/>
      <c r="K585" s="112"/>
      <c r="L585" s="114"/>
      <c r="M585" s="114"/>
      <c r="N585" s="112"/>
      <c r="O585" s="115"/>
      <c r="P585" s="115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</row>
    <row r="586" spans="1:28" ht="15.75" customHeight="1" x14ac:dyDescent="0.25">
      <c r="A586" s="116"/>
      <c r="B586" s="112"/>
      <c r="C586" s="113"/>
      <c r="D586" s="111"/>
      <c r="E586" s="113"/>
      <c r="F586" s="111"/>
      <c r="G586" s="112"/>
      <c r="H586" s="110"/>
      <c r="I586" s="112"/>
      <c r="J586" s="112"/>
      <c r="K586" s="112"/>
      <c r="L586" s="114"/>
      <c r="M586" s="114"/>
      <c r="N586" s="112"/>
      <c r="O586" s="115"/>
      <c r="P586" s="115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</row>
    <row r="587" spans="1:28" ht="15.75" customHeight="1" x14ac:dyDescent="0.25">
      <c r="A587" s="116"/>
      <c r="B587" s="112"/>
      <c r="C587" s="113"/>
      <c r="D587" s="111"/>
      <c r="E587" s="113"/>
      <c r="F587" s="111"/>
      <c r="G587" s="112"/>
      <c r="H587" s="110"/>
      <c r="I587" s="112"/>
      <c r="J587" s="112"/>
      <c r="K587" s="112"/>
      <c r="L587" s="114"/>
      <c r="M587" s="114"/>
      <c r="N587" s="112"/>
      <c r="O587" s="115"/>
      <c r="P587" s="115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</row>
    <row r="588" spans="1:28" ht="15.75" customHeight="1" x14ac:dyDescent="0.25">
      <c r="A588" s="116"/>
      <c r="B588" s="112"/>
      <c r="C588" s="113"/>
      <c r="D588" s="111"/>
      <c r="E588" s="113"/>
      <c r="F588" s="111"/>
      <c r="G588" s="112"/>
      <c r="H588" s="110"/>
      <c r="I588" s="112"/>
      <c r="J588" s="112"/>
      <c r="K588" s="112"/>
      <c r="L588" s="114"/>
      <c r="M588" s="114"/>
      <c r="N588" s="112"/>
      <c r="O588" s="115"/>
      <c r="P588" s="115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</row>
    <row r="589" spans="1:28" ht="15.75" customHeight="1" x14ac:dyDescent="0.25">
      <c r="A589" s="116"/>
      <c r="B589" s="112"/>
      <c r="C589" s="113"/>
      <c r="D589" s="111"/>
      <c r="E589" s="113"/>
      <c r="F589" s="111"/>
      <c r="G589" s="112"/>
      <c r="H589" s="110"/>
      <c r="I589" s="112"/>
      <c r="J589" s="112"/>
      <c r="K589" s="112"/>
      <c r="L589" s="114"/>
      <c r="M589" s="114"/>
      <c r="N589" s="112"/>
      <c r="O589" s="115"/>
      <c r="P589" s="115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</row>
    <row r="590" spans="1:28" ht="15.75" customHeight="1" x14ac:dyDescent="0.25">
      <c r="A590" s="116"/>
      <c r="B590" s="112"/>
      <c r="C590" s="113"/>
      <c r="D590" s="111"/>
      <c r="E590" s="113"/>
      <c r="F590" s="111"/>
      <c r="G590" s="112"/>
      <c r="H590" s="110"/>
      <c r="I590" s="112"/>
      <c r="J590" s="112"/>
      <c r="K590" s="112"/>
      <c r="L590" s="114"/>
      <c r="M590" s="114"/>
      <c r="N590" s="112"/>
      <c r="O590" s="115"/>
      <c r="P590" s="115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</row>
    <row r="591" spans="1:28" ht="15.75" customHeight="1" x14ac:dyDescent="0.25">
      <c r="A591" s="116"/>
      <c r="B591" s="112"/>
      <c r="C591" s="113"/>
      <c r="D591" s="111"/>
      <c r="E591" s="113"/>
      <c r="F591" s="111"/>
      <c r="G591" s="112"/>
      <c r="H591" s="110"/>
      <c r="I591" s="112"/>
      <c r="J591" s="112"/>
      <c r="K591" s="112"/>
      <c r="L591" s="114"/>
      <c r="M591" s="114"/>
      <c r="N591" s="112"/>
      <c r="O591" s="115"/>
      <c r="P591" s="115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</row>
    <row r="592" spans="1:28" ht="15.75" customHeight="1" x14ac:dyDescent="0.25">
      <c r="A592" s="116"/>
      <c r="B592" s="112"/>
      <c r="C592" s="113"/>
      <c r="D592" s="111"/>
      <c r="E592" s="113"/>
      <c r="F592" s="111"/>
      <c r="G592" s="112"/>
      <c r="H592" s="110"/>
      <c r="I592" s="112"/>
      <c r="J592" s="112"/>
      <c r="K592" s="112"/>
      <c r="L592" s="114"/>
      <c r="M592" s="114"/>
      <c r="N592" s="112"/>
      <c r="O592" s="115"/>
      <c r="P592" s="115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</row>
    <row r="593" spans="1:28" ht="15.75" customHeight="1" x14ac:dyDescent="0.25">
      <c r="A593" s="116"/>
      <c r="B593" s="112"/>
      <c r="C593" s="113"/>
      <c r="D593" s="111"/>
      <c r="E593" s="113"/>
      <c r="F593" s="111"/>
      <c r="G593" s="112"/>
      <c r="H593" s="110"/>
      <c r="I593" s="112"/>
      <c r="J593" s="112"/>
      <c r="K593" s="112"/>
      <c r="L593" s="114"/>
      <c r="M593" s="114"/>
      <c r="N593" s="112"/>
      <c r="O593" s="115"/>
      <c r="P593" s="115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</row>
    <row r="594" spans="1:28" ht="15.75" customHeight="1" x14ac:dyDescent="0.25">
      <c r="A594" s="116"/>
      <c r="B594" s="112"/>
      <c r="C594" s="113"/>
      <c r="D594" s="111"/>
      <c r="E594" s="113"/>
      <c r="F594" s="111"/>
      <c r="G594" s="112"/>
      <c r="H594" s="110"/>
      <c r="I594" s="112"/>
      <c r="J594" s="112"/>
      <c r="K594" s="112"/>
      <c r="L594" s="114"/>
      <c r="M594" s="114"/>
      <c r="N594" s="112"/>
      <c r="O594" s="115"/>
      <c r="P594" s="115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</row>
    <row r="595" spans="1:28" ht="15.75" customHeight="1" x14ac:dyDescent="0.25">
      <c r="A595" s="116"/>
      <c r="B595" s="112"/>
      <c r="C595" s="113"/>
      <c r="D595" s="111"/>
      <c r="E595" s="113"/>
      <c r="F595" s="111"/>
      <c r="G595" s="112"/>
      <c r="H595" s="110"/>
      <c r="I595" s="112"/>
      <c r="J595" s="112"/>
      <c r="K595" s="112"/>
      <c r="L595" s="114"/>
      <c r="M595" s="114"/>
      <c r="N595" s="112"/>
      <c r="O595" s="115"/>
      <c r="P595" s="115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</row>
    <row r="596" spans="1:28" ht="15.75" customHeight="1" x14ac:dyDescent="0.25">
      <c r="A596" s="116"/>
      <c r="B596" s="112"/>
      <c r="C596" s="113"/>
      <c r="D596" s="111"/>
      <c r="E596" s="113"/>
      <c r="F596" s="111"/>
      <c r="G596" s="112"/>
      <c r="H596" s="110"/>
      <c r="I596" s="112"/>
      <c r="J596" s="112"/>
      <c r="K596" s="112"/>
      <c r="L596" s="114"/>
      <c r="M596" s="114"/>
      <c r="N596" s="112"/>
      <c r="O596" s="115"/>
      <c r="P596" s="115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</row>
    <row r="597" spans="1:28" ht="15.75" customHeight="1" x14ac:dyDescent="0.25">
      <c r="A597" s="116"/>
      <c r="B597" s="112"/>
      <c r="C597" s="113"/>
      <c r="D597" s="111"/>
      <c r="E597" s="113"/>
      <c r="F597" s="111"/>
      <c r="G597" s="112"/>
      <c r="H597" s="110"/>
      <c r="I597" s="112"/>
      <c r="J597" s="112"/>
      <c r="K597" s="112"/>
      <c r="L597" s="114"/>
      <c r="M597" s="114"/>
      <c r="N597" s="112"/>
      <c r="O597" s="115"/>
      <c r="P597" s="115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</row>
    <row r="598" spans="1:28" ht="15.75" customHeight="1" x14ac:dyDescent="0.25">
      <c r="A598" s="116"/>
      <c r="B598" s="112"/>
      <c r="C598" s="113"/>
      <c r="D598" s="111"/>
      <c r="E598" s="113"/>
      <c r="F598" s="111"/>
      <c r="G598" s="112"/>
      <c r="H598" s="110"/>
      <c r="I598" s="112"/>
      <c r="J598" s="112"/>
      <c r="K598" s="112"/>
      <c r="L598" s="114"/>
      <c r="M598" s="114"/>
      <c r="N598" s="112"/>
      <c r="O598" s="115"/>
      <c r="P598" s="115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</row>
    <row r="599" spans="1:28" ht="15.75" customHeight="1" x14ac:dyDescent="0.25">
      <c r="A599" s="116"/>
      <c r="B599" s="112"/>
      <c r="C599" s="113"/>
      <c r="D599" s="111"/>
      <c r="E599" s="113"/>
      <c r="F599" s="111"/>
      <c r="G599" s="112"/>
      <c r="H599" s="110"/>
      <c r="I599" s="112"/>
      <c r="J599" s="112"/>
      <c r="K599" s="112"/>
      <c r="L599" s="114"/>
      <c r="M599" s="114"/>
      <c r="N599" s="112"/>
      <c r="O599" s="115"/>
      <c r="P599" s="115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</row>
    <row r="600" spans="1:28" ht="15.75" customHeight="1" x14ac:dyDescent="0.25">
      <c r="A600" s="116"/>
      <c r="B600" s="112"/>
      <c r="C600" s="113"/>
      <c r="D600" s="111"/>
      <c r="E600" s="113"/>
      <c r="F600" s="111"/>
      <c r="G600" s="112"/>
      <c r="H600" s="110"/>
      <c r="I600" s="112"/>
      <c r="J600" s="112"/>
      <c r="K600" s="112"/>
      <c r="L600" s="114"/>
      <c r="M600" s="114"/>
      <c r="N600" s="112"/>
      <c r="O600" s="115"/>
      <c r="P600" s="115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</row>
    <row r="601" spans="1:28" ht="15.75" customHeight="1" x14ac:dyDescent="0.25">
      <c r="A601" s="116"/>
      <c r="B601" s="112"/>
      <c r="C601" s="113"/>
      <c r="D601" s="111"/>
      <c r="E601" s="113"/>
      <c r="F601" s="111"/>
      <c r="G601" s="112"/>
      <c r="H601" s="110"/>
      <c r="I601" s="112"/>
      <c r="J601" s="112"/>
      <c r="K601" s="112"/>
      <c r="L601" s="114"/>
      <c r="M601" s="114"/>
      <c r="N601" s="112"/>
      <c r="O601" s="115"/>
      <c r="P601" s="115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</row>
    <row r="602" spans="1:28" ht="15.75" customHeight="1" x14ac:dyDescent="0.25">
      <c r="A602" s="116"/>
      <c r="B602" s="112"/>
      <c r="C602" s="113"/>
      <c r="D602" s="111"/>
      <c r="E602" s="113"/>
      <c r="F602" s="111"/>
      <c r="G602" s="112"/>
      <c r="H602" s="110"/>
      <c r="I602" s="112"/>
      <c r="J602" s="112"/>
      <c r="K602" s="112"/>
      <c r="L602" s="114"/>
      <c r="M602" s="114"/>
      <c r="N602" s="112"/>
      <c r="O602" s="115"/>
      <c r="P602" s="115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</row>
    <row r="603" spans="1:28" ht="15.75" customHeight="1" x14ac:dyDescent="0.25">
      <c r="A603" s="116"/>
      <c r="B603" s="112"/>
      <c r="C603" s="113"/>
      <c r="D603" s="111"/>
      <c r="E603" s="113"/>
      <c r="F603" s="111"/>
      <c r="G603" s="112"/>
      <c r="H603" s="110"/>
      <c r="I603" s="112"/>
      <c r="J603" s="112"/>
      <c r="K603" s="112"/>
      <c r="L603" s="114"/>
      <c r="M603" s="114"/>
      <c r="N603" s="112"/>
      <c r="O603" s="115"/>
      <c r="P603" s="115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</row>
    <row r="604" spans="1:28" ht="15.75" customHeight="1" x14ac:dyDescent="0.25">
      <c r="A604" s="116"/>
      <c r="B604" s="112"/>
      <c r="C604" s="113"/>
      <c r="D604" s="111"/>
      <c r="E604" s="113"/>
      <c r="F604" s="111"/>
      <c r="G604" s="112"/>
      <c r="H604" s="110"/>
      <c r="I604" s="112"/>
      <c r="J604" s="112"/>
      <c r="K604" s="112"/>
      <c r="L604" s="114"/>
      <c r="M604" s="114"/>
      <c r="N604" s="112"/>
      <c r="O604" s="115"/>
      <c r="P604" s="115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</row>
    <row r="605" spans="1:28" ht="15.75" customHeight="1" x14ac:dyDescent="0.25">
      <c r="A605" s="116"/>
      <c r="B605" s="112"/>
      <c r="C605" s="113"/>
      <c r="D605" s="111"/>
      <c r="E605" s="113"/>
      <c r="F605" s="111"/>
      <c r="G605" s="112"/>
      <c r="H605" s="110"/>
      <c r="I605" s="112"/>
      <c r="J605" s="112"/>
      <c r="K605" s="112"/>
      <c r="L605" s="114"/>
      <c r="M605" s="114"/>
      <c r="N605" s="112"/>
      <c r="O605" s="115"/>
      <c r="P605" s="115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</row>
    <row r="606" spans="1:28" ht="15.75" customHeight="1" x14ac:dyDescent="0.25">
      <c r="A606" s="116"/>
      <c r="B606" s="112"/>
      <c r="C606" s="113"/>
      <c r="D606" s="111"/>
      <c r="E606" s="113"/>
      <c r="F606" s="111"/>
      <c r="G606" s="112"/>
      <c r="H606" s="110"/>
      <c r="I606" s="112"/>
      <c r="J606" s="112"/>
      <c r="K606" s="112"/>
      <c r="L606" s="114"/>
      <c r="M606" s="114"/>
      <c r="N606" s="112"/>
      <c r="O606" s="115"/>
      <c r="P606" s="115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</row>
    <row r="607" spans="1:28" ht="15.75" customHeight="1" x14ac:dyDescent="0.25">
      <c r="A607" s="116"/>
      <c r="B607" s="112"/>
      <c r="C607" s="113"/>
      <c r="D607" s="111"/>
      <c r="E607" s="113"/>
      <c r="F607" s="111"/>
      <c r="G607" s="112"/>
      <c r="H607" s="110"/>
      <c r="I607" s="112"/>
      <c r="J607" s="112"/>
      <c r="K607" s="112"/>
      <c r="L607" s="114"/>
      <c r="M607" s="114"/>
      <c r="N607" s="112"/>
      <c r="O607" s="115"/>
      <c r="P607" s="115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</row>
    <row r="608" spans="1:28" ht="15.75" customHeight="1" x14ac:dyDescent="0.25">
      <c r="A608" s="116"/>
      <c r="B608" s="112"/>
      <c r="C608" s="113"/>
      <c r="D608" s="111"/>
      <c r="E608" s="113"/>
      <c r="F608" s="111"/>
      <c r="G608" s="112"/>
      <c r="H608" s="110"/>
      <c r="I608" s="112"/>
      <c r="J608" s="112"/>
      <c r="K608" s="112"/>
      <c r="L608" s="114"/>
      <c r="M608" s="114"/>
      <c r="N608" s="112"/>
      <c r="O608" s="115"/>
      <c r="P608" s="115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</row>
    <row r="609" spans="1:28" ht="15.75" customHeight="1" x14ac:dyDescent="0.25">
      <c r="A609" s="116"/>
      <c r="B609" s="112"/>
      <c r="C609" s="113"/>
      <c r="D609" s="111"/>
      <c r="E609" s="113"/>
      <c r="F609" s="111"/>
      <c r="G609" s="112"/>
      <c r="H609" s="110"/>
      <c r="I609" s="112"/>
      <c r="J609" s="112"/>
      <c r="K609" s="112"/>
      <c r="L609" s="114"/>
      <c r="M609" s="114"/>
      <c r="N609" s="112"/>
      <c r="O609" s="115"/>
      <c r="P609" s="115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</row>
    <row r="610" spans="1:28" ht="15.75" customHeight="1" x14ac:dyDescent="0.25">
      <c r="A610" s="116"/>
      <c r="B610" s="112"/>
      <c r="C610" s="113"/>
      <c r="D610" s="111"/>
      <c r="E610" s="113"/>
      <c r="F610" s="111"/>
      <c r="G610" s="112"/>
      <c r="H610" s="110"/>
      <c r="I610" s="112"/>
      <c r="J610" s="112"/>
      <c r="K610" s="112"/>
      <c r="L610" s="114"/>
      <c r="M610" s="114"/>
      <c r="N610" s="112"/>
      <c r="O610" s="115"/>
      <c r="P610" s="115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</row>
    <row r="611" spans="1:28" ht="15.75" customHeight="1" x14ac:dyDescent="0.25">
      <c r="A611" s="116"/>
      <c r="B611" s="112"/>
      <c r="C611" s="113"/>
      <c r="D611" s="111"/>
      <c r="E611" s="113"/>
      <c r="F611" s="111"/>
      <c r="G611" s="112"/>
      <c r="H611" s="110"/>
      <c r="I611" s="112"/>
      <c r="J611" s="112"/>
      <c r="K611" s="112"/>
      <c r="L611" s="114"/>
      <c r="M611" s="114"/>
      <c r="N611" s="112"/>
      <c r="O611" s="115"/>
      <c r="P611" s="115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</row>
    <row r="612" spans="1:28" ht="15.75" customHeight="1" x14ac:dyDescent="0.25">
      <c r="A612" s="116"/>
      <c r="B612" s="112"/>
      <c r="C612" s="113"/>
      <c r="D612" s="111"/>
      <c r="E612" s="113"/>
      <c r="F612" s="111"/>
      <c r="G612" s="112"/>
      <c r="H612" s="110"/>
      <c r="I612" s="112"/>
      <c r="J612" s="112"/>
      <c r="K612" s="112"/>
      <c r="L612" s="114"/>
      <c r="M612" s="114"/>
      <c r="N612" s="112"/>
      <c r="O612" s="115"/>
      <c r="P612" s="115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</row>
    <row r="613" spans="1:28" ht="15.75" customHeight="1" x14ac:dyDescent="0.25">
      <c r="A613" s="116"/>
      <c r="B613" s="112"/>
      <c r="C613" s="113"/>
      <c r="D613" s="111"/>
      <c r="E613" s="113"/>
      <c r="F613" s="111"/>
      <c r="G613" s="112"/>
      <c r="H613" s="110"/>
      <c r="I613" s="112"/>
      <c r="J613" s="112"/>
      <c r="K613" s="112"/>
      <c r="L613" s="114"/>
      <c r="M613" s="114"/>
      <c r="N613" s="112"/>
      <c r="O613" s="115"/>
      <c r="P613" s="115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</row>
    <row r="614" spans="1:28" ht="15.75" customHeight="1" x14ac:dyDescent="0.25">
      <c r="A614" s="116"/>
      <c r="B614" s="112"/>
      <c r="C614" s="113"/>
      <c r="D614" s="111"/>
      <c r="E614" s="113"/>
      <c r="F614" s="111"/>
      <c r="G614" s="112"/>
      <c r="H614" s="110"/>
      <c r="I614" s="112"/>
      <c r="J614" s="112"/>
      <c r="K614" s="112"/>
      <c r="L614" s="114"/>
      <c r="M614" s="114"/>
      <c r="N614" s="112"/>
      <c r="O614" s="115"/>
      <c r="P614" s="115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</row>
    <row r="615" spans="1:28" ht="15.75" customHeight="1" x14ac:dyDescent="0.25">
      <c r="A615" s="116"/>
      <c r="B615" s="112"/>
      <c r="C615" s="113"/>
      <c r="D615" s="111"/>
      <c r="E615" s="113"/>
      <c r="F615" s="111"/>
      <c r="G615" s="112"/>
      <c r="H615" s="110"/>
      <c r="I615" s="112"/>
      <c r="J615" s="112"/>
      <c r="K615" s="112"/>
      <c r="L615" s="114"/>
      <c r="M615" s="114"/>
      <c r="N615" s="112"/>
      <c r="O615" s="115"/>
      <c r="P615" s="115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</row>
    <row r="616" spans="1:28" ht="15.75" customHeight="1" x14ac:dyDescent="0.25">
      <c r="A616" s="116"/>
      <c r="B616" s="112"/>
      <c r="C616" s="113"/>
      <c r="D616" s="111"/>
      <c r="E616" s="113"/>
      <c r="F616" s="111"/>
      <c r="G616" s="112"/>
      <c r="H616" s="110"/>
      <c r="I616" s="112"/>
      <c r="J616" s="112"/>
      <c r="K616" s="112"/>
      <c r="L616" s="114"/>
      <c r="M616" s="114"/>
      <c r="N616" s="112"/>
      <c r="O616" s="115"/>
      <c r="P616" s="115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</row>
    <row r="617" spans="1:28" ht="15.75" customHeight="1" x14ac:dyDescent="0.25">
      <c r="A617" s="116"/>
      <c r="B617" s="112"/>
      <c r="C617" s="113"/>
      <c r="D617" s="111"/>
      <c r="E617" s="113"/>
      <c r="F617" s="111"/>
      <c r="G617" s="112"/>
      <c r="H617" s="110"/>
      <c r="I617" s="112"/>
      <c r="J617" s="112"/>
      <c r="K617" s="112"/>
      <c r="L617" s="114"/>
      <c r="M617" s="114"/>
      <c r="N617" s="112"/>
      <c r="O617" s="115"/>
      <c r="P617" s="115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</row>
    <row r="618" spans="1:28" ht="15.75" customHeight="1" x14ac:dyDescent="0.25">
      <c r="A618" s="116"/>
      <c r="B618" s="112"/>
      <c r="C618" s="113"/>
      <c r="D618" s="111"/>
      <c r="E618" s="113"/>
      <c r="F618" s="111"/>
      <c r="G618" s="112"/>
      <c r="H618" s="110"/>
      <c r="I618" s="112"/>
      <c r="J618" s="112"/>
      <c r="K618" s="112"/>
      <c r="L618" s="114"/>
      <c r="M618" s="114"/>
      <c r="N618" s="112"/>
      <c r="O618" s="115"/>
      <c r="P618" s="115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</row>
    <row r="619" spans="1:28" ht="15.75" customHeight="1" x14ac:dyDescent="0.25">
      <c r="A619" s="116"/>
      <c r="B619" s="112"/>
      <c r="C619" s="113"/>
      <c r="D619" s="111"/>
      <c r="E619" s="113"/>
      <c r="F619" s="111"/>
      <c r="G619" s="112"/>
      <c r="H619" s="110"/>
      <c r="I619" s="112"/>
      <c r="J619" s="112"/>
      <c r="K619" s="112"/>
      <c r="L619" s="114"/>
      <c r="M619" s="114"/>
      <c r="N619" s="112"/>
      <c r="O619" s="115"/>
      <c r="P619" s="115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</row>
    <row r="620" spans="1:28" ht="15.75" customHeight="1" x14ac:dyDescent="0.25">
      <c r="A620" s="116"/>
      <c r="B620" s="112"/>
      <c r="C620" s="113"/>
      <c r="D620" s="111"/>
      <c r="E620" s="113"/>
      <c r="F620" s="111"/>
      <c r="G620" s="112"/>
      <c r="H620" s="110"/>
      <c r="I620" s="112"/>
      <c r="J620" s="112"/>
      <c r="K620" s="112"/>
      <c r="L620" s="114"/>
      <c r="M620" s="114"/>
      <c r="N620" s="112"/>
      <c r="O620" s="115"/>
      <c r="P620" s="115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</row>
    <row r="621" spans="1:28" ht="15.75" customHeight="1" x14ac:dyDescent="0.25">
      <c r="A621" s="116"/>
      <c r="B621" s="112"/>
      <c r="C621" s="113"/>
      <c r="D621" s="111"/>
      <c r="E621" s="113"/>
      <c r="F621" s="111"/>
      <c r="G621" s="112"/>
      <c r="H621" s="110"/>
      <c r="I621" s="112"/>
      <c r="J621" s="112"/>
      <c r="K621" s="112"/>
      <c r="L621" s="114"/>
      <c r="M621" s="114"/>
      <c r="N621" s="112"/>
      <c r="O621" s="115"/>
      <c r="P621" s="115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</row>
    <row r="622" spans="1:28" ht="15.75" customHeight="1" x14ac:dyDescent="0.25">
      <c r="A622" s="116"/>
      <c r="B622" s="112"/>
      <c r="C622" s="113"/>
      <c r="D622" s="111"/>
      <c r="E622" s="113"/>
      <c r="F622" s="111"/>
      <c r="G622" s="112"/>
      <c r="H622" s="110"/>
      <c r="I622" s="112"/>
      <c r="J622" s="112"/>
      <c r="K622" s="112"/>
      <c r="L622" s="114"/>
      <c r="M622" s="114"/>
      <c r="N622" s="112"/>
      <c r="O622" s="115"/>
      <c r="P622" s="115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</row>
    <row r="623" spans="1:28" ht="15.75" customHeight="1" x14ac:dyDescent="0.25">
      <c r="A623" s="116"/>
      <c r="B623" s="112"/>
      <c r="C623" s="113"/>
      <c r="D623" s="111"/>
      <c r="E623" s="113"/>
      <c r="F623" s="111"/>
      <c r="G623" s="112"/>
      <c r="H623" s="110"/>
      <c r="I623" s="112"/>
      <c r="J623" s="112"/>
      <c r="K623" s="112"/>
      <c r="L623" s="114"/>
      <c r="M623" s="114"/>
      <c r="N623" s="112"/>
      <c r="O623" s="115"/>
      <c r="P623" s="115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</row>
    <row r="624" spans="1:28" ht="15.75" customHeight="1" x14ac:dyDescent="0.25">
      <c r="A624" s="116"/>
      <c r="B624" s="112"/>
      <c r="C624" s="113"/>
      <c r="D624" s="111"/>
      <c r="E624" s="113"/>
      <c r="F624" s="111"/>
      <c r="G624" s="112"/>
      <c r="H624" s="110"/>
      <c r="I624" s="112"/>
      <c r="J624" s="112"/>
      <c r="K624" s="112"/>
      <c r="L624" s="114"/>
      <c r="M624" s="114"/>
      <c r="N624" s="112"/>
      <c r="O624" s="115"/>
      <c r="P624" s="115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</row>
    <row r="625" spans="1:28" ht="15.75" customHeight="1" x14ac:dyDescent="0.25">
      <c r="A625" s="116"/>
      <c r="B625" s="112"/>
      <c r="C625" s="113"/>
      <c r="D625" s="111"/>
      <c r="E625" s="113"/>
      <c r="F625" s="111"/>
      <c r="G625" s="112"/>
      <c r="H625" s="110"/>
      <c r="I625" s="112"/>
      <c r="J625" s="112"/>
      <c r="K625" s="112"/>
      <c r="L625" s="114"/>
      <c r="M625" s="114"/>
      <c r="N625" s="112"/>
      <c r="O625" s="115"/>
      <c r="P625" s="115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</row>
    <row r="626" spans="1:28" ht="15.75" customHeight="1" x14ac:dyDescent="0.25">
      <c r="A626" s="116"/>
      <c r="B626" s="112"/>
      <c r="C626" s="113"/>
      <c r="D626" s="111"/>
      <c r="E626" s="113"/>
      <c r="F626" s="111"/>
      <c r="G626" s="112"/>
      <c r="H626" s="110"/>
      <c r="I626" s="112"/>
      <c r="J626" s="112"/>
      <c r="K626" s="112"/>
      <c r="L626" s="114"/>
      <c r="M626" s="114"/>
      <c r="N626" s="112"/>
      <c r="O626" s="115"/>
      <c r="P626" s="115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</row>
    <row r="627" spans="1:28" ht="15.75" customHeight="1" x14ac:dyDescent="0.25">
      <c r="A627" s="116"/>
      <c r="B627" s="112"/>
      <c r="C627" s="113"/>
      <c r="D627" s="111"/>
      <c r="E627" s="113"/>
      <c r="F627" s="111"/>
      <c r="G627" s="112"/>
      <c r="H627" s="110"/>
      <c r="I627" s="112"/>
      <c r="J627" s="112"/>
      <c r="K627" s="112"/>
      <c r="L627" s="114"/>
      <c r="M627" s="114"/>
      <c r="N627" s="112"/>
      <c r="O627" s="115"/>
      <c r="P627" s="115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</row>
    <row r="628" spans="1:28" ht="15.75" customHeight="1" x14ac:dyDescent="0.25">
      <c r="A628" s="116"/>
      <c r="B628" s="112"/>
      <c r="C628" s="113"/>
      <c r="D628" s="111"/>
      <c r="E628" s="113"/>
      <c r="F628" s="111"/>
      <c r="G628" s="112"/>
      <c r="H628" s="110"/>
      <c r="I628" s="112"/>
      <c r="J628" s="112"/>
      <c r="K628" s="112"/>
      <c r="L628" s="114"/>
      <c r="M628" s="114"/>
      <c r="N628" s="112"/>
      <c r="O628" s="115"/>
      <c r="P628" s="115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</row>
    <row r="629" spans="1:28" ht="15.75" customHeight="1" x14ac:dyDescent="0.25">
      <c r="A629" s="116"/>
      <c r="B629" s="112"/>
      <c r="C629" s="113"/>
      <c r="D629" s="111"/>
      <c r="E629" s="113"/>
      <c r="F629" s="111"/>
      <c r="G629" s="112"/>
      <c r="H629" s="110"/>
      <c r="I629" s="112"/>
      <c r="J629" s="112"/>
      <c r="K629" s="112"/>
      <c r="L629" s="114"/>
      <c r="M629" s="114"/>
      <c r="N629" s="112"/>
      <c r="O629" s="115"/>
      <c r="P629" s="115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</row>
    <row r="630" spans="1:28" ht="15.75" customHeight="1" x14ac:dyDescent="0.25">
      <c r="A630" s="116"/>
      <c r="B630" s="112"/>
      <c r="C630" s="113"/>
      <c r="D630" s="111"/>
      <c r="E630" s="113"/>
      <c r="F630" s="111"/>
      <c r="G630" s="112"/>
      <c r="H630" s="110"/>
      <c r="I630" s="112"/>
      <c r="J630" s="112"/>
      <c r="K630" s="112"/>
      <c r="L630" s="114"/>
      <c r="M630" s="114"/>
      <c r="N630" s="112"/>
      <c r="O630" s="115"/>
      <c r="P630" s="115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</row>
    <row r="631" spans="1:28" ht="15.75" customHeight="1" x14ac:dyDescent="0.25">
      <c r="A631" s="116"/>
      <c r="B631" s="112"/>
      <c r="C631" s="113"/>
      <c r="D631" s="111"/>
      <c r="E631" s="113"/>
      <c r="F631" s="111"/>
      <c r="G631" s="112"/>
      <c r="H631" s="110"/>
      <c r="I631" s="112"/>
      <c r="J631" s="112"/>
      <c r="K631" s="112"/>
      <c r="L631" s="114"/>
      <c r="M631" s="114"/>
      <c r="N631" s="112"/>
      <c r="O631" s="115"/>
      <c r="P631" s="115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</row>
    <row r="632" spans="1:28" ht="15.75" customHeight="1" x14ac:dyDescent="0.25">
      <c r="A632" s="116"/>
      <c r="B632" s="112"/>
      <c r="C632" s="113"/>
      <c r="D632" s="111"/>
      <c r="E632" s="113"/>
      <c r="F632" s="111"/>
      <c r="G632" s="112"/>
      <c r="H632" s="110"/>
      <c r="I632" s="112"/>
      <c r="J632" s="112"/>
      <c r="K632" s="112"/>
      <c r="L632" s="114"/>
      <c r="M632" s="114"/>
      <c r="N632" s="112"/>
      <c r="O632" s="115"/>
      <c r="P632" s="115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</row>
    <row r="633" spans="1:28" ht="15.75" customHeight="1" x14ac:dyDescent="0.25">
      <c r="A633" s="116"/>
      <c r="B633" s="112"/>
      <c r="C633" s="113"/>
      <c r="D633" s="111"/>
      <c r="E633" s="113"/>
      <c r="F633" s="111"/>
      <c r="G633" s="112"/>
      <c r="H633" s="110"/>
      <c r="I633" s="112"/>
      <c r="J633" s="112"/>
      <c r="K633" s="112"/>
      <c r="L633" s="114"/>
      <c r="M633" s="114"/>
      <c r="N633" s="112"/>
      <c r="O633" s="115"/>
      <c r="P633" s="115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</row>
    <row r="634" spans="1:28" ht="15.75" customHeight="1" x14ac:dyDescent="0.25">
      <c r="A634" s="116"/>
      <c r="B634" s="112"/>
      <c r="C634" s="113"/>
      <c r="D634" s="111"/>
      <c r="E634" s="113"/>
      <c r="F634" s="111"/>
      <c r="G634" s="112"/>
      <c r="H634" s="110"/>
      <c r="I634" s="112"/>
      <c r="J634" s="112"/>
      <c r="K634" s="112"/>
      <c r="L634" s="114"/>
      <c r="M634" s="114"/>
      <c r="N634" s="112"/>
      <c r="O634" s="115"/>
      <c r="P634" s="115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</row>
    <row r="635" spans="1:28" ht="15.75" customHeight="1" x14ac:dyDescent="0.25">
      <c r="A635" s="116"/>
      <c r="B635" s="112"/>
      <c r="C635" s="113"/>
      <c r="D635" s="111"/>
      <c r="E635" s="113"/>
      <c r="F635" s="111"/>
      <c r="G635" s="112"/>
      <c r="H635" s="110"/>
      <c r="I635" s="112"/>
      <c r="J635" s="112"/>
      <c r="K635" s="112"/>
      <c r="L635" s="114"/>
      <c r="M635" s="114"/>
      <c r="N635" s="112"/>
      <c r="O635" s="115"/>
      <c r="P635" s="115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</row>
    <row r="636" spans="1:28" ht="15.75" customHeight="1" x14ac:dyDescent="0.25">
      <c r="A636" s="116"/>
      <c r="B636" s="112"/>
      <c r="C636" s="113"/>
      <c r="D636" s="111"/>
      <c r="E636" s="113"/>
      <c r="F636" s="111"/>
      <c r="G636" s="112"/>
      <c r="H636" s="110"/>
      <c r="I636" s="112"/>
      <c r="J636" s="112"/>
      <c r="K636" s="112"/>
      <c r="L636" s="114"/>
      <c r="M636" s="114"/>
      <c r="N636" s="112"/>
      <c r="O636" s="115"/>
      <c r="P636" s="115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</row>
    <row r="637" spans="1:28" ht="15.75" customHeight="1" x14ac:dyDescent="0.25">
      <c r="A637" s="116"/>
      <c r="B637" s="112"/>
      <c r="C637" s="113"/>
      <c r="D637" s="111"/>
      <c r="E637" s="113"/>
      <c r="F637" s="111"/>
      <c r="G637" s="112"/>
      <c r="H637" s="110"/>
      <c r="I637" s="112"/>
      <c r="J637" s="112"/>
      <c r="K637" s="112"/>
      <c r="L637" s="114"/>
      <c r="M637" s="114"/>
      <c r="N637" s="112"/>
      <c r="O637" s="115"/>
      <c r="P637" s="115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</row>
    <row r="638" spans="1:28" ht="15.75" customHeight="1" x14ac:dyDescent="0.25">
      <c r="A638" s="116"/>
      <c r="B638" s="112"/>
      <c r="C638" s="113"/>
      <c r="D638" s="111"/>
      <c r="E638" s="113"/>
      <c r="F638" s="111"/>
      <c r="G638" s="112"/>
      <c r="H638" s="110"/>
      <c r="I638" s="112"/>
      <c r="J638" s="112"/>
      <c r="K638" s="112"/>
      <c r="L638" s="114"/>
      <c r="M638" s="114"/>
      <c r="N638" s="112"/>
      <c r="O638" s="115"/>
      <c r="P638" s="115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</row>
    <row r="639" spans="1:28" ht="15.75" customHeight="1" x14ac:dyDescent="0.25">
      <c r="A639" s="116"/>
      <c r="B639" s="112"/>
      <c r="C639" s="113"/>
      <c r="D639" s="111"/>
      <c r="E639" s="113"/>
      <c r="F639" s="111"/>
      <c r="G639" s="112"/>
      <c r="H639" s="110"/>
      <c r="I639" s="112"/>
      <c r="J639" s="112"/>
      <c r="K639" s="112"/>
      <c r="L639" s="114"/>
      <c r="M639" s="114"/>
      <c r="N639" s="112"/>
      <c r="O639" s="115"/>
      <c r="P639" s="115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</row>
    <row r="640" spans="1:28" ht="15.75" customHeight="1" x14ac:dyDescent="0.25">
      <c r="A640" s="116"/>
      <c r="B640" s="112"/>
      <c r="C640" s="113"/>
      <c r="D640" s="111"/>
      <c r="E640" s="113"/>
      <c r="F640" s="111"/>
      <c r="G640" s="112"/>
      <c r="H640" s="110"/>
      <c r="I640" s="112"/>
      <c r="J640" s="112"/>
      <c r="K640" s="112"/>
      <c r="L640" s="114"/>
      <c r="M640" s="114"/>
      <c r="N640" s="112"/>
      <c r="O640" s="115"/>
      <c r="P640" s="115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</row>
    <row r="641" spans="1:28" ht="15.75" customHeight="1" x14ac:dyDescent="0.25">
      <c r="A641" s="116"/>
      <c r="B641" s="112"/>
      <c r="C641" s="113"/>
      <c r="D641" s="111"/>
      <c r="E641" s="113"/>
      <c r="F641" s="111"/>
      <c r="G641" s="112"/>
      <c r="H641" s="110"/>
      <c r="I641" s="112"/>
      <c r="J641" s="112"/>
      <c r="K641" s="112"/>
      <c r="L641" s="114"/>
      <c r="M641" s="114"/>
      <c r="N641" s="112"/>
      <c r="O641" s="115"/>
      <c r="P641" s="115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</row>
    <row r="642" spans="1:28" ht="15.75" customHeight="1" x14ac:dyDescent="0.25">
      <c r="A642" s="116"/>
      <c r="B642" s="112"/>
      <c r="C642" s="113"/>
      <c r="D642" s="111"/>
      <c r="E642" s="113"/>
      <c r="F642" s="111"/>
      <c r="G642" s="112"/>
      <c r="H642" s="110"/>
      <c r="I642" s="112"/>
      <c r="J642" s="112"/>
      <c r="K642" s="112"/>
      <c r="L642" s="114"/>
      <c r="M642" s="114"/>
      <c r="N642" s="112"/>
      <c r="O642" s="115"/>
      <c r="P642" s="115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</row>
    <row r="643" spans="1:28" ht="15.75" customHeight="1" x14ac:dyDescent="0.25">
      <c r="A643" s="116"/>
      <c r="B643" s="112"/>
      <c r="C643" s="113"/>
      <c r="D643" s="111"/>
      <c r="E643" s="113"/>
      <c r="F643" s="111"/>
      <c r="G643" s="112"/>
      <c r="H643" s="110"/>
      <c r="I643" s="112"/>
      <c r="J643" s="112"/>
      <c r="K643" s="112"/>
      <c r="L643" s="114"/>
      <c r="M643" s="114"/>
      <c r="N643" s="112"/>
      <c r="O643" s="115"/>
      <c r="P643" s="115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</row>
    <row r="644" spans="1:28" ht="15.75" customHeight="1" x14ac:dyDescent="0.25">
      <c r="A644" s="116"/>
      <c r="B644" s="112"/>
      <c r="C644" s="113"/>
      <c r="D644" s="111"/>
      <c r="E644" s="113"/>
      <c r="F644" s="111"/>
      <c r="G644" s="112"/>
      <c r="H644" s="110"/>
      <c r="I644" s="112"/>
      <c r="J644" s="112"/>
      <c r="K644" s="112"/>
      <c r="L644" s="114"/>
      <c r="M644" s="114"/>
      <c r="N644" s="112"/>
      <c r="O644" s="115"/>
      <c r="P644" s="115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</row>
    <row r="645" spans="1:28" ht="15.75" customHeight="1" x14ac:dyDescent="0.25">
      <c r="A645" s="116"/>
      <c r="B645" s="112"/>
      <c r="C645" s="113"/>
      <c r="D645" s="111"/>
      <c r="E645" s="113"/>
      <c r="F645" s="111"/>
      <c r="G645" s="112"/>
      <c r="H645" s="110"/>
      <c r="I645" s="112"/>
      <c r="J645" s="112"/>
      <c r="K645" s="112"/>
      <c r="L645" s="114"/>
      <c r="M645" s="114"/>
      <c r="N645" s="112"/>
      <c r="O645" s="115"/>
      <c r="P645" s="115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</row>
    <row r="646" spans="1:28" ht="15.75" customHeight="1" x14ac:dyDescent="0.25">
      <c r="A646" s="116"/>
      <c r="B646" s="112"/>
      <c r="C646" s="113"/>
      <c r="D646" s="111"/>
      <c r="E646" s="113"/>
      <c r="F646" s="111"/>
      <c r="G646" s="112"/>
      <c r="H646" s="110"/>
      <c r="I646" s="112"/>
      <c r="J646" s="112"/>
      <c r="K646" s="112"/>
      <c r="L646" s="114"/>
      <c r="M646" s="114"/>
      <c r="N646" s="112"/>
      <c r="O646" s="115"/>
      <c r="P646" s="115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</row>
    <row r="647" spans="1:28" ht="15.75" customHeight="1" x14ac:dyDescent="0.25">
      <c r="A647" s="116"/>
      <c r="B647" s="112"/>
      <c r="C647" s="113"/>
      <c r="D647" s="111"/>
      <c r="E647" s="113"/>
      <c r="F647" s="111"/>
      <c r="G647" s="112"/>
      <c r="H647" s="110"/>
      <c r="I647" s="112"/>
      <c r="J647" s="112"/>
      <c r="K647" s="112"/>
      <c r="L647" s="114"/>
      <c r="M647" s="114"/>
      <c r="N647" s="112"/>
      <c r="O647" s="115"/>
      <c r="P647" s="115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</row>
    <row r="648" spans="1:28" ht="15.75" customHeight="1" x14ac:dyDescent="0.25">
      <c r="A648" s="116"/>
      <c r="B648" s="112"/>
      <c r="C648" s="113"/>
      <c r="D648" s="111"/>
      <c r="E648" s="113"/>
      <c r="F648" s="111"/>
      <c r="G648" s="112"/>
      <c r="H648" s="110"/>
      <c r="I648" s="112"/>
      <c r="J648" s="112"/>
      <c r="K648" s="112"/>
      <c r="L648" s="114"/>
      <c r="M648" s="114"/>
      <c r="N648" s="112"/>
      <c r="O648" s="115"/>
      <c r="P648" s="115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</row>
    <row r="649" spans="1:28" ht="15.75" customHeight="1" x14ac:dyDescent="0.25">
      <c r="A649" s="116"/>
      <c r="B649" s="112"/>
      <c r="C649" s="113"/>
      <c r="D649" s="111"/>
      <c r="E649" s="113"/>
      <c r="F649" s="111"/>
      <c r="G649" s="112"/>
      <c r="H649" s="110"/>
      <c r="I649" s="112"/>
      <c r="J649" s="112"/>
      <c r="K649" s="112"/>
      <c r="L649" s="114"/>
      <c r="M649" s="114"/>
      <c r="N649" s="112"/>
      <c r="O649" s="115"/>
      <c r="P649" s="115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</row>
    <row r="650" spans="1:28" ht="15.75" customHeight="1" x14ac:dyDescent="0.25">
      <c r="A650" s="116"/>
      <c r="B650" s="112"/>
      <c r="C650" s="113"/>
      <c r="D650" s="111"/>
      <c r="E650" s="113"/>
      <c r="F650" s="111"/>
      <c r="G650" s="112"/>
      <c r="H650" s="110"/>
      <c r="I650" s="112"/>
      <c r="J650" s="112"/>
      <c r="K650" s="112"/>
      <c r="L650" s="114"/>
      <c r="M650" s="114"/>
      <c r="N650" s="112"/>
      <c r="O650" s="115"/>
      <c r="P650" s="115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</row>
    <row r="651" spans="1:28" ht="15.75" customHeight="1" x14ac:dyDescent="0.25">
      <c r="A651" s="116"/>
      <c r="B651" s="112"/>
      <c r="C651" s="113"/>
      <c r="D651" s="111"/>
      <c r="E651" s="113"/>
      <c r="F651" s="111"/>
      <c r="G651" s="112"/>
      <c r="H651" s="110"/>
      <c r="I651" s="112"/>
      <c r="J651" s="112"/>
      <c r="K651" s="112"/>
      <c r="L651" s="114"/>
      <c r="M651" s="114"/>
      <c r="N651" s="112"/>
      <c r="O651" s="115"/>
      <c r="P651" s="115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</row>
    <row r="652" spans="1:28" ht="15.75" customHeight="1" x14ac:dyDescent="0.25">
      <c r="A652" s="116"/>
      <c r="B652" s="112"/>
      <c r="C652" s="113"/>
      <c r="D652" s="111"/>
      <c r="E652" s="113"/>
      <c r="F652" s="111"/>
      <c r="G652" s="112"/>
      <c r="H652" s="110"/>
      <c r="I652" s="112"/>
      <c r="J652" s="112"/>
      <c r="K652" s="112"/>
      <c r="L652" s="114"/>
      <c r="M652" s="114"/>
      <c r="N652" s="112"/>
      <c r="O652" s="115"/>
      <c r="P652" s="115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</row>
    <row r="653" spans="1:28" ht="15.75" customHeight="1" x14ac:dyDescent="0.25">
      <c r="A653" s="116"/>
      <c r="B653" s="112"/>
      <c r="C653" s="113"/>
      <c r="D653" s="111"/>
      <c r="E653" s="113"/>
      <c r="F653" s="111"/>
      <c r="G653" s="112"/>
      <c r="H653" s="110"/>
      <c r="I653" s="112"/>
      <c r="J653" s="112"/>
      <c r="K653" s="112"/>
      <c r="L653" s="114"/>
      <c r="M653" s="114"/>
      <c r="N653" s="112"/>
      <c r="O653" s="115"/>
      <c r="P653" s="115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</row>
    <row r="654" spans="1:28" ht="15.75" customHeight="1" x14ac:dyDescent="0.25">
      <c r="A654" s="116"/>
      <c r="B654" s="112"/>
      <c r="C654" s="113"/>
      <c r="D654" s="111"/>
      <c r="E654" s="113"/>
      <c r="F654" s="111"/>
      <c r="G654" s="112"/>
      <c r="H654" s="110"/>
      <c r="I654" s="112"/>
      <c r="J654" s="112"/>
      <c r="K654" s="112"/>
      <c r="L654" s="114"/>
      <c r="M654" s="114"/>
      <c r="N654" s="112"/>
      <c r="O654" s="115"/>
      <c r="P654" s="115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</row>
    <row r="655" spans="1:28" ht="15.75" customHeight="1" x14ac:dyDescent="0.25">
      <c r="A655" s="116"/>
      <c r="B655" s="112"/>
      <c r="C655" s="113"/>
      <c r="D655" s="111"/>
      <c r="E655" s="113"/>
      <c r="F655" s="111"/>
      <c r="G655" s="112"/>
      <c r="H655" s="110"/>
      <c r="I655" s="112"/>
      <c r="J655" s="112"/>
      <c r="K655" s="112"/>
      <c r="L655" s="114"/>
      <c r="M655" s="114"/>
      <c r="N655" s="112"/>
      <c r="O655" s="115"/>
      <c r="P655" s="115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</row>
    <row r="656" spans="1:28" ht="15.75" customHeight="1" x14ac:dyDescent="0.25">
      <c r="A656" s="116"/>
      <c r="B656" s="112"/>
      <c r="C656" s="113"/>
      <c r="D656" s="111"/>
      <c r="E656" s="113"/>
      <c r="F656" s="111"/>
      <c r="G656" s="112"/>
      <c r="H656" s="110"/>
      <c r="I656" s="112"/>
      <c r="J656" s="112"/>
      <c r="K656" s="112"/>
      <c r="L656" s="114"/>
      <c r="M656" s="114"/>
      <c r="N656" s="112"/>
      <c r="O656" s="115"/>
      <c r="P656" s="115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</row>
    <row r="657" spans="1:28" ht="15.75" customHeight="1" x14ac:dyDescent="0.25">
      <c r="A657" s="116"/>
      <c r="B657" s="112"/>
      <c r="C657" s="113"/>
      <c r="D657" s="111"/>
      <c r="E657" s="113"/>
      <c r="F657" s="111"/>
      <c r="G657" s="112"/>
      <c r="H657" s="110"/>
      <c r="I657" s="112"/>
      <c r="J657" s="112"/>
      <c r="K657" s="112"/>
      <c r="L657" s="114"/>
      <c r="M657" s="114"/>
      <c r="N657" s="112"/>
      <c r="O657" s="115"/>
      <c r="P657" s="115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</row>
    <row r="658" spans="1:28" ht="15.75" customHeight="1" x14ac:dyDescent="0.25">
      <c r="A658" s="116"/>
      <c r="B658" s="112"/>
      <c r="C658" s="113"/>
      <c r="D658" s="111"/>
      <c r="E658" s="113"/>
      <c r="F658" s="111"/>
      <c r="G658" s="112"/>
      <c r="H658" s="110"/>
      <c r="I658" s="112"/>
      <c r="J658" s="112"/>
      <c r="K658" s="112"/>
      <c r="L658" s="114"/>
      <c r="M658" s="114"/>
      <c r="N658" s="112"/>
      <c r="O658" s="115"/>
      <c r="P658" s="115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</row>
    <row r="659" spans="1:28" ht="15.75" customHeight="1" x14ac:dyDescent="0.25">
      <c r="A659" s="116"/>
      <c r="B659" s="112"/>
      <c r="C659" s="113"/>
      <c r="D659" s="111"/>
      <c r="E659" s="113"/>
      <c r="F659" s="111"/>
      <c r="G659" s="112"/>
      <c r="H659" s="110"/>
      <c r="I659" s="112"/>
      <c r="J659" s="112"/>
      <c r="K659" s="112"/>
      <c r="L659" s="114"/>
      <c r="M659" s="114"/>
      <c r="N659" s="112"/>
      <c r="O659" s="115"/>
      <c r="P659" s="115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</row>
    <row r="660" spans="1:28" ht="15.75" customHeight="1" x14ac:dyDescent="0.25">
      <c r="A660" s="116"/>
      <c r="B660" s="112"/>
      <c r="C660" s="113"/>
      <c r="D660" s="111"/>
      <c r="E660" s="113"/>
      <c r="F660" s="111"/>
      <c r="G660" s="112"/>
      <c r="H660" s="110"/>
      <c r="I660" s="112"/>
      <c r="J660" s="112"/>
      <c r="K660" s="112"/>
      <c r="L660" s="114"/>
      <c r="M660" s="114"/>
      <c r="N660" s="112"/>
      <c r="O660" s="115"/>
      <c r="P660" s="115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</row>
    <row r="661" spans="1:28" ht="15.75" customHeight="1" x14ac:dyDescent="0.25">
      <c r="A661" s="116"/>
      <c r="B661" s="112"/>
      <c r="C661" s="113"/>
      <c r="D661" s="111"/>
      <c r="E661" s="113"/>
      <c r="F661" s="111"/>
      <c r="G661" s="112"/>
      <c r="H661" s="110"/>
      <c r="I661" s="112"/>
      <c r="J661" s="112"/>
      <c r="K661" s="112"/>
      <c r="L661" s="114"/>
      <c r="M661" s="114"/>
      <c r="N661" s="112"/>
      <c r="O661" s="115"/>
      <c r="P661" s="115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</row>
    <row r="662" spans="1:28" ht="15.75" customHeight="1" x14ac:dyDescent="0.25">
      <c r="A662" s="116"/>
      <c r="B662" s="112"/>
      <c r="C662" s="113"/>
      <c r="D662" s="111"/>
      <c r="E662" s="113"/>
      <c r="F662" s="111"/>
      <c r="G662" s="112"/>
      <c r="H662" s="110"/>
      <c r="I662" s="112"/>
      <c r="J662" s="112"/>
      <c r="K662" s="112"/>
      <c r="L662" s="114"/>
      <c r="M662" s="114"/>
      <c r="N662" s="112"/>
      <c r="O662" s="115"/>
      <c r="P662" s="115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</row>
    <row r="663" spans="1:28" ht="15.75" customHeight="1" x14ac:dyDescent="0.25">
      <c r="A663" s="116"/>
      <c r="B663" s="112"/>
      <c r="C663" s="113"/>
      <c r="D663" s="111"/>
      <c r="E663" s="113"/>
      <c r="F663" s="111"/>
      <c r="G663" s="112"/>
      <c r="H663" s="110"/>
      <c r="I663" s="112"/>
      <c r="J663" s="112"/>
      <c r="K663" s="112"/>
      <c r="L663" s="114"/>
      <c r="M663" s="114"/>
      <c r="N663" s="112"/>
      <c r="O663" s="115"/>
      <c r="P663" s="115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</row>
    <row r="664" spans="1:28" ht="15.75" customHeight="1" x14ac:dyDescent="0.25">
      <c r="A664" s="116"/>
      <c r="B664" s="112"/>
      <c r="C664" s="113"/>
      <c r="D664" s="111"/>
      <c r="E664" s="113"/>
      <c r="F664" s="111"/>
      <c r="G664" s="112"/>
      <c r="H664" s="110"/>
      <c r="I664" s="112"/>
      <c r="J664" s="112"/>
      <c r="K664" s="112"/>
      <c r="L664" s="114"/>
      <c r="M664" s="114"/>
      <c r="N664" s="112"/>
      <c r="O664" s="115"/>
      <c r="P664" s="115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</row>
    <row r="665" spans="1:28" ht="15.75" customHeight="1" x14ac:dyDescent="0.25">
      <c r="A665" s="116"/>
      <c r="B665" s="112"/>
      <c r="C665" s="113"/>
      <c r="D665" s="111"/>
      <c r="E665" s="113"/>
      <c r="F665" s="111"/>
      <c r="G665" s="112"/>
      <c r="H665" s="110"/>
      <c r="I665" s="112"/>
      <c r="J665" s="112"/>
      <c r="K665" s="112"/>
      <c r="L665" s="114"/>
      <c r="M665" s="114"/>
      <c r="N665" s="112"/>
      <c r="O665" s="115"/>
      <c r="P665" s="115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</row>
    <row r="666" spans="1:28" ht="15.75" customHeight="1" x14ac:dyDescent="0.25">
      <c r="A666" s="116"/>
      <c r="B666" s="112"/>
      <c r="C666" s="113"/>
      <c r="D666" s="111"/>
      <c r="E666" s="113"/>
      <c r="F666" s="111"/>
      <c r="G666" s="112"/>
      <c r="H666" s="110"/>
      <c r="I666" s="112"/>
      <c r="J666" s="112"/>
      <c r="K666" s="112"/>
      <c r="L666" s="114"/>
      <c r="M666" s="114"/>
      <c r="N666" s="112"/>
      <c r="O666" s="115"/>
      <c r="P666" s="115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</row>
    <row r="667" spans="1:28" ht="15.75" customHeight="1" x14ac:dyDescent="0.25">
      <c r="A667" s="116"/>
      <c r="B667" s="112"/>
      <c r="C667" s="113"/>
      <c r="D667" s="111"/>
      <c r="E667" s="113"/>
      <c r="F667" s="111"/>
      <c r="G667" s="112"/>
      <c r="H667" s="110"/>
      <c r="I667" s="112"/>
      <c r="J667" s="112"/>
      <c r="K667" s="112"/>
      <c r="L667" s="114"/>
      <c r="M667" s="114"/>
      <c r="N667" s="112"/>
      <c r="O667" s="115"/>
      <c r="P667" s="115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</row>
    <row r="668" spans="1:28" ht="15.75" customHeight="1" x14ac:dyDescent="0.25">
      <c r="A668" s="116"/>
      <c r="B668" s="112"/>
      <c r="C668" s="113"/>
      <c r="D668" s="111"/>
      <c r="E668" s="113"/>
      <c r="F668" s="111"/>
      <c r="G668" s="112"/>
      <c r="H668" s="110"/>
      <c r="I668" s="112"/>
      <c r="J668" s="112"/>
      <c r="K668" s="112"/>
      <c r="L668" s="114"/>
      <c r="M668" s="114"/>
      <c r="N668" s="112"/>
      <c r="O668" s="115"/>
      <c r="P668" s="115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</row>
    <row r="669" spans="1:28" ht="15.75" customHeight="1" x14ac:dyDescent="0.25">
      <c r="A669" s="116"/>
      <c r="B669" s="112"/>
      <c r="C669" s="113"/>
      <c r="D669" s="111"/>
      <c r="E669" s="113"/>
      <c r="F669" s="111"/>
      <c r="G669" s="112"/>
      <c r="H669" s="110"/>
      <c r="I669" s="112"/>
      <c r="J669" s="112"/>
      <c r="K669" s="112"/>
      <c r="L669" s="114"/>
      <c r="M669" s="114"/>
      <c r="N669" s="112"/>
      <c r="O669" s="115"/>
      <c r="P669" s="115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</row>
    <row r="670" spans="1:28" ht="15.75" customHeight="1" x14ac:dyDescent="0.25">
      <c r="A670" s="116"/>
      <c r="B670" s="112"/>
      <c r="C670" s="113"/>
      <c r="D670" s="111"/>
      <c r="E670" s="113"/>
      <c r="F670" s="111"/>
      <c r="G670" s="112"/>
      <c r="H670" s="110"/>
      <c r="I670" s="112"/>
      <c r="J670" s="112"/>
      <c r="K670" s="112"/>
      <c r="L670" s="114"/>
      <c r="M670" s="114"/>
      <c r="N670" s="112"/>
      <c r="O670" s="115"/>
      <c r="P670" s="115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</row>
    <row r="671" spans="1:28" ht="15.75" customHeight="1" x14ac:dyDescent="0.25">
      <c r="A671" s="116"/>
      <c r="B671" s="112"/>
      <c r="C671" s="113"/>
      <c r="D671" s="111"/>
      <c r="E671" s="113"/>
      <c r="F671" s="111"/>
      <c r="G671" s="112"/>
      <c r="H671" s="110"/>
      <c r="I671" s="112"/>
      <c r="J671" s="112"/>
      <c r="K671" s="112"/>
      <c r="L671" s="114"/>
      <c r="M671" s="114"/>
      <c r="N671" s="112"/>
      <c r="O671" s="115"/>
      <c r="P671" s="115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</row>
    <row r="672" spans="1:28" ht="15.75" customHeight="1" x14ac:dyDescent="0.25">
      <c r="A672" s="116"/>
      <c r="B672" s="112"/>
      <c r="C672" s="113"/>
      <c r="D672" s="111"/>
      <c r="E672" s="113"/>
      <c r="F672" s="111"/>
      <c r="G672" s="112"/>
      <c r="H672" s="110"/>
      <c r="I672" s="112"/>
      <c r="J672" s="112"/>
      <c r="K672" s="112"/>
      <c r="L672" s="114"/>
      <c r="M672" s="114"/>
      <c r="N672" s="112"/>
      <c r="O672" s="115"/>
      <c r="P672" s="115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</row>
    <row r="673" spans="1:28" ht="15.75" customHeight="1" x14ac:dyDescent="0.25">
      <c r="A673" s="116"/>
      <c r="B673" s="112"/>
      <c r="C673" s="113"/>
      <c r="D673" s="111"/>
      <c r="E673" s="113"/>
      <c r="F673" s="111"/>
      <c r="G673" s="112"/>
      <c r="H673" s="110"/>
      <c r="I673" s="112"/>
      <c r="J673" s="112"/>
      <c r="K673" s="112"/>
      <c r="L673" s="114"/>
      <c r="M673" s="114"/>
      <c r="N673" s="112"/>
      <c r="O673" s="115"/>
      <c r="P673" s="115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</row>
    <row r="674" spans="1:28" ht="15.75" customHeight="1" x14ac:dyDescent="0.25">
      <c r="A674" s="116"/>
      <c r="B674" s="112"/>
      <c r="C674" s="113"/>
      <c r="D674" s="111"/>
      <c r="E674" s="113"/>
      <c r="F674" s="111"/>
      <c r="G674" s="112"/>
      <c r="H674" s="110"/>
      <c r="I674" s="112"/>
      <c r="J674" s="112"/>
      <c r="K674" s="112"/>
      <c r="L674" s="114"/>
      <c r="M674" s="114"/>
      <c r="N674" s="112"/>
      <c r="O674" s="115"/>
      <c r="P674" s="115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</row>
    <row r="675" spans="1:28" ht="15.75" customHeight="1" x14ac:dyDescent="0.25">
      <c r="A675" s="116"/>
      <c r="B675" s="112"/>
      <c r="C675" s="113"/>
      <c r="D675" s="111"/>
      <c r="E675" s="113"/>
      <c r="F675" s="111"/>
      <c r="G675" s="112"/>
      <c r="H675" s="110"/>
      <c r="I675" s="112"/>
      <c r="J675" s="112"/>
      <c r="K675" s="112"/>
      <c r="L675" s="114"/>
      <c r="M675" s="114"/>
      <c r="N675" s="112"/>
      <c r="O675" s="115"/>
      <c r="P675" s="115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</row>
    <row r="676" spans="1:28" ht="15.75" customHeight="1" x14ac:dyDescent="0.25">
      <c r="A676" s="116"/>
      <c r="B676" s="112"/>
      <c r="C676" s="113"/>
      <c r="D676" s="111"/>
      <c r="E676" s="113"/>
      <c r="F676" s="111"/>
      <c r="G676" s="112"/>
      <c r="H676" s="110"/>
      <c r="I676" s="112"/>
      <c r="J676" s="112"/>
      <c r="K676" s="112"/>
      <c r="L676" s="114"/>
      <c r="M676" s="114"/>
      <c r="N676" s="112"/>
      <c r="O676" s="115"/>
      <c r="P676" s="115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</row>
    <row r="677" spans="1:28" ht="15.75" customHeight="1" x14ac:dyDescent="0.25">
      <c r="A677" s="116"/>
      <c r="B677" s="112"/>
      <c r="C677" s="113"/>
      <c r="D677" s="111"/>
      <c r="E677" s="113"/>
      <c r="F677" s="111"/>
      <c r="G677" s="112"/>
      <c r="H677" s="110"/>
      <c r="I677" s="112"/>
      <c r="J677" s="112"/>
      <c r="K677" s="112"/>
      <c r="L677" s="114"/>
      <c r="M677" s="114"/>
      <c r="N677" s="112"/>
      <c r="O677" s="115"/>
      <c r="P677" s="115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</row>
    <row r="678" spans="1:28" ht="15.75" customHeight="1" x14ac:dyDescent="0.25">
      <c r="A678" s="116"/>
      <c r="B678" s="112"/>
      <c r="C678" s="113"/>
      <c r="D678" s="111"/>
      <c r="E678" s="113"/>
      <c r="F678" s="111"/>
      <c r="G678" s="112"/>
      <c r="H678" s="110"/>
      <c r="I678" s="112"/>
      <c r="J678" s="112"/>
      <c r="K678" s="112"/>
      <c r="L678" s="114"/>
      <c r="M678" s="114"/>
      <c r="N678" s="112"/>
      <c r="O678" s="115"/>
      <c r="P678" s="115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</row>
    <row r="679" spans="1:28" ht="15.75" customHeight="1" x14ac:dyDescent="0.25">
      <c r="A679" s="116"/>
      <c r="B679" s="112"/>
      <c r="C679" s="113"/>
      <c r="D679" s="111"/>
      <c r="E679" s="113"/>
      <c r="F679" s="111"/>
      <c r="G679" s="112"/>
      <c r="H679" s="110"/>
      <c r="I679" s="112"/>
      <c r="J679" s="112"/>
      <c r="K679" s="112"/>
      <c r="L679" s="114"/>
      <c r="M679" s="114"/>
      <c r="N679" s="112"/>
      <c r="O679" s="115"/>
      <c r="P679" s="115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</row>
    <row r="680" spans="1:28" ht="15.75" customHeight="1" x14ac:dyDescent="0.25">
      <c r="A680" s="116"/>
      <c r="B680" s="112"/>
      <c r="C680" s="113"/>
      <c r="D680" s="111"/>
      <c r="E680" s="113"/>
      <c r="F680" s="111"/>
      <c r="G680" s="112"/>
      <c r="H680" s="110"/>
      <c r="I680" s="112"/>
      <c r="J680" s="112"/>
      <c r="K680" s="112"/>
      <c r="L680" s="114"/>
      <c r="M680" s="114"/>
      <c r="N680" s="112"/>
      <c r="O680" s="115"/>
      <c r="P680" s="115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</row>
    <row r="681" spans="1:28" ht="15.75" customHeight="1" x14ac:dyDescent="0.25">
      <c r="A681" s="116"/>
      <c r="B681" s="112"/>
      <c r="C681" s="113"/>
      <c r="D681" s="111"/>
      <c r="E681" s="113"/>
      <c r="F681" s="111"/>
      <c r="G681" s="112"/>
      <c r="H681" s="110"/>
      <c r="I681" s="112"/>
      <c r="J681" s="112"/>
      <c r="K681" s="112"/>
      <c r="L681" s="114"/>
      <c r="M681" s="114"/>
      <c r="N681" s="112"/>
      <c r="O681" s="115"/>
      <c r="P681" s="115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</row>
    <row r="682" spans="1:28" ht="15.75" customHeight="1" x14ac:dyDescent="0.25">
      <c r="A682" s="116"/>
      <c r="B682" s="112"/>
      <c r="C682" s="113"/>
      <c r="D682" s="111"/>
      <c r="E682" s="113"/>
      <c r="F682" s="111"/>
      <c r="G682" s="112"/>
      <c r="H682" s="110"/>
      <c r="I682" s="112"/>
      <c r="J682" s="112"/>
      <c r="K682" s="112"/>
      <c r="L682" s="114"/>
      <c r="M682" s="114"/>
      <c r="N682" s="112"/>
      <c r="O682" s="115"/>
      <c r="P682" s="115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</row>
    <row r="683" spans="1:28" ht="15.75" customHeight="1" x14ac:dyDescent="0.25">
      <c r="A683" s="116"/>
      <c r="B683" s="112"/>
      <c r="C683" s="113"/>
      <c r="D683" s="111"/>
      <c r="E683" s="113"/>
      <c r="F683" s="111"/>
      <c r="G683" s="112"/>
      <c r="H683" s="110"/>
      <c r="I683" s="112"/>
      <c r="J683" s="112"/>
      <c r="K683" s="112"/>
      <c r="L683" s="114"/>
      <c r="M683" s="114"/>
      <c r="N683" s="112"/>
      <c r="O683" s="115"/>
      <c r="P683" s="115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</row>
    <row r="684" spans="1:28" ht="15.75" customHeight="1" x14ac:dyDescent="0.25">
      <c r="A684" s="116"/>
      <c r="B684" s="112"/>
      <c r="C684" s="113"/>
      <c r="D684" s="111"/>
      <c r="E684" s="113"/>
      <c r="F684" s="111"/>
      <c r="G684" s="112"/>
      <c r="H684" s="110"/>
      <c r="I684" s="112"/>
      <c r="J684" s="112"/>
      <c r="K684" s="112"/>
      <c r="L684" s="114"/>
      <c r="M684" s="114"/>
      <c r="N684" s="112"/>
      <c r="O684" s="115"/>
      <c r="P684" s="115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</row>
    <row r="685" spans="1:28" ht="15.75" customHeight="1" x14ac:dyDescent="0.25">
      <c r="A685" s="116"/>
      <c r="B685" s="112"/>
      <c r="C685" s="113"/>
      <c r="D685" s="111"/>
      <c r="E685" s="113"/>
      <c r="F685" s="111"/>
      <c r="G685" s="112"/>
      <c r="H685" s="110"/>
      <c r="I685" s="112"/>
      <c r="J685" s="112"/>
      <c r="K685" s="112"/>
      <c r="L685" s="114"/>
      <c r="M685" s="114"/>
      <c r="N685" s="112"/>
      <c r="O685" s="115"/>
      <c r="P685" s="115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</row>
    <row r="686" spans="1:28" ht="15.75" customHeight="1" x14ac:dyDescent="0.25">
      <c r="A686" s="116"/>
      <c r="B686" s="112"/>
      <c r="C686" s="113"/>
      <c r="D686" s="111"/>
      <c r="E686" s="113"/>
      <c r="F686" s="111"/>
      <c r="G686" s="112"/>
      <c r="H686" s="110"/>
      <c r="I686" s="112"/>
      <c r="J686" s="112"/>
      <c r="K686" s="112"/>
      <c r="L686" s="114"/>
      <c r="M686" s="114"/>
      <c r="N686" s="112"/>
      <c r="O686" s="115"/>
      <c r="P686" s="115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</row>
    <row r="687" spans="1:28" ht="15.75" customHeight="1" x14ac:dyDescent="0.25">
      <c r="A687" s="116"/>
      <c r="B687" s="112"/>
      <c r="C687" s="113"/>
      <c r="D687" s="111"/>
      <c r="E687" s="113"/>
      <c r="F687" s="111"/>
      <c r="G687" s="112"/>
      <c r="H687" s="110"/>
      <c r="I687" s="112"/>
      <c r="J687" s="112"/>
      <c r="K687" s="112"/>
      <c r="L687" s="114"/>
      <c r="M687" s="114"/>
      <c r="N687" s="112"/>
      <c r="O687" s="115"/>
      <c r="P687" s="115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</row>
    <row r="688" spans="1:28" ht="15.75" customHeight="1" x14ac:dyDescent="0.25">
      <c r="A688" s="116"/>
      <c r="B688" s="112"/>
      <c r="C688" s="113"/>
      <c r="D688" s="111"/>
      <c r="E688" s="113"/>
      <c r="F688" s="111"/>
      <c r="G688" s="112"/>
      <c r="H688" s="110"/>
      <c r="I688" s="112"/>
      <c r="J688" s="112"/>
      <c r="K688" s="112"/>
      <c r="L688" s="114"/>
      <c r="M688" s="114"/>
      <c r="N688" s="112"/>
      <c r="O688" s="115"/>
      <c r="P688" s="115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</row>
    <row r="689" spans="1:28" ht="15.75" customHeight="1" x14ac:dyDescent="0.25">
      <c r="A689" s="116"/>
      <c r="B689" s="112"/>
      <c r="C689" s="113"/>
      <c r="D689" s="111"/>
      <c r="E689" s="113"/>
      <c r="F689" s="111"/>
      <c r="G689" s="112"/>
      <c r="H689" s="110"/>
      <c r="I689" s="112"/>
      <c r="J689" s="112"/>
      <c r="K689" s="112"/>
      <c r="L689" s="114"/>
      <c r="M689" s="114"/>
      <c r="N689" s="112"/>
      <c r="O689" s="115"/>
      <c r="P689" s="115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</row>
    <row r="690" spans="1:28" ht="15.75" customHeight="1" x14ac:dyDescent="0.25">
      <c r="A690" s="116"/>
      <c r="B690" s="112"/>
      <c r="C690" s="113"/>
      <c r="D690" s="111"/>
      <c r="E690" s="113"/>
      <c r="F690" s="111"/>
      <c r="G690" s="112"/>
      <c r="H690" s="110"/>
      <c r="I690" s="112"/>
      <c r="J690" s="112"/>
      <c r="K690" s="112"/>
      <c r="L690" s="114"/>
      <c r="M690" s="114"/>
      <c r="N690" s="112"/>
      <c r="O690" s="115"/>
      <c r="P690" s="115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</row>
    <row r="691" spans="1:28" ht="15.75" customHeight="1" x14ac:dyDescent="0.25">
      <c r="A691" s="116"/>
      <c r="B691" s="112"/>
      <c r="C691" s="113"/>
      <c r="D691" s="111"/>
      <c r="E691" s="113"/>
      <c r="F691" s="111"/>
      <c r="G691" s="112"/>
      <c r="H691" s="110"/>
      <c r="I691" s="112"/>
      <c r="J691" s="112"/>
      <c r="K691" s="112"/>
      <c r="L691" s="114"/>
      <c r="M691" s="114"/>
      <c r="N691" s="112"/>
      <c r="O691" s="115"/>
      <c r="P691" s="115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</row>
    <row r="692" spans="1:28" ht="15.75" customHeight="1" x14ac:dyDescent="0.25">
      <c r="A692" s="116"/>
      <c r="B692" s="112"/>
      <c r="C692" s="113"/>
      <c r="D692" s="111"/>
      <c r="E692" s="113"/>
      <c r="F692" s="111"/>
      <c r="G692" s="112"/>
      <c r="H692" s="110"/>
      <c r="I692" s="112"/>
      <c r="J692" s="112"/>
      <c r="K692" s="112"/>
      <c r="L692" s="114"/>
      <c r="M692" s="114"/>
      <c r="N692" s="112"/>
      <c r="O692" s="115"/>
      <c r="P692" s="115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</row>
    <row r="693" spans="1:28" ht="15.75" customHeight="1" x14ac:dyDescent="0.25">
      <c r="A693" s="116"/>
      <c r="B693" s="112"/>
      <c r="C693" s="113"/>
      <c r="D693" s="111"/>
      <c r="E693" s="113"/>
      <c r="F693" s="111"/>
      <c r="G693" s="112"/>
      <c r="H693" s="110"/>
      <c r="I693" s="112"/>
      <c r="J693" s="112"/>
      <c r="K693" s="112"/>
      <c r="L693" s="114"/>
      <c r="M693" s="114"/>
      <c r="N693" s="112"/>
      <c r="O693" s="115"/>
      <c r="P693" s="115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</row>
    <row r="694" spans="1:28" ht="15.75" customHeight="1" x14ac:dyDescent="0.25">
      <c r="A694" s="116"/>
      <c r="B694" s="112"/>
      <c r="C694" s="113"/>
      <c r="D694" s="111"/>
      <c r="E694" s="113"/>
      <c r="F694" s="111"/>
      <c r="G694" s="112"/>
      <c r="H694" s="110"/>
      <c r="I694" s="112"/>
      <c r="J694" s="112"/>
      <c r="K694" s="112"/>
      <c r="L694" s="114"/>
      <c r="M694" s="114"/>
      <c r="N694" s="112"/>
      <c r="O694" s="115"/>
      <c r="P694" s="115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</row>
    <row r="695" spans="1:28" ht="15.75" customHeight="1" x14ac:dyDescent="0.25">
      <c r="A695" s="116"/>
      <c r="B695" s="112"/>
      <c r="C695" s="113"/>
      <c r="D695" s="111"/>
      <c r="E695" s="113"/>
      <c r="F695" s="111"/>
      <c r="G695" s="112"/>
      <c r="H695" s="110"/>
      <c r="I695" s="112"/>
      <c r="J695" s="112"/>
      <c r="K695" s="112"/>
      <c r="L695" s="114"/>
      <c r="M695" s="114"/>
      <c r="N695" s="112"/>
      <c r="O695" s="115"/>
      <c r="P695" s="115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</row>
    <row r="696" spans="1:28" ht="15.75" customHeight="1" x14ac:dyDescent="0.25">
      <c r="A696" s="116"/>
      <c r="B696" s="112"/>
      <c r="C696" s="113"/>
      <c r="D696" s="111"/>
      <c r="E696" s="113"/>
      <c r="F696" s="111"/>
      <c r="G696" s="112"/>
      <c r="H696" s="110"/>
      <c r="I696" s="112"/>
      <c r="J696" s="112"/>
      <c r="K696" s="112"/>
      <c r="L696" s="114"/>
      <c r="M696" s="114"/>
      <c r="N696" s="112"/>
      <c r="O696" s="115"/>
      <c r="P696" s="115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</row>
    <row r="697" spans="1:28" ht="15.75" customHeight="1" x14ac:dyDescent="0.25">
      <c r="A697" s="116"/>
      <c r="B697" s="112"/>
      <c r="C697" s="113"/>
      <c r="D697" s="111"/>
      <c r="E697" s="113"/>
      <c r="F697" s="111"/>
      <c r="G697" s="112"/>
      <c r="H697" s="110"/>
      <c r="I697" s="112"/>
      <c r="J697" s="112"/>
      <c r="K697" s="112"/>
      <c r="L697" s="114"/>
      <c r="M697" s="114"/>
      <c r="N697" s="112"/>
      <c r="O697" s="115"/>
      <c r="P697" s="115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</row>
    <row r="698" spans="1:28" ht="15.75" customHeight="1" x14ac:dyDescent="0.25">
      <c r="A698" s="116"/>
      <c r="B698" s="112"/>
      <c r="C698" s="113"/>
      <c r="D698" s="111"/>
      <c r="E698" s="113"/>
      <c r="F698" s="111"/>
      <c r="G698" s="112"/>
      <c r="H698" s="110"/>
      <c r="I698" s="112"/>
      <c r="J698" s="112"/>
      <c r="K698" s="112"/>
      <c r="L698" s="114"/>
      <c r="M698" s="114"/>
      <c r="N698" s="112"/>
      <c r="O698" s="115"/>
      <c r="P698" s="115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</row>
    <row r="699" spans="1:28" ht="15.75" customHeight="1" x14ac:dyDescent="0.25">
      <c r="A699" s="116"/>
      <c r="B699" s="112"/>
      <c r="C699" s="113"/>
      <c r="D699" s="111"/>
      <c r="E699" s="113"/>
      <c r="F699" s="111"/>
      <c r="G699" s="112"/>
      <c r="H699" s="110"/>
      <c r="I699" s="112"/>
      <c r="J699" s="112"/>
      <c r="K699" s="112"/>
      <c r="L699" s="114"/>
      <c r="M699" s="114"/>
      <c r="N699" s="112"/>
      <c r="O699" s="115"/>
      <c r="P699" s="115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</row>
    <row r="700" spans="1:28" ht="15.75" customHeight="1" x14ac:dyDescent="0.25">
      <c r="A700" s="116"/>
      <c r="B700" s="112"/>
      <c r="C700" s="113"/>
      <c r="D700" s="111"/>
      <c r="E700" s="113"/>
      <c r="F700" s="111"/>
      <c r="G700" s="112"/>
      <c r="H700" s="110"/>
      <c r="I700" s="112"/>
      <c r="J700" s="112"/>
      <c r="K700" s="112"/>
      <c r="L700" s="114"/>
      <c r="M700" s="114"/>
      <c r="N700" s="112"/>
      <c r="O700" s="115"/>
      <c r="P700" s="115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</row>
    <row r="701" spans="1:28" ht="15.75" customHeight="1" x14ac:dyDescent="0.25">
      <c r="A701" s="116"/>
      <c r="B701" s="112"/>
      <c r="C701" s="113"/>
      <c r="D701" s="111"/>
      <c r="E701" s="113"/>
      <c r="F701" s="111"/>
      <c r="G701" s="112"/>
      <c r="H701" s="110"/>
      <c r="I701" s="112"/>
      <c r="J701" s="112"/>
      <c r="K701" s="112"/>
      <c r="L701" s="114"/>
      <c r="M701" s="114"/>
      <c r="N701" s="112"/>
      <c r="O701" s="115"/>
      <c r="P701" s="115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</row>
    <row r="702" spans="1:28" ht="15.75" customHeight="1" x14ac:dyDescent="0.25">
      <c r="A702" s="116"/>
      <c r="B702" s="112"/>
      <c r="C702" s="113"/>
      <c r="D702" s="111"/>
      <c r="E702" s="113"/>
      <c r="F702" s="111"/>
      <c r="G702" s="112"/>
      <c r="H702" s="110"/>
      <c r="I702" s="112"/>
      <c r="J702" s="112"/>
      <c r="K702" s="112"/>
      <c r="L702" s="114"/>
      <c r="M702" s="114"/>
      <c r="N702" s="112"/>
      <c r="O702" s="115"/>
      <c r="P702" s="115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</row>
    <row r="703" spans="1:28" ht="15.75" customHeight="1" x14ac:dyDescent="0.25">
      <c r="A703" s="116"/>
      <c r="B703" s="112"/>
      <c r="C703" s="113"/>
      <c r="D703" s="111"/>
      <c r="E703" s="113"/>
      <c r="F703" s="111"/>
      <c r="G703" s="112"/>
      <c r="H703" s="110"/>
      <c r="I703" s="112"/>
      <c r="J703" s="112"/>
      <c r="K703" s="112"/>
      <c r="L703" s="114"/>
      <c r="M703" s="114"/>
      <c r="N703" s="112"/>
      <c r="O703" s="115"/>
      <c r="P703" s="115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</row>
    <row r="704" spans="1:28" ht="15.75" customHeight="1" x14ac:dyDescent="0.25">
      <c r="A704" s="116"/>
      <c r="B704" s="112"/>
      <c r="C704" s="113"/>
      <c r="D704" s="111"/>
      <c r="E704" s="113"/>
      <c r="F704" s="111"/>
      <c r="G704" s="112"/>
      <c r="H704" s="110"/>
      <c r="I704" s="112"/>
      <c r="J704" s="112"/>
      <c r="K704" s="112"/>
      <c r="L704" s="114"/>
      <c r="M704" s="114"/>
      <c r="N704" s="112"/>
      <c r="O704" s="115"/>
      <c r="P704" s="115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</row>
    <row r="705" spans="1:28" ht="15.75" customHeight="1" x14ac:dyDescent="0.25">
      <c r="A705" s="116"/>
      <c r="B705" s="112"/>
      <c r="C705" s="113"/>
      <c r="D705" s="111"/>
      <c r="E705" s="113"/>
      <c r="F705" s="111"/>
      <c r="G705" s="112"/>
      <c r="H705" s="110"/>
      <c r="I705" s="112"/>
      <c r="J705" s="112"/>
      <c r="K705" s="112"/>
      <c r="L705" s="114"/>
      <c r="M705" s="114"/>
      <c r="N705" s="112"/>
      <c r="O705" s="115"/>
      <c r="P705" s="115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</row>
    <row r="706" spans="1:28" ht="15.75" customHeight="1" x14ac:dyDescent="0.25">
      <c r="A706" s="116"/>
      <c r="B706" s="112"/>
      <c r="C706" s="113"/>
      <c r="D706" s="111"/>
      <c r="E706" s="113"/>
      <c r="F706" s="111"/>
      <c r="G706" s="112"/>
      <c r="H706" s="110"/>
      <c r="I706" s="112"/>
      <c r="J706" s="112"/>
      <c r="K706" s="112"/>
      <c r="L706" s="114"/>
      <c r="M706" s="114"/>
      <c r="N706" s="112"/>
      <c r="O706" s="115"/>
      <c r="P706" s="115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</row>
    <row r="707" spans="1:28" ht="15.75" customHeight="1" x14ac:dyDescent="0.25">
      <c r="A707" s="116"/>
      <c r="B707" s="112"/>
      <c r="C707" s="113"/>
      <c r="D707" s="111"/>
      <c r="E707" s="113"/>
      <c r="F707" s="111"/>
      <c r="G707" s="112"/>
      <c r="H707" s="110"/>
      <c r="I707" s="112"/>
      <c r="J707" s="112"/>
      <c r="K707" s="112"/>
      <c r="L707" s="114"/>
      <c r="M707" s="114"/>
      <c r="N707" s="112"/>
      <c r="O707" s="115"/>
      <c r="P707" s="115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</row>
    <row r="708" spans="1:28" ht="15.75" customHeight="1" x14ac:dyDescent="0.25">
      <c r="A708" s="116"/>
      <c r="B708" s="112"/>
      <c r="C708" s="113"/>
      <c r="D708" s="111"/>
      <c r="E708" s="113"/>
      <c r="F708" s="111"/>
      <c r="G708" s="112"/>
      <c r="H708" s="110"/>
      <c r="I708" s="112"/>
      <c r="J708" s="112"/>
      <c r="K708" s="112"/>
      <c r="L708" s="114"/>
      <c r="M708" s="114"/>
      <c r="N708" s="112"/>
      <c r="O708" s="115"/>
      <c r="P708" s="115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</row>
    <row r="709" spans="1:28" ht="15.75" customHeight="1" x14ac:dyDescent="0.25">
      <c r="A709" s="116"/>
      <c r="B709" s="112"/>
      <c r="C709" s="113"/>
      <c r="D709" s="111"/>
      <c r="E709" s="113"/>
      <c r="F709" s="111"/>
      <c r="G709" s="112"/>
      <c r="H709" s="110"/>
      <c r="I709" s="112"/>
      <c r="J709" s="112"/>
      <c r="K709" s="112"/>
      <c r="L709" s="114"/>
      <c r="M709" s="114"/>
      <c r="N709" s="112"/>
      <c r="O709" s="115"/>
      <c r="P709" s="115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</row>
    <row r="710" spans="1:28" ht="15.75" customHeight="1" x14ac:dyDescent="0.25">
      <c r="A710" s="116"/>
      <c r="B710" s="112"/>
      <c r="C710" s="113"/>
      <c r="D710" s="111"/>
      <c r="E710" s="113"/>
      <c r="F710" s="111"/>
      <c r="G710" s="112"/>
      <c r="H710" s="110"/>
      <c r="I710" s="112"/>
      <c r="J710" s="112"/>
      <c r="K710" s="112"/>
      <c r="L710" s="114"/>
      <c r="M710" s="114"/>
      <c r="N710" s="112"/>
      <c r="O710" s="115"/>
      <c r="P710" s="115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</row>
    <row r="711" spans="1:28" ht="15.75" customHeight="1" x14ac:dyDescent="0.25">
      <c r="A711" s="116"/>
      <c r="B711" s="112"/>
      <c r="C711" s="113"/>
      <c r="D711" s="111"/>
      <c r="E711" s="113"/>
      <c r="F711" s="111"/>
      <c r="G711" s="112"/>
      <c r="H711" s="110"/>
      <c r="I711" s="112"/>
      <c r="J711" s="112"/>
      <c r="K711" s="112"/>
      <c r="L711" s="114"/>
      <c r="M711" s="114"/>
      <c r="N711" s="112"/>
      <c r="O711" s="115"/>
      <c r="P711" s="115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</row>
    <row r="712" spans="1:28" ht="15.75" customHeight="1" x14ac:dyDescent="0.25">
      <c r="A712" s="116"/>
      <c r="B712" s="112"/>
      <c r="C712" s="113"/>
      <c r="D712" s="111"/>
      <c r="E712" s="113"/>
      <c r="F712" s="111"/>
      <c r="G712" s="112"/>
      <c r="H712" s="110"/>
      <c r="I712" s="112"/>
      <c r="J712" s="112"/>
      <c r="K712" s="112"/>
      <c r="L712" s="114"/>
      <c r="M712" s="114"/>
      <c r="N712" s="112"/>
      <c r="O712" s="115"/>
      <c r="P712" s="115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</row>
    <row r="713" spans="1:28" ht="15.75" customHeight="1" x14ac:dyDescent="0.25">
      <c r="A713" s="116"/>
      <c r="B713" s="112"/>
      <c r="C713" s="113"/>
      <c r="D713" s="111"/>
      <c r="E713" s="113"/>
      <c r="F713" s="111"/>
      <c r="G713" s="112"/>
      <c r="H713" s="110"/>
      <c r="I713" s="112"/>
      <c r="J713" s="112"/>
      <c r="K713" s="112"/>
      <c r="L713" s="114"/>
      <c r="M713" s="114"/>
      <c r="N713" s="112"/>
      <c r="O713" s="115"/>
      <c r="P713" s="115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</row>
    <row r="714" spans="1:28" ht="15.75" customHeight="1" x14ac:dyDescent="0.25">
      <c r="A714" s="116"/>
      <c r="B714" s="112"/>
      <c r="C714" s="113"/>
      <c r="D714" s="111"/>
      <c r="E714" s="113"/>
      <c r="F714" s="111"/>
      <c r="G714" s="112"/>
      <c r="H714" s="110"/>
      <c r="I714" s="112"/>
      <c r="J714" s="112"/>
      <c r="K714" s="112"/>
      <c r="L714" s="114"/>
      <c r="M714" s="114"/>
      <c r="N714" s="112"/>
      <c r="O714" s="115"/>
      <c r="P714" s="115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</row>
    <row r="715" spans="1:28" ht="15.75" customHeight="1" x14ac:dyDescent="0.25">
      <c r="A715" s="116"/>
      <c r="B715" s="112"/>
      <c r="C715" s="113"/>
      <c r="D715" s="111"/>
      <c r="E715" s="113"/>
      <c r="F715" s="111"/>
      <c r="G715" s="112"/>
      <c r="H715" s="110"/>
      <c r="I715" s="112"/>
      <c r="J715" s="112"/>
      <c r="K715" s="112"/>
      <c r="L715" s="114"/>
      <c r="M715" s="114"/>
      <c r="N715" s="112"/>
      <c r="O715" s="115"/>
      <c r="P715" s="115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</row>
    <row r="716" spans="1:28" ht="15.75" customHeight="1" x14ac:dyDescent="0.25">
      <c r="A716" s="116"/>
      <c r="B716" s="112"/>
      <c r="C716" s="113"/>
      <c r="D716" s="111"/>
      <c r="E716" s="113"/>
      <c r="F716" s="111"/>
      <c r="G716" s="112"/>
      <c r="H716" s="110"/>
      <c r="I716" s="112"/>
      <c r="J716" s="112"/>
      <c r="K716" s="112"/>
      <c r="L716" s="114"/>
      <c r="M716" s="114"/>
      <c r="N716" s="112"/>
      <c r="O716" s="115"/>
      <c r="P716" s="115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</row>
    <row r="717" spans="1:28" ht="15.75" customHeight="1" x14ac:dyDescent="0.25">
      <c r="A717" s="116"/>
      <c r="B717" s="112"/>
      <c r="C717" s="113"/>
      <c r="D717" s="111"/>
      <c r="E717" s="113"/>
      <c r="F717" s="111"/>
      <c r="G717" s="112"/>
      <c r="H717" s="110"/>
      <c r="I717" s="112"/>
      <c r="J717" s="112"/>
      <c r="K717" s="112"/>
      <c r="L717" s="114"/>
      <c r="M717" s="114"/>
      <c r="N717" s="112"/>
      <c r="O717" s="115"/>
      <c r="P717" s="115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</row>
    <row r="718" spans="1:28" ht="15.75" customHeight="1" x14ac:dyDescent="0.25">
      <c r="A718" s="116"/>
      <c r="B718" s="112"/>
      <c r="C718" s="113"/>
      <c r="D718" s="111"/>
      <c r="E718" s="113"/>
      <c r="F718" s="111"/>
      <c r="G718" s="112"/>
      <c r="H718" s="110"/>
      <c r="I718" s="112"/>
      <c r="J718" s="112"/>
      <c r="K718" s="112"/>
      <c r="L718" s="114"/>
      <c r="M718" s="114"/>
      <c r="N718" s="112"/>
      <c r="O718" s="115"/>
      <c r="P718" s="115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</row>
    <row r="719" spans="1:28" ht="15.75" customHeight="1" x14ac:dyDescent="0.25">
      <c r="A719" s="116"/>
      <c r="B719" s="112"/>
      <c r="C719" s="113"/>
      <c r="D719" s="111"/>
      <c r="E719" s="113"/>
      <c r="F719" s="111"/>
      <c r="G719" s="112"/>
      <c r="H719" s="110"/>
      <c r="I719" s="112"/>
      <c r="J719" s="112"/>
      <c r="K719" s="112"/>
      <c r="L719" s="114"/>
      <c r="M719" s="114"/>
      <c r="N719" s="112"/>
      <c r="O719" s="115"/>
      <c r="P719" s="115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</row>
    <row r="720" spans="1:28" ht="15.75" customHeight="1" x14ac:dyDescent="0.25">
      <c r="A720" s="116"/>
      <c r="B720" s="112"/>
      <c r="C720" s="113"/>
      <c r="D720" s="111"/>
      <c r="E720" s="113"/>
      <c r="F720" s="111"/>
      <c r="G720" s="112"/>
      <c r="H720" s="110"/>
      <c r="I720" s="112"/>
      <c r="J720" s="112"/>
      <c r="K720" s="112"/>
      <c r="L720" s="114"/>
      <c r="M720" s="114"/>
      <c r="N720" s="112"/>
      <c r="O720" s="115"/>
      <c r="P720" s="115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</row>
    <row r="721" spans="1:28" ht="15.75" customHeight="1" x14ac:dyDescent="0.25">
      <c r="A721" s="116"/>
      <c r="B721" s="112"/>
      <c r="C721" s="113"/>
      <c r="D721" s="111"/>
      <c r="E721" s="113"/>
      <c r="F721" s="111"/>
      <c r="G721" s="112"/>
      <c r="H721" s="110"/>
      <c r="I721" s="112"/>
      <c r="J721" s="112"/>
      <c r="K721" s="112"/>
      <c r="L721" s="114"/>
      <c r="M721" s="114"/>
      <c r="N721" s="112"/>
      <c r="O721" s="115"/>
      <c r="P721" s="115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</row>
    <row r="722" spans="1:28" ht="15.75" customHeight="1" x14ac:dyDescent="0.25">
      <c r="A722" s="116"/>
      <c r="B722" s="112"/>
      <c r="C722" s="113"/>
      <c r="D722" s="111"/>
      <c r="E722" s="113"/>
      <c r="F722" s="111"/>
      <c r="G722" s="112"/>
      <c r="H722" s="110"/>
      <c r="I722" s="112"/>
      <c r="J722" s="112"/>
      <c r="K722" s="112"/>
      <c r="L722" s="114"/>
      <c r="M722" s="114"/>
      <c r="N722" s="112"/>
      <c r="O722" s="115"/>
      <c r="P722" s="115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</row>
    <row r="723" spans="1:28" ht="15.75" customHeight="1" x14ac:dyDescent="0.25">
      <c r="A723" s="116"/>
      <c r="B723" s="112"/>
      <c r="C723" s="113"/>
      <c r="D723" s="111"/>
      <c r="E723" s="113"/>
      <c r="F723" s="111"/>
      <c r="G723" s="112"/>
      <c r="H723" s="110"/>
      <c r="I723" s="112"/>
      <c r="J723" s="112"/>
      <c r="K723" s="112"/>
      <c r="L723" s="114"/>
      <c r="M723" s="114"/>
      <c r="N723" s="112"/>
      <c r="O723" s="115"/>
      <c r="P723" s="115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</row>
    <row r="724" spans="1:28" ht="15.75" customHeight="1" x14ac:dyDescent="0.25">
      <c r="A724" s="116"/>
      <c r="B724" s="112"/>
      <c r="C724" s="113"/>
      <c r="D724" s="111"/>
      <c r="E724" s="113"/>
      <c r="F724" s="111"/>
      <c r="G724" s="112"/>
      <c r="H724" s="110"/>
      <c r="I724" s="112"/>
      <c r="J724" s="112"/>
      <c r="K724" s="112"/>
      <c r="L724" s="114"/>
      <c r="M724" s="114"/>
      <c r="N724" s="112"/>
      <c r="O724" s="115"/>
      <c r="P724" s="115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</row>
    <row r="725" spans="1:28" ht="15.75" customHeight="1" x14ac:dyDescent="0.25">
      <c r="A725" s="116"/>
      <c r="B725" s="112"/>
      <c r="C725" s="113"/>
      <c r="D725" s="111"/>
      <c r="E725" s="113"/>
      <c r="F725" s="111"/>
      <c r="G725" s="112"/>
      <c r="H725" s="110"/>
      <c r="I725" s="112"/>
      <c r="J725" s="112"/>
      <c r="K725" s="112"/>
      <c r="L725" s="114"/>
      <c r="M725" s="114"/>
      <c r="N725" s="112"/>
      <c r="O725" s="115"/>
      <c r="P725" s="115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</row>
    <row r="726" spans="1:28" ht="15.75" customHeight="1" x14ac:dyDescent="0.25">
      <c r="A726" s="116"/>
      <c r="B726" s="112"/>
      <c r="C726" s="113"/>
      <c r="D726" s="111"/>
      <c r="E726" s="113"/>
      <c r="F726" s="111"/>
      <c r="G726" s="112"/>
      <c r="H726" s="110"/>
      <c r="I726" s="112"/>
      <c r="J726" s="112"/>
      <c r="K726" s="112"/>
      <c r="L726" s="114"/>
      <c r="M726" s="114"/>
      <c r="N726" s="112"/>
      <c r="O726" s="115"/>
      <c r="P726" s="115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</row>
    <row r="727" spans="1:28" ht="15.75" customHeight="1" x14ac:dyDescent="0.25">
      <c r="A727" s="116"/>
      <c r="B727" s="112"/>
      <c r="C727" s="113"/>
      <c r="D727" s="111"/>
      <c r="E727" s="113"/>
      <c r="F727" s="111"/>
      <c r="G727" s="112"/>
      <c r="H727" s="110"/>
      <c r="I727" s="112"/>
      <c r="J727" s="112"/>
      <c r="K727" s="112"/>
      <c r="L727" s="114"/>
      <c r="M727" s="114"/>
      <c r="N727" s="112"/>
      <c r="O727" s="115"/>
      <c r="P727" s="115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</row>
    <row r="728" spans="1:28" ht="15.75" customHeight="1" x14ac:dyDescent="0.25">
      <c r="A728" s="116"/>
      <c r="B728" s="112"/>
      <c r="C728" s="113"/>
      <c r="D728" s="111"/>
      <c r="E728" s="113"/>
      <c r="F728" s="111"/>
      <c r="G728" s="112"/>
      <c r="H728" s="110"/>
      <c r="I728" s="112"/>
      <c r="J728" s="112"/>
      <c r="K728" s="112"/>
      <c r="L728" s="114"/>
      <c r="M728" s="114"/>
      <c r="N728" s="112"/>
      <c r="O728" s="115"/>
      <c r="P728" s="115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</row>
    <row r="729" spans="1:28" ht="15.75" customHeight="1" x14ac:dyDescent="0.25">
      <c r="A729" s="116"/>
      <c r="B729" s="112"/>
      <c r="C729" s="113"/>
      <c r="D729" s="111"/>
      <c r="E729" s="113"/>
      <c r="F729" s="111"/>
      <c r="G729" s="112"/>
      <c r="H729" s="110"/>
      <c r="I729" s="112"/>
      <c r="J729" s="112"/>
      <c r="K729" s="112"/>
      <c r="L729" s="114"/>
      <c r="M729" s="114"/>
      <c r="N729" s="112"/>
      <c r="O729" s="115"/>
      <c r="P729" s="115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</row>
    <row r="730" spans="1:28" ht="15.75" customHeight="1" x14ac:dyDescent="0.25">
      <c r="A730" s="116"/>
      <c r="B730" s="112"/>
      <c r="C730" s="113"/>
      <c r="D730" s="111"/>
      <c r="E730" s="113"/>
      <c r="F730" s="111"/>
      <c r="G730" s="112"/>
      <c r="H730" s="110"/>
      <c r="I730" s="112"/>
      <c r="J730" s="112"/>
      <c r="K730" s="112"/>
      <c r="L730" s="114"/>
      <c r="M730" s="114"/>
      <c r="N730" s="112"/>
      <c r="O730" s="115"/>
      <c r="P730" s="115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</row>
    <row r="731" spans="1:28" ht="15.75" customHeight="1" x14ac:dyDescent="0.25">
      <c r="A731" s="116"/>
      <c r="B731" s="112"/>
      <c r="C731" s="113"/>
      <c r="D731" s="111"/>
      <c r="E731" s="113"/>
      <c r="F731" s="111"/>
      <c r="G731" s="112"/>
      <c r="H731" s="110"/>
      <c r="I731" s="112"/>
      <c r="J731" s="112"/>
      <c r="K731" s="112"/>
      <c r="L731" s="114"/>
      <c r="M731" s="114"/>
      <c r="N731" s="112"/>
      <c r="O731" s="115"/>
      <c r="P731" s="115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</row>
    <row r="732" spans="1:28" ht="15.75" customHeight="1" x14ac:dyDescent="0.25">
      <c r="A732" s="116"/>
      <c r="B732" s="112"/>
      <c r="C732" s="113"/>
      <c r="D732" s="111"/>
      <c r="E732" s="113"/>
      <c r="F732" s="111"/>
      <c r="G732" s="112"/>
      <c r="H732" s="110"/>
      <c r="I732" s="112"/>
      <c r="J732" s="112"/>
      <c r="K732" s="112"/>
      <c r="L732" s="114"/>
      <c r="M732" s="114"/>
      <c r="N732" s="112"/>
      <c r="O732" s="115"/>
      <c r="P732" s="115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</row>
    <row r="733" spans="1:28" ht="15.75" customHeight="1" x14ac:dyDescent="0.25">
      <c r="A733" s="116"/>
      <c r="B733" s="112"/>
      <c r="C733" s="113"/>
      <c r="D733" s="111"/>
      <c r="E733" s="113"/>
      <c r="F733" s="111"/>
      <c r="G733" s="112"/>
      <c r="H733" s="110"/>
      <c r="I733" s="112"/>
      <c r="J733" s="112"/>
      <c r="K733" s="112"/>
      <c r="L733" s="114"/>
      <c r="M733" s="114"/>
      <c r="N733" s="112"/>
      <c r="O733" s="115"/>
      <c r="P733" s="115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</row>
    <row r="734" spans="1:28" ht="15.75" customHeight="1" x14ac:dyDescent="0.25">
      <c r="A734" s="116"/>
      <c r="B734" s="112"/>
      <c r="C734" s="113"/>
      <c r="D734" s="111"/>
      <c r="E734" s="113"/>
      <c r="F734" s="111"/>
      <c r="G734" s="112"/>
      <c r="H734" s="110"/>
      <c r="I734" s="112"/>
      <c r="J734" s="112"/>
      <c r="K734" s="112"/>
      <c r="L734" s="114"/>
      <c r="M734" s="114"/>
      <c r="N734" s="112"/>
      <c r="O734" s="115"/>
      <c r="P734" s="115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</row>
    <row r="735" spans="1:28" ht="15.75" customHeight="1" x14ac:dyDescent="0.25">
      <c r="A735" s="116"/>
      <c r="B735" s="112"/>
      <c r="C735" s="113"/>
      <c r="D735" s="111"/>
      <c r="E735" s="113"/>
      <c r="F735" s="111"/>
      <c r="G735" s="112"/>
      <c r="H735" s="110"/>
      <c r="I735" s="112"/>
      <c r="J735" s="112"/>
      <c r="K735" s="112"/>
      <c r="L735" s="114"/>
      <c r="M735" s="114"/>
      <c r="N735" s="112"/>
      <c r="O735" s="115"/>
      <c r="P735" s="115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</row>
    <row r="736" spans="1:28" ht="15.75" customHeight="1" x14ac:dyDescent="0.25">
      <c r="A736" s="116"/>
      <c r="B736" s="112"/>
      <c r="C736" s="113"/>
      <c r="D736" s="111"/>
      <c r="E736" s="113"/>
      <c r="F736" s="111"/>
      <c r="G736" s="112"/>
      <c r="H736" s="110"/>
      <c r="I736" s="112"/>
      <c r="J736" s="112"/>
      <c r="K736" s="112"/>
      <c r="L736" s="114"/>
      <c r="M736" s="114"/>
      <c r="N736" s="112"/>
      <c r="O736" s="115"/>
      <c r="P736" s="115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</row>
    <row r="737" spans="1:28" ht="15.75" customHeight="1" x14ac:dyDescent="0.25">
      <c r="A737" s="116"/>
      <c r="B737" s="112"/>
      <c r="C737" s="113"/>
      <c r="D737" s="111"/>
      <c r="E737" s="113"/>
      <c r="F737" s="111"/>
      <c r="G737" s="112"/>
      <c r="H737" s="110"/>
      <c r="I737" s="112"/>
      <c r="J737" s="112"/>
      <c r="K737" s="112"/>
      <c r="L737" s="114"/>
      <c r="M737" s="114"/>
      <c r="N737" s="112"/>
      <c r="O737" s="115"/>
      <c r="P737" s="115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</row>
    <row r="738" spans="1:28" ht="15.75" customHeight="1" x14ac:dyDescent="0.25">
      <c r="A738" s="116"/>
      <c r="B738" s="112"/>
      <c r="C738" s="113"/>
      <c r="D738" s="111"/>
      <c r="E738" s="113"/>
      <c r="F738" s="111"/>
      <c r="G738" s="112"/>
      <c r="H738" s="110"/>
      <c r="I738" s="112"/>
      <c r="J738" s="112"/>
      <c r="K738" s="112"/>
      <c r="L738" s="114"/>
      <c r="M738" s="114"/>
      <c r="N738" s="112"/>
      <c r="O738" s="115"/>
      <c r="P738" s="115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</row>
    <row r="739" spans="1:28" ht="15.75" customHeight="1" x14ac:dyDescent="0.25">
      <c r="A739" s="116"/>
      <c r="B739" s="112"/>
      <c r="C739" s="113"/>
      <c r="D739" s="111"/>
      <c r="E739" s="113"/>
      <c r="F739" s="111"/>
      <c r="G739" s="112"/>
      <c r="H739" s="110"/>
      <c r="I739" s="112"/>
      <c r="J739" s="112"/>
      <c r="K739" s="112"/>
      <c r="L739" s="114"/>
      <c r="M739" s="114"/>
      <c r="N739" s="112"/>
      <c r="O739" s="115"/>
      <c r="P739" s="115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</row>
    <row r="740" spans="1:28" ht="15.75" customHeight="1" x14ac:dyDescent="0.25">
      <c r="A740" s="116"/>
      <c r="B740" s="112"/>
      <c r="C740" s="113"/>
      <c r="D740" s="111"/>
      <c r="E740" s="113"/>
      <c r="F740" s="111"/>
      <c r="G740" s="112"/>
      <c r="H740" s="110"/>
      <c r="I740" s="112"/>
      <c r="J740" s="112"/>
      <c r="K740" s="112"/>
      <c r="L740" s="114"/>
      <c r="M740" s="114"/>
      <c r="N740" s="112"/>
      <c r="O740" s="115"/>
      <c r="P740" s="115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</row>
    <row r="741" spans="1:28" ht="15.75" customHeight="1" x14ac:dyDescent="0.25">
      <c r="A741" s="116"/>
      <c r="B741" s="112"/>
      <c r="C741" s="113"/>
      <c r="D741" s="111"/>
      <c r="E741" s="113"/>
      <c r="F741" s="111"/>
      <c r="G741" s="112"/>
      <c r="H741" s="110"/>
      <c r="I741" s="112"/>
      <c r="J741" s="112"/>
      <c r="K741" s="112"/>
      <c r="L741" s="114"/>
      <c r="M741" s="114"/>
      <c r="N741" s="112"/>
      <c r="O741" s="115"/>
      <c r="P741" s="115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</row>
    <row r="742" spans="1:28" ht="15.75" customHeight="1" x14ac:dyDescent="0.25">
      <c r="A742" s="116"/>
      <c r="B742" s="112"/>
      <c r="C742" s="113"/>
      <c r="D742" s="111"/>
      <c r="E742" s="113"/>
      <c r="F742" s="111"/>
      <c r="G742" s="112"/>
      <c r="H742" s="110"/>
      <c r="I742" s="112"/>
      <c r="J742" s="112"/>
      <c r="K742" s="112"/>
      <c r="L742" s="114"/>
      <c r="M742" s="114"/>
      <c r="N742" s="112"/>
      <c r="O742" s="115"/>
      <c r="P742" s="115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</row>
    <row r="743" spans="1:28" ht="15.75" customHeight="1" x14ac:dyDescent="0.25">
      <c r="A743" s="116"/>
      <c r="B743" s="112"/>
      <c r="C743" s="113"/>
      <c r="D743" s="111"/>
      <c r="E743" s="113"/>
      <c r="F743" s="111"/>
      <c r="G743" s="112"/>
      <c r="H743" s="110"/>
      <c r="I743" s="112"/>
      <c r="J743" s="112"/>
      <c r="K743" s="112"/>
      <c r="L743" s="114"/>
      <c r="M743" s="114"/>
      <c r="N743" s="112"/>
      <c r="O743" s="115"/>
      <c r="P743" s="115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</row>
    <row r="744" spans="1:28" ht="15.75" customHeight="1" x14ac:dyDescent="0.25">
      <c r="A744" s="116"/>
      <c r="B744" s="112"/>
      <c r="C744" s="113"/>
      <c r="D744" s="111"/>
      <c r="E744" s="113"/>
      <c r="F744" s="111"/>
      <c r="G744" s="112"/>
      <c r="H744" s="110"/>
      <c r="I744" s="112"/>
      <c r="J744" s="112"/>
      <c r="K744" s="112"/>
      <c r="L744" s="114"/>
      <c r="M744" s="114"/>
      <c r="N744" s="112"/>
      <c r="O744" s="115"/>
      <c r="P744" s="115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</row>
    <row r="745" spans="1:28" ht="15.75" customHeight="1" x14ac:dyDescent="0.25">
      <c r="A745" s="116"/>
      <c r="B745" s="112"/>
      <c r="C745" s="113"/>
      <c r="D745" s="111"/>
      <c r="E745" s="113"/>
      <c r="F745" s="111"/>
      <c r="G745" s="112"/>
      <c r="H745" s="110"/>
      <c r="I745" s="112"/>
      <c r="J745" s="112"/>
      <c r="K745" s="112"/>
      <c r="L745" s="114"/>
      <c r="M745" s="114"/>
      <c r="N745" s="112"/>
      <c r="O745" s="115"/>
      <c r="P745" s="115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</row>
    <row r="746" spans="1:28" ht="15.75" customHeight="1" x14ac:dyDescent="0.25">
      <c r="A746" s="116"/>
      <c r="B746" s="112"/>
      <c r="C746" s="113"/>
      <c r="D746" s="111"/>
      <c r="E746" s="113"/>
      <c r="F746" s="111"/>
      <c r="G746" s="112"/>
      <c r="H746" s="110"/>
      <c r="I746" s="112"/>
      <c r="J746" s="112"/>
      <c r="K746" s="112"/>
      <c r="L746" s="114"/>
      <c r="M746" s="114"/>
      <c r="N746" s="112"/>
      <c r="O746" s="115"/>
      <c r="P746" s="115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</row>
    <row r="747" spans="1:28" ht="15.75" customHeight="1" x14ac:dyDescent="0.25">
      <c r="A747" s="116"/>
      <c r="B747" s="112"/>
      <c r="C747" s="113"/>
      <c r="D747" s="111"/>
      <c r="E747" s="113"/>
      <c r="F747" s="111"/>
      <c r="G747" s="112"/>
      <c r="H747" s="110"/>
      <c r="I747" s="112"/>
      <c r="J747" s="112"/>
      <c r="K747" s="112"/>
      <c r="L747" s="114"/>
      <c r="M747" s="114"/>
      <c r="N747" s="112"/>
      <c r="O747" s="115"/>
      <c r="P747" s="115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</row>
    <row r="748" spans="1:28" ht="15.75" customHeight="1" x14ac:dyDescent="0.25">
      <c r="A748" s="116"/>
      <c r="B748" s="112"/>
      <c r="C748" s="113"/>
      <c r="D748" s="111"/>
      <c r="E748" s="113"/>
      <c r="F748" s="111"/>
      <c r="G748" s="112"/>
      <c r="H748" s="110"/>
      <c r="I748" s="112"/>
      <c r="J748" s="112"/>
      <c r="K748" s="112"/>
      <c r="L748" s="114"/>
      <c r="M748" s="114"/>
      <c r="N748" s="112"/>
      <c r="O748" s="115"/>
      <c r="P748" s="115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</row>
    <row r="749" spans="1:28" ht="15.75" customHeight="1" x14ac:dyDescent="0.25">
      <c r="A749" s="116"/>
      <c r="B749" s="112"/>
      <c r="C749" s="113"/>
      <c r="D749" s="111"/>
      <c r="E749" s="113"/>
      <c r="F749" s="111"/>
      <c r="G749" s="112"/>
      <c r="H749" s="110"/>
      <c r="I749" s="112"/>
      <c r="J749" s="112"/>
      <c r="K749" s="112"/>
      <c r="L749" s="114"/>
      <c r="M749" s="114"/>
      <c r="N749" s="112"/>
      <c r="O749" s="115"/>
      <c r="P749" s="115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</row>
    <row r="750" spans="1:28" ht="15.75" customHeight="1" x14ac:dyDescent="0.25">
      <c r="A750" s="116"/>
      <c r="B750" s="112"/>
      <c r="C750" s="113"/>
      <c r="D750" s="111"/>
      <c r="E750" s="113"/>
      <c r="F750" s="111"/>
      <c r="G750" s="112"/>
      <c r="H750" s="110"/>
      <c r="I750" s="112"/>
      <c r="J750" s="112"/>
      <c r="K750" s="112"/>
      <c r="L750" s="114"/>
      <c r="M750" s="114"/>
      <c r="N750" s="112"/>
      <c r="O750" s="115"/>
      <c r="P750" s="115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</row>
    <row r="751" spans="1:28" ht="15.75" customHeight="1" x14ac:dyDescent="0.25">
      <c r="A751" s="116"/>
      <c r="B751" s="112"/>
      <c r="C751" s="113"/>
      <c r="D751" s="111"/>
      <c r="E751" s="113"/>
      <c r="F751" s="111"/>
      <c r="G751" s="112"/>
      <c r="H751" s="110"/>
      <c r="I751" s="112"/>
      <c r="J751" s="112"/>
      <c r="K751" s="112"/>
      <c r="L751" s="114"/>
      <c r="M751" s="114"/>
      <c r="N751" s="112"/>
      <c r="O751" s="115"/>
      <c r="P751" s="115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</row>
    <row r="752" spans="1:28" ht="15.75" customHeight="1" x14ac:dyDescent="0.25">
      <c r="A752" s="116"/>
      <c r="B752" s="112"/>
      <c r="C752" s="113"/>
      <c r="D752" s="111"/>
      <c r="E752" s="113"/>
      <c r="F752" s="111"/>
      <c r="G752" s="112"/>
      <c r="H752" s="110"/>
      <c r="I752" s="112"/>
      <c r="J752" s="112"/>
      <c r="K752" s="112"/>
      <c r="L752" s="114"/>
      <c r="M752" s="114"/>
      <c r="N752" s="112"/>
      <c r="O752" s="115"/>
      <c r="P752" s="115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</row>
    <row r="753" spans="1:28" ht="15.75" customHeight="1" x14ac:dyDescent="0.25">
      <c r="A753" s="116"/>
      <c r="B753" s="112"/>
      <c r="C753" s="113"/>
      <c r="D753" s="111"/>
      <c r="E753" s="113"/>
      <c r="F753" s="111"/>
      <c r="G753" s="112"/>
      <c r="H753" s="110"/>
      <c r="I753" s="112"/>
      <c r="J753" s="112"/>
      <c r="K753" s="112"/>
      <c r="L753" s="114"/>
      <c r="M753" s="114"/>
      <c r="N753" s="112"/>
      <c r="O753" s="115"/>
      <c r="P753" s="115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</row>
    <row r="754" spans="1:28" ht="15.75" customHeight="1" x14ac:dyDescent="0.25">
      <c r="A754" s="116"/>
      <c r="B754" s="112"/>
      <c r="C754" s="113"/>
      <c r="D754" s="111"/>
      <c r="E754" s="113"/>
      <c r="F754" s="111"/>
      <c r="G754" s="112"/>
      <c r="H754" s="110"/>
      <c r="I754" s="112"/>
      <c r="J754" s="112"/>
      <c r="K754" s="112"/>
      <c r="L754" s="114"/>
      <c r="M754" s="114"/>
      <c r="N754" s="112"/>
      <c r="O754" s="115"/>
      <c r="P754" s="115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</row>
    <row r="755" spans="1:28" ht="15.75" customHeight="1" x14ac:dyDescent="0.25">
      <c r="A755" s="116"/>
      <c r="B755" s="112"/>
      <c r="C755" s="113"/>
      <c r="D755" s="111"/>
      <c r="E755" s="113"/>
      <c r="F755" s="111"/>
      <c r="G755" s="112"/>
      <c r="H755" s="110"/>
      <c r="I755" s="112"/>
      <c r="J755" s="112"/>
      <c r="K755" s="112"/>
      <c r="L755" s="114"/>
      <c r="M755" s="114"/>
      <c r="N755" s="112"/>
      <c r="O755" s="115"/>
      <c r="P755" s="115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</row>
    <row r="756" spans="1:28" ht="15.75" customHeight="1" x14ac:dyDescent="0.25">
      <c r="A756" s="116"/>
      <c r="B756" s="112"/>
      <c r="C756" s="113"/>
      <c r="D756" s="111"/>
      <c r="E756" s="113"/>
      <c r="F756" s="111"/>
      <c r="G756" s="112"/>
      <c r="H756" s="110"/>
      <c r="I756" s="112"/>
      <c r="J756" s="112"/>
      <c r="K756" s="112"/>
      <c r="L756" s="114"/>
      <c r="M756" s="114"/>
      <c r="N756" s="112"/>
      <c r="O756" s="115"/>
      <c r="P756" s="115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</row>
    <row r="757" spans="1:28" ht="15.75" customHeight="1" x14ac:dyDescent="0.25">
      <c r="A757" s="116"/>
      <c r="B757" s="112"/>
      <c r="C757" s="113"/>
      <c r="D757" s="111"/>
      <c r="E757" s="113"/>
      <c r="F757" s="111"/>
      <c r="G757" s="112"/>
      <c r="H757" s="110"/>
      <c r="I757" s="112"/>
      <c r="J757" s="112"/>
      <c r="K757" s="112"/>
      <c r="L757" s="114"/>
      <c r="M757" s="114"/>
      <c r="N757" s="112"/>
      <c r="O757" s="115"/>
      <c r="P757" s="115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</row>
    <row r="758" spans="1:28" ht="15.75" customHeight="1" x14ac:dyDescent="0.25">
      <c r="A758" s="116"/>
      <c r="B758" s="112"/>
      <c r="C758" s="113"/>
      <c r="D758" s="111"/>
      <c r="E758" s="113"/>
      <c r="F758" s="111"/>
      <c r="G758" s="112"/>
      <c r="H758" s="110"/>
      <c r="I758" s="112"/>
      <c r="J758" s="112"/>
      <c r="K758" s="112"/>
      <c r="L758" s="114"/>
      <c r="M758" s="114"/>
      <c r="N758" s="112"/>
      <c r="O758" s="115"/>
      <c r="P758" s="115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</row>
    <row r="759" spans="1:28" ht="15.75" customHeight="1" x14ac:dyDescent="0.25">
      <c r="A759" s="116"/>
      <c r="B759" s="112"/>
      <c r="C759" s="113"/>
      <c r="D759" s="111"/>
      <c r="E759" s="113"/>
      <c r="F759" s="111"/>
      <c r="G759" s="112"/>
      <c r="H759" s="110"/>
      <c r="I759" s="112"/>
      <c r="J759" s="112"/>
      <c r="K759" s="112"/>
      <c r="L759" s="114"/>
      <c r="M759" s="114"/>
      <c r="N759" s="112"/>
      <c r="O759" s="115"/>
      <c r="P759" s="115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</row>
    <row r="760" spans="1:28" ht="15.75" customHeight="1" x14ac:dyDescent="0.25">
      <c r="A760" s="116"/>
      <c r="B760" s="112"/>
      <c r="C760" s="113"/>
      <c r="D760" s="111"/>
      <c r="E760" s="113"/>
      <c r="F760" s="111"/>
      <c r="G760" s="112"/>
      <c r="H760" s="110"/>
      <c r="I760" s="112"/>
      <c r="J760" s="112"/>
      <c r="K760" s="112"/>
      <c r="L760" s="114"/>
      <c r="M760" s="114"/>
      <c r="N760" s="112"/>
      <c r="O760" s="115"/>
      <c r="P760" s="115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</row>
    <row r="761" spans="1:28" ht="15.75" customHeight="1" x14ac:dyDescent="0.25">
      <c r="A761" s="116"/>
      <c r="B761" s="112"/>
      <c r="C761" s="113"/>
      <c r="D761" s="111"/>
      <c r="E761" s="113"/>
      <c r="F761" s="111"/>
      <c r="G761" s="112"/>
      <c r="H761" s="110"/>
      <c r="I761" s="112"/>
      <c r="J761" s="112"/>
      <c r="K761" s="112"/>
      <c r="L761" s="114"/>
      <c r="M761" s="114"/>
      <c r="N761" s="112"/>
      <c r="O761" s="115"/>
      <c r="P761" s="115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</row>
    <row r="762" spans="1:28" ht="15.75" customHeight="1" x14ac:dyDescent="0.25">
      <c r="A762" s="116"/>
      <c r="B762" s="112"/>
      <c r="C762" s="113"/>
      <c r="D762" s="111"/>
      <c r="E762" s="113"/>
      <c r="F762" s="111"/>
      <c r="G762" s="112"/>
      <c r="H762" s="110"/>
      <c r="I762" s="112"/>
      <c r="J762" s="112"/>
      <c r="K762" s="112"/>
      <c r="L762" s="114"/>
      <c r="M762" s="114"/>
      <c r="N762" s="112"/>
      <c r="O762" s="115"/>
      <c r="P762" s="115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</row>
    <row r="763" spans="1:28" ht="15.75" customHeight="1" x14ac:dyDescent="0.25">
      <c r="A763" s="116"/>
      <c r="B763" s="112"/>
      <c r="C763" s="113"/>
      <c r="D763" s="111"/>
      <c r="E763" s="113"/>
      <c r="F763" s="111"/>
      <c r="G763" s="112"/>
      <c r="H763" s="110"/>
      <c r="I763" s="112"/>
      <c r="J763" s="112"/>
      <c r="K763" s="112"/>
      <c r="L763" s="114"/>
      <c r="M763" s="114"/>
      <c r="N763" s="112"/>
      <c r="O763" s="115"/>
      <c r="P763" s="115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</row>
    <row r="764" spans="1:28" ht="15.75" customHeight="1" x14ac:dyDescent="0.25">
      <c r="A764" s="116"/>
      <c r="B764" s="112"/>
      <c r="C764" s="113"/>
      <c r="D764" s="111"/>
      <c r="E764" s="113"/>
      <c r="F764" s="111"/>
      <c r="G764" s="112"/>
      <c r="H764" s="110"/>
      <c r="I764" s="112"/>
      <c r="J764" s="112"/>
      <c r="K764" s="112"/>
      <c r="L764" s="114"/>
      <c r="M764" s="114"/>
      <c r="N764" s="112"/>
      <c r="O764" s="115"/>
      <c r="P764" s="115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</row>
    <row r="765" spans="1:28" ht="15.75" customHeight="1" x14ac:dyDescent="0.25">
      <c r="A765" s="116"/>
      <c r="B765" s="112"/>
      <c r="C765" s="113"/>
      <c r="D765" s="111"/>
      <c r="E765" s="113"/>
      <c r="F765" s="111"/>
      <c r="G765" s="112"/>
      <c r="H765" s="110"/>
      <c r="I765" s="112"/>
      <c r="J765" s="112"/>
      <c r="K765" s="112"/>
      <c r="L765" s="114"/>
      <c r="M765" s="114"/>
      <c r="N765" s="112"/>
      <c r="O765" s="115"/>
      <c r="P765" s="115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</row>
    <row r="766" spans="1:28" ht="15.75" customHeight="1" x14ac:dyDescent="0.25">
      <c r="A766" s="116"/>
      <c r="B766" s="112"/>
      <c r="C766" s="113"/>
      <c r="D766" s="111"/>
      <c r="E766" s="113"/>
      <c r="F766" s="111"/>
      <c r="G766" s="112"/>
      <c r="H766" s="110"/>
      <c r="I766" s="112"/>
      <c r="J766" s="112"/>
      <c r="K766" s="112"/>
      <c r="L766" s="114"/>
      <c r="M766" s="114"/>
      <c r="N766" s="112"/>
      <c r="O766" s="115"/>
      <c r="P766" s="115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</row>
    <row r="767" spans="1:28" ht="15.75" customHeight="1" x14ac:dyDescent="0.25">
      <c r="A767" s="116"/>
      <c r="B767" s="112"/>
      <c r="C767" s="113"/>
      <c r="D767" s="111"/>
      <c r="E767" s="113"/>
      <c r="F767" s="111"/>
      <c r="G767" s="112"/>
      <c r="H767" s="110"/>
      <c r="I767" s="112"/>
      <c r="J767" s="112"/>
      <c r="K767" s="112"/>
      <c r="L767" s="114"/>
      <c r="M767" s="114"/>
      <c r="N767" s="112"/>
      <c r="O767" s="115"/>
      <c r="P767" s="115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</row>
    <row r="768" spans="1:28" ht="15.75" customHeight="1" x14ac:dyDescent="0.25">
      <c r="A768" s="116"/>
      <c r="B768" s="112"/>
      <c r="C768" s="113"/>
      <c r="D768" s="111"/>
      <c r="E768" s="113"/>
      <c r="F768" s="111"/>
      <c r="G768" s="112"/>
      <c r="H768" s="110"/>
      <c r="I768" s="112"/>
      <c r="J768" s="112"/>
      <c r="K768" s="112"/>
      <c r="L768" s="114"/>
      <c r="M768" s="114"/>
      <c r="N768" s="112"/>
      <c r="O768" s="115"/>
      <c r="P768" s="115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</row>
    <row r="769" spans="1:28" ht="15.75" customHeight="1" x14ac:dyDescent="0.25">
      <c r="A769" s="116"/>
      <c r="B769" s="112"/>
      <c r="C769" s="113"/>
      <c r="D769" s="111"/>
      <c r="E769" s="113"/>
      <c r="F769" s="111"/>
      <c r="G769" s="112"/>
      <c r="H769" s="110"/>
      <c r="I769" s="112"/>
      <c r="J769" s="112"/>
      <c r="K769" s="112"/>
      <c r="L769" s="114"/>
      <c r="M769" s="114"/>
      <c r="N769" s="112"/>
      <c r="O769" s="115"/>
      <c r="P769" s="115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</row>
    <row r="770" spans="1:28" ht="15.75" customHeight="1" x14ac:dyDescent="0.25">
      <c r="A770" s="116"/>
      <c r="B770" s="112"/>
      <c r="C770" s="113"/>
      <c r="D770" s="111"/>
      <c r="E770" s="113"/>
      <c r="F770" s="111"/>
      <c r="G770" s="112"/>
      <c r="H770" s="110"/>
      <c r="I770" s="112"/>
      <c r="J770" s="112"/>
      <c r="K770" s="112"/>
      <c r="L770" s="114"/>
      <c r="M770" s="114"/>
      <c r="N770" s="112"/>
      <c r="O770" s="115"/>
      <c r="P770" s="115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</row>
    <row r="771" spans="1:28" ht="15.75" customHeight="1" x14ac:dyDescent="0.25">
      <c r="A771" s="116"/>
      <c r="B771" s="112"/>
      <c r="C771" s="113"/>
      <c r="D771" s="111"/>
      <c r="E771" s="113"/>
      <c r="F771" s="111"/>
      <c r="G771" s="112"/>
      <c r="H771" s="110"/>
      <c r="I771" s="112"/>
      <c r="J771" s="112"/>
      <c r="K771" s="112"/>
      <c r="L771" s="114"/>
      <c r="M771" s="114"/>
      <c r="N771" s="112"/>
      <c r="O771" s="115"/>
      <c r="P771" s="115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</row>
    <row r="772" spans="1:28" ht="15.75" customHeight="1" x14ac:dyDescent="0.25">
      <c r="A772" s="116"/>
      <c r="B772" s="112"/>
      <c r="C772" s="113"/>
      <c r="D772" s="111"/>
      <c r="E772" s="113"/>
      <c r="F772" s="111"/>
      <c r="G772" s="112"/>
      <c r="H772" s="110"/>
      <c r="I772" s="112"/>
      <c r="J772" s="112"/>
      <c r="K772" s="112"/>
      <c r="L772" s="114"/>
      <c r="M772" s="114"/>
      <c r="N772" s="112"/>
      <c r="O772" s="115"/>
      <c r="P772" s="115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</row>
    <row r="773" spans="1:28" ht="15.75" customHeight="1" x14ac:dyDescent="0.25">
      <c r="A773" s="116"/>
      <c r="B773" s="112"/>
      <c r="C773" s="113"/>
      <c r="D773" s="111"/>
      <c r="E773" s="113"/>
      <c r="F773" s="111"/>
      <c r="G773" s="112"/>
      <c r="H773" s="110"/>
      <c r="I773" s="112"/>
      <c r="J773" s="112"/>
      <c r="K773" s="112"/>
      <c r="L773" s="114"/>
      <c r="M773" s="114"/>
      <c r="N773" s="112"/>
      <c r="O773" s="115"/>
      <c r="P773" s="115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</row>
    <row r="774" spans="1:28" ht="15.75" customHeight="1" x14ac:dyDescent="0.25">
      <c r="A774" s="116"/>
      <c r="B774" s="112"/>
      <c r="C774" s="113"/>
      <c r="D774" s="111"/>
      <c r="E774" s="113"/>
      <c r="F774" s="111"/>
      <c r="G774" s="112"/>
      <c r="H774" s="110"/>
      <c r="I774" s="112"/>
      <c r="J774" s="112"/>
      <c r="K774" s="112"/>
      <c r="L774" s="114"/>
      <c r="M774" s="114"/>
      <c r="N774" s="112"/>
      <c r="O774" s="115"/>
      <c r="P774" s="115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</row>
    <row r="775" spans="1:28" ht="15.75" customHeight="1" x14ac:dyDescent="0.25">
      <c r="A775" s="116"/>
      <c r="B775" s="112"/>
      <c r="C775" s="113"/>
      <c r="D775" s="111"/>
      <c r="E775" s="113"/>
      <c r="F775" s="111"/>
      <c r="G775" s="112"/>
      <c r="H775" s="110"/>
      <c r="I775" s="112"/>
      <c r="J775" s="112"/>
      <c r="K775" s="112"/>
      <c r="L775" s="114"/>
      <c r="M775" s="114"/>
      <c r="N775" s="112"/>
      <c r="O775" s="115"/>
      <c r="P775" s="115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</row>
    <row r="776" spans="1:28" ht="15.75" customHeight="1" x14ac:dyDescent="0.25">
      <c r="A776" s="116"/>
      <c r="B776" s="112"/>
      <c r="C776" s="113"/>
      <c r="D776" s="111"/>
      <c r="E776" s="113"/>
      <c r="F776" s="111"/>
      <c r="G776" s="112"/>
      <c r="H776" s="110"/>
      <c r="I776" s="112"/>
      <c r="J776" s="112"/>
      <c r="K776" s="112"/>
      <c r="L776" s="114"/>
      <c r="M776" s="114"/>
      <c r="N776" s="112"/>
      <c r="O776" s="115"/>
      <c r="P776" s="115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</row>
    <row r="777" spans="1:28" ht="15.75" customHeight="1" x14ac:dyDescent="0.25">
      <c r="A777" s="116"/>
      <c r="B777" s="112"/>
      <c r="C777" s="113"/>
      <c r="D777" s="111"/>
      <c r="E777" s="113"/>
      <c r="F777" s="111"/>
      <c r="G777" s="112"/>
      <c r="H777" s="110"/>
      <c r="I777" s="112"/>
      <c r="J777" s="112"/>
      <c r="K777" s="112"/>
      <c r="L777" s="114"/>
      <c r="M777" s="114"/>
      <c r="N777" s="112"/>
      <c r="O777" s="115"/>
      <c r="P777" s="115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</row>
    <row r="778" spans="1:28" ht="15.75" customHeight="1" x14ac:dyDescent="0.25">
      <c r="A778" s="116"/>
      <c r="B778" s="112"/>
      <c r="C778" s="113"/>
      <c r="D778" s="111"/>
      <c r="E778" s="113"/>
      <c r="F778" s="111"/>
      <c r="G778" s="112"/>
      <c r="H778" s="110"/>
      <c r="I778" s="112"/>
      <c r="J778" s="112"/>
      <c r="K778" s="112"/>
      <c r="L778" s="114"/>
      <c r="M778" s="114"/>
      <c r="N778" s="112"/>
      <c r="O778" s="115"/>
      <c r="P778" s="115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</row>
    <row r="779" spans="1:28" ht="15.75" customHeight="1" x14ac:dyDescent="0.25">
      <c r="A779" s="116"/>
      <c r="B779" s="112"/>
      <c r="C779" s="113"/>
      <c r="D779" s="111"/>
      <c r="E779" s="113"/>
      <c r="F779" s="111"/>
      <c r="G779" s="112"/>
      <c r="H779" s="110"/>
      <c r="I779" s="112"/>
      <c r="J779" s="112"/>
      <c r="K779" s="112"/>
      <c r="L779" s="114"/>
      <c r="M779" s="114"/>
      <c r="N779" s="112"/>
      <c r="O779" s="115"/>
      <c r="P779" s="115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</row>
    <row r="780" spans="1:28" ht="15.75" customHeight="1" x14ac:dyDescent="0.25">
      <c r="A780" s="116"/>
      <c r="B780" s="112"/>
      <c r="C780" s="113"/>
      <c r="D780" s="111"/>
      <c r="E780" s="113"/>
      <c r="F780" s="111"/>
      <c r="G780" s="112"/>
      <c r="H780" s="110"/>
      <c r="I780" s="112"/>
      <c r="J780" s="112"/>
      <c r="K780" s="112"/>
      <c r="L780" s="114"/>
      <c r="M780" s="114"/>
      <c r="N780" s="112"/>
      <c r="O780" s="115"/>
      <c r="P780" s="115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</row>
    <row r="781" spans="1:28" ht="15.75" customHeight="1" x14ac:dyDescent="0.25">
      <c r="A781" s="116"/>
      <c r="B781" s="112"/>
      <c r="C781" s="113"/>
      <c r="D781" s="111"/>
      <c r="E781" s="113"/>
      <c r="F781" s="111"/>
      <c r="G781" s="112"/>
      <c r="H781" s="110"/>
      <c r="I781" s="112"/>
      <c r="J781" s="112"/>
      <c r="K781" s="112"/>
      <c r="L781" s="114"/>
      <c r="M781" s="114"/>
      <c r="N781" s="112"/>
      <c r="O781" s="115"/>
      <c r="P781" s="115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</row>
    <row r="782" spans="1:28" ht="15.75" customHeight="1" x14ac:dyDescent="0.25">
      <c r="A782" s="116"/>
      <c r="B782" s="112"/>
      <c r="C782" s="113"/>
      <c r="D782" s="111"/>
      <c r="E782" s="113"/>
      <c r="F782" s="111"/>
      <c r="G782" s="112"/>
      <c r="H782" s="110"/>
      <c r="I782" s="112"/>
      <c r="J782" s="112"/>
      <c r="K782" s="112"/>
      <c r="L782" s="114"/>
      <c r="M782" s="114"/>
      <c r="N782" s="112"/>
      <c r="O782" s="115"/>
      <c r="P782" s="115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</row>
    <row r="783" spans="1:28" ht="15.75" customHeight="1" x14ac:dyDescent="0.25">
      <c r="A783" s="116"/>
      <c r="B783" s="112"/>
      <c r="C783" s="113"/>
      <c r="D783" s="111"/>
      <c r="E783" s="113"/>
      <c r="F783" s="111"/>
      <c r="G783" s="112"/>
      <c r="H783" s="110"/>
      <c r="I783" s="112"/>
      <c r="J783" s="112"/>
      <c r="K783" s="112"/>
      <c r="L783" s="114"/>
      <c r="M783" s="114"/>
      <c r="N783" s="112"/>
      <c r="O783" s="115"/>
      <c r="P783" s="115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</row>
    <row r="784" spans="1:28" ht="15.75" customHeight="1" x14ac:dyDescent="0.25">
      <c r="A784" s="116"/>
      <c r="B784" s="112"/>
      <c r="C784" s="113"/>
      <c r="D784" s="111"/>
      <c r="E784" s="113"/>
      <c r="F784" s="111"/>
      <c r="G784" s="112"/>
      <c r="H784" s="110"/>
      <c r="I784" s="112"/>
      <c r="J784" s="112"/>
      <c r="K784" s="112"/>
      <c r="L784" s="114"/>
      <c r="M784" s="114"/>
      <c r="N784" s="112"/>
      <c r="O784" s="115"/>
      <c r="P784" s="115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</row>
    <row r="785" spans="1:28" ht="15.75" customHeight="1" x14ac:dyDescent="0.25">
      <c r="A785" s="116"/>
      <c r="B785" s="112"/>
      <c r="C785" s="113"/>
      <c r="D785" s="111"/>
      <c r="E785" s="113"/>
      <c r="F785" s="111"/>
      <c r="G785" s="112"/>
      <c r="H785" s="110"/>
      <c r="I785" s="112"/>
      <c r="J785" s="112"/>
      <c r="K785" s="112"/>
      <c r="L785" s="114"/>
      <c r="M785" s="114"/>
      <c r="N785" s="112"/>
      <c r="O785" s="115"/>
      <c r="P785" s="115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</row>
    <row r="786" spans="1:28" ht="15.75" customHeight="1" x14ac:dyDescent="0.25">
      <c r="A786" s="116"/>
      <c r="B786" s="112"/>
      <c r="C786" s="113"/>
      <c r="D786" s="111"/>
      <c r="E786" s="113"/>
      <c r="F786" s="111"/>
      <c r="G786" s="112"/>
      <c r="H786" s="110"/>
      <c r="I786" s="112"/>
      <c r="J786" s="112"/>
      <c r="K786" s="112"/>
      <c r="L786" s="114"/>
      <c r="M786" s="114"/>
      <c r="N786" s="112"/>
      <c r="O786" s="115"/>
      <c r="P786" s="115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</row>
    <row r="787" spans="1:28" ht="15.75" customHeight="1" x14ac:dyDescent="0.25">
      <c r="A787" s="116"/>
      <c r="B787" s="112"/>
      <c r="C787" s="113"/>
      <c r="D787" s="111"/>
      <c r="E787" s="113"/>
      <c r="F787" s="111"/>
      <c r="G787" s="112"/>
      <c r="H787" s="110"/>
      <c r="I787" s="112"/>
      <c r="J787" s="112"/>
      <c r="K787" s="112"/>
      <c r="L787" s="114"/>
      <c r="M787" s="114"/>
      <c r="N787" s="112"/>
      <c r="O787" s="115"/>
      <c r="P787" s="115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</row>
    <row r="788" spans="1:28" ht="15.75" customHeight="1" x14ac:dyDescent="0.25">
      <c r="A788" s="116"/>
      <c r="B788" s="112"/>
      <c r="C788" s="113"/>
      <c r="D788" s="111"/>
      <c r="E788" s="113"/>
      <c r="F788" s="111"/>
      <c r="G788" s="112"/>
      <c r="H788" s="110"/>
      <c r="I788" s="112"/>
      <c r="J788" s="112"/>
      <c r="K788" s="112"/>
      <c r="L788" s="114"/>
      <c r="M788" s="114"/>
      <c r="N788" s="112"/>
      <c r="O788" s="115"/>
      <c r="P788" s="115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</row>
    <row r="789" spans="1:28" ht="15.75" customHeight="1" x14ac:dyDescent="0.25">
      <c r="A789" s="116"/>
      <c r="B789" s="112"/>
      <c r="C789" s="113"/>
      <c r="D789" s="111"/>
      <c r="E789" s="113"/>
      <c r="F789" s="111"/>
      <c r="G789" s="112"/>
      <c r="H789" s="110"/>
      <c r="I789" s="112"/>
      <c r="J789" s="112"/>
      <c r="K789" s="112"/>
      <c r="L789" s="114"/>
      <c r="M789" s="114"/>
      <c r="N789" s="112"/>
      <c r="O789" s="115"/>
      <c r="P789" s="115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</row>
    <row r="790" spans="1:28" ht="15.75" customHeight="1" x14ac:dyDescent="0.25">
      <c r="A790" s="116"/>
      <c r="B790" s="112"/>
      <c r="C790" s="113"/>
      <c r="D790" s="111"/>
      <c r="E790" s="113"/>
      <c r="F790" s="111"/>
      <c r="G790" s="112"/>
      <c r="H790" s="110"/>
      <c r="I790" s="112"/>
      <c r="J790" s="112"/>
      <c r="K790" s="112"/>
      <c r="L790" s="114"/>
      <c r="M790" s="114"/>
      <c r="N790" s="112"/>
      <c r="O790" s="115"/>
      <c r="P790" s="115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</row>
    <row r="791" spans="1:28" ht="15.75" customHeight="1" x14ac:dyDescent="0.25">
      <c r="A791" s="116"/>
      <c r="B791" s="112"/>
      <c r="C791" s="113"/>
      <c r="D791" s="111"/>
      <c r="E791" s="113"/>
      <c r="F791" s="111"/>
      <c r="G791" s="112"/>
      <c r="H791" s="110"/>
      <c r="I791" s="112"/>
      <c r="J791" s="112"/>
      <c r="K791" s="112"/>
      <c r="L791" s="114"/>
      <c r="M791" s="114"/>
      <c r="N791" s="112"/>
      <c r="O791" s="115"/>
      <c r="P791" s="115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</row>
    <row r="792" spans="1:28" ht="15.75" customHeight="1" x14ac:dyDescent="0.25">
      <c r="A792" s="116"/>
      <c r="B792" s="112"/>
      <c r="C792" s="113"/>
      <c r="D792" s="111"/>
      <c r="E792" s="113"/>
      <c r="F792" s="111"/>
      <c r="G792" s="112"/>
      <c r="H792" s="110"/>
      <c r="I792" s="112"/>
      <c r="J792" s="112"/>
      <c r="K792" s="112"/>
      <c r="L792" s="114"/>
      <c r="M792" s="114"/>
      <c r="N792" s="112"/>
      <c r="O792" s="115"/>
      <c r="P792" s="115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</row>
    <row r="793" spans="1:28" ht="15.75" customHeight="1" x14ac:dyDescent="0.25">
      <c r="A793" s="116"/>
      <c r="B793" s="112"/>
      <c r="C793" s="113"/>
      <c r="D793" s="111"/>
      <c r="E793" s="113"/>
      <c r="F793" s="111"/>
      <c r="G793" s="112"/>
      <c r="H793" s="110"/>
      <c r="I793" s="112"/>
      <c r="J793" s="112"/>
      <c r="K793" s="112"/>
      <c r="L793" s="114"/>
      <c r="M793" s="114"/>
      <c r="N793" s="112"/>
      <c r="O793" s="115"/>
      <c r="P793" s="115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</row>
    <row r="794" spans="1:28" ht="15.75" customHeight="1" x14ac:dyDescent="0.25">
      <c r="A794" s="116"/>
      <c r="B794" s="112"/>
      <c r="C794" s="113"/>
      <c r="D794" s="111"/>
      <c r="E794" s="113"/>
      <c r="F794" s="111"/>
      <c r="G794" s="112"/>
      <c r="H794" s="110"/>
      <c r="I794" s="112"/>
      <c r="J794" s="112"/>
      <c r="K794" s="112"/>
      <c r="L794" s="114"/>
      <c r="M794" s="114"/>
      <c r="N794" s="112"/>
      <c r="O794" s="115"/>
      <c r="P794" s="115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</row>
    <row r="795" spans="1:28" ht="15.75" customHeight="1" x14ac:dyDescent="0.25">
      <c r="A795" s="116"/>
      <c r="B795" s="112"/>
      <c r="C795" s="113"/>
      <c r="D795" s="111"/>
      <c r="E795" s="113"/>
      <c r="F795" s="111"/>
      <c r="G795" s="112"/>
      <c r="H795" s="110"/>
      <c r="I795" s="112"/>
      <c r="J795" s="112"/>
      <c r="K795" s="112"/>
      <c r="L795" s="114"/>
      <c r="M795" s="114"/>
      <c r="N795" s="112"/>
      <c r="O795" s="115"/>
      <c r="P795" s="115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</row>
    <row r="796" spans="1:28" ht="15.75" customHeight="1" x14ac:dyDescent="0.25">
      <c r="A796" s="116"/>
      <c r="B796" s="112"/>
      <c r="C796" s="113"/>
      <c r="D796" s="111"/>
      <c r="E796" s="113"/>
      <c r="F796" s="111"/>
      <c r="G796" s="112"/>
      <c r="H796" s="110"/>
      <c r="I796" s="112"/>
      <c r="J796" s="112"/>
      <c r="K796" s="112"/>
      <c r="L796" s="114"/>
      <c r="M796" s="114"/>
      <c r="N796" s="112"/>
      <c r="O796" s="115"/>
      <c r="P796" s="115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</row>
    <row r="797" spans="1:28" ht="15.75" customHeight="1" x14ac:dyDescent="0.25">
      <c r="A797" s="116"/>
      <c r="B797" s="112"/>
      <c r="C797" s="113"/>
      <c r="D797" s="111"/>
      <c r="E797" s="113"/>
      <c r="F797" s="111"/>
      <c r="G797" s="112"/>
      <c r="H797" s="110"/>
      <c r="I797" s="112"/>
      <c r="J797" s="112"/>
      <c r="K797" s="112"/>
      <c r="L797" s="114"/>
      <c r="M797" s="114"/>
      <c r="N797" s="112"/>
      <c r="O797" s="115"/>
      <c r="P797" s="115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</row>
    <row r="798" spans="1:28" ht="15.75" customHeight="1" x14ac:dyDescent="0.25">
      <c r="A798" s="116"/>
      <c r="B798" s="112"/>
      <c r="C798" s="113"/>
      <c r="D798" s="111"/>
      <c r="E798" s="113"/>
      <c r="F798" s="111"/>
      <c r="G798" s="112"/>
      <c r="H798" s="110"/>
      <c r="I798" s="112"/>
      <c r="J798" s="112"/>
      <c r="K798" s="112"/>
      <c r="L798" s="114"/>
      <c r="M798" s="114"/>
      <c r="N798" s="112"/>
      <c r="O798" s="115"/>
      <c r="P798" s="115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</row>
    <row r="799" spans="1:28" ht="15.75" customHeight="1" x14ac:dyDescent="0.25">
      <c r="A799" s="116"/>
      <c r="B799" s="112"/>
      <c r="C799" s="113"/>
      <c r="D799" s="111"/>
      <c r="E799" s="113"/>
      <c r="F799" s="111"/>
      <c r="G799" s="112"/>
      <c r="H799" s="110"/>
      <c r="I799" s="112"/>
      <c r="J799" s="112"/>
      <c r="K799" s="112"/>
      <c r="L799" s="114"/>
      <c r="M799" s="114"/>
      <c r="N799" s="112"/>
      <c r="O799" s="115"/>
      <c r="P799" s="115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</row>
    <row r="800" spans="1:28" ht="15.75" customHeight="1" x14ac:dyDescent="0.25">
      <c r="A800" s="116"/>
      <c r="B800" s="112"/>
      <c r="C800" s="113"/>
      <c r="D800" s="111"/>
      <c r="E800" s="113"/>
      <c r="F800" s="111"/>
      <c r="G800" s="112"/>
      <c r="H800" s="110"/>
      <c r="I800" s="112"/>
      <c r="J800" s="112"/>
      <c r="K800" s="112"/>
      <c r="L800" s="114"/>
      <c r="M800" s="114"/>
      <c r="N800" s="112"/>
      <c r="O800" s="115"/>
      <c r="P800" s="115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</row>
    <row r="801" spans="1:28" ht="15.75" customHeight="1" x14ac:dyDescent="0.25">
      <c r="A801" s="116"/>
      <c r="B801" s="112"/>
      <c r="C801" s="113"/>
      <c r="D801" s="111"/>
      <c r="E801" s="113"/>
      <c r="F801" s="111"/>
      <c r="G801" s="112"/>
      <c r="H801" s="110"/>
      <c r="I801" s="112"/>
      <c r="J801" s="112"/>
      <c r="K801" s="112"/>
      <c r="L801" s="114"/>
      <c r="M801" s="114"/>
      <c r="N801" s="112"/>
      <c r="O801" s="115"/>
      <c r="P801" s="115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</row>
    <row r="802" spans="1:28" ht="15.75" customHeight="1" x14ac:dyDescent="0.25">
      <c r="A802" s="116"/>
      <c r="B802" s="112"/>
      <c r="C802" s="113"/>
      <c r="D802" s="111"/>
      <c r="E802" s="113"/>
      <c r="F802" s="111"/>
      <c r="G802" s="112"/>
      <c r="H802" s="110"/>
      <c r="I802" s="112"/>
      <c r="J802" s="112"/>
      <c r="K802" s="112"/>
      <c r="L802" s="114"/>
      <c r="M802" s="114"/>
      <c r="N802" s="112"/>
      <c r="O802" s="115"/>
      <c r="P802" s="115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</row>
    <row r="803" spans="1:28" ht="15.75" customHeight="1" x14ac:dyDescent="0.25">
      <c r="A803" s="116"/>
      <c r="B803" s="112"/>
      <c r="C803" s="113"/>
      <c r="D803" s="111"/>
      <c r="E803" s="113"/>
      <c r="F803" s="111"/>
      <c r="G803" s="112"/>
      <c r="H803" s="110"/>
      <c r="I803" s="112"/>
      <c r="J803" s="112"/>
      <c r="K803" s="112"/>
      <c r="L803" s="114"/>
      <c r="M803" s="114"/>
      <c r="N803" s="112"/>
      <c r="O803" s="115"/>
      <c r="P803" s="115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</row>
    <row r="804" spans="1:28" ht="15.75" customHeight="1" x14ac:dyDescent="0.25">
      <c r="A804" s="116"/>
      <c r="B804" s="112"/>
      <c r="C804" s="113"/>
      <c r="D804" s="111"/>
      <c r="E804" s="113"/>
      <c r="F804" s="111"/>
      <c r="G804" s="112"/>
      <c r="H804" s="110"/>
      <c r="I804" s="112"/>
      <c r="J804" s="112"/>
      <c r="K804" s="112"/>
      <c r="L804" s="114"/>
      <c r="M804" s="114"/>
      <c r="N804" s="112"/>
      <c r="O804" s="115"/>
      <c r="P804" s="115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</row>
    <row r="805" spans="1:28" ht="15.75" customHeight="1" x14ac:dyDescent="0.25">
      <c r="A805" s="116"/>
      <c r="B805" s="112"/>
      <c r="C805" s="113"/>
      <c r="D805" s="111"/>
      <c r="E805" s="113"/>
      <c r="F805" s="111"/>
      <c r="G805" s="112"/>
      <c r="H805" s="110"/>
      <c r="I805" s="112"/>
      <c r="J805" s="112"/>
      <c r="K805" s="112"/>
      <c r="L805" s="114"/>
      <c r="M805" s="114"/>
      <c r="N805" s="112"/>
      <c r="O805" s="115"/>
      <c r="P805" s="115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</row>
    <row r="806" spans="1:28" ht="15.75" customHeight="1" x14ac:dyDescent="0.25">
      <c r="A806" s="116"/>
      <c r="B806" s="112"/>
      <c r="C806" s="113"/>
      <c r="D806" s="111"/>
      <c r="E806" s="113"/>
      <c r="F806" s="111"/>
      <c r="G806" s="112"/>
      <c r="H806" s="110"/>
      <c r="I806" s="112"/>
      <c r="J806" s="112"/>
      <c r="K806" s="112"/>
      <c r="L806" s="114"/>
      <c r="M806" s="114"/>
      <c r="N806" s="112"/>
      <c r="O806" s="115"/>
      <c r="P806" s="115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</row>
    <row r="807" spans="1:28" ht="15.75" customHeight="1" x14ac:dyDescent="0.25">
      <c r="A807" s="116"/>
      <c r="B807" s="112"/>
      <c r="C807" s="113"/>
      <c r="D807" s="111"/>
      <c r="E807" s="113"/>
      <c r="F807" s="111"/>
      <c r="G807" s="112"/>
      <c r="H807" s="110"/>
      <c r="I807" s="112"/>
      <c r="J807" s="112"/>
      <c r="K807" s="112"/>
      <c r="L807" s="114"/>
      <c r="M807" s="114"/>
      <c r="N807" s="112"/>
      <c r="O807" s="115"/>
      <c r="P807" s="115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</row>
    <row r="808" spans="1:28" ht="15.75" customHeight="1" x14ac:dyDescent="0.25">
      <c r="A808" s="116"/>
      <c r="B808" s="112"/>
      <c r="C808" s="113"/>
      <c r="D808" s="111"/>
      <c r="E808" s="113"/>
      <c r="F808" s="111"/>
      <c r="G808" s="112"/>
      <c r="H808" s="110"/>
      <c r="I808" s="112"/>
      <c r="J808" s="112"/>
      <c r="K808" s="112"/>
      <c r="L808" s="114"/>
      <c r="M808" s="114"/>
      <c r="N808" s="112"/>
      <c r="O808" s="115"/>
      <c r="P808" s="115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</row>
    <row r="809" spans="1:28" ht="15.75" customHeight="1" x14ac:dyDescent="0.25">
      <c r="A809" s="116"/>
      <c r="B809" s="112"/>
      <c r="C809" s="113"/>
      <c r="D809" s="111"/>
      <c r="E809" s="113"/>
      <c r="F809" s="111"/>
      <c r="G809" s="112"/>
      <c r="H809" s="110"/>
      <c r="I809" s="112"/>
      <c r="J809" s="112"/>
      <c r="K809" s="112"/>
      <c r="L809" s="114"/>
      <c r="M809" s="114"/>
      <c r="N809" s="112"/>
      <c r="O809" s="115"/>
      <c r="P809" s="115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</row>
    <row r="810" spans="1:28" ht="15.75" customHeight="1" x14ac:dyDescent="0.25">
      <c r="A810" s="116"/>
      <c r="B810" s="112"/>
      <c r="C810" s="113"/>
      <c r="D810" s="111"/>
      <c r="E810" s="113"/>
      <c r="F810" s="111"/>
      <c r="G810" s="112"/>
      <c r="H810" s="110"/>
      <c r="I810" s="112"/>
      <c r="J810" s="112"/>
      <c r="K810" s="112"/>
      <c r="L810" s="114"/>
      <c r="M810" s="114"/>
      <c r="N810" s="112"/>
      <c r="O810" s="115"/>
      <c r="P810" s="115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</row>
    <row r="811" spans="1:28" ht="15.75" customHeight="1" x14ac:dyDescent="0.25">
      <c r="A811" s="116"/>
      <c r="B811" s="112"/>
      <c r="C811" s="113"/>
      <c r="D811" s="111"/>
      <c r="E811" s="113"/>
      <c r="F811" s="111"/>
      <c r="G811" s="112"/>
      <c r="H811" s="110"/>
      <c r="I811" s="112"/>
      <c r="J811" s="112"/>
      <c r="K811" s="112"/>
      <c r="L811" s="114"/>
      <c r="M811" s="114"/>
      <c r="N811" s="112"/>
      <c r="O811" s="115"/>
      <c r="P811" s="115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</row>
    <row r="812" spans="1:28" ht="15.75" customHeight="1" x14ac:dyDescent="0.25">
      <c r="A812" s="116"/>
      <c r="B812" s="112"/>
      <c r="C812" s="113"/>
      <c r="D812" s="111"/>
      <c r="E812" s="113"/>
      <c r="F812" s="111"/>
      <c r="G812" s="112"/>
      <c r="H812" s="110"/>
      <c r="I812" s="112"/>
      <c r="J812" s="112"/>
      <c r="K812" s="112"/>
      <c r="L812" s="114"/>
      <c r="M812" s="114"/>
      <c r="N812" s="112"/>
      <c r="O812" s="115"/>
      <c r="P812" s="115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</row>
    <row r="813" spans="1:28" ht="15.75" customHeight="1" x14ac:dyDescent="0.25">
      <c r="A813" s="116"/>
      <c r="B813" s="112"/>
      <c r="C813" s="113"/>
      <c r="D813" s="111"/>
      <c r="E813" s="113"/>
      <c r="F813" s="111"/>
      <c r="G813" s="112"/>
      <c r="H813" s="110"/>
      <c r="I813" s="112"/>
      <c r="J813" s="112"/>
      <c r="K813" s="112"/>
      <c r="L813" s="114"/>
      <c r="M813" s="114"/>
      <c r="N813" s="112"/>
      <c r="O813" s="115"/>
      <c r="P813" s="115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</row>
    <row r="814" spans="1:28" ht="15.75" customHeight="1" x14ac:dyDescent="0.25">
      <c r="A814" s="116"/>
      <c r="B814" s="112"/>
      <c r="C814" s="113"/>
      <c r="D814" s="111"/>
      <c r="E814" s="113"/>
      <c r="F814" s="111"/>
      <c r="G814" s="112"/>
      <c r="H814" s="110"/>
      <c r="I814" s="112"/>
      <c r="J814" s="112"/>
      <c r="K814" s="112"/>
      <c r="L814" s="114"/>
      <c r="M814" s="114"/>
      <c r="N814" s="112"/>
      <c r="O814" s="115"/>
      <c r="P814" s="115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</row>
    <row r="815" spans="1:28" ht="15.75" customHeight="1" x14ac:dyDescent="0.25">
      <c r="A815" s="116"/>
      <c r="B815" s="112"/>
      <c r="C815" s="113"/>
      <c r="D815" s="111"/>
      <c r="E815" s="113"/>
      <c r="F815" s="111"/>
      <c r="G815" s="112"/>
      <c r="H815" s="110"/>
      <c r="I815" s="112"/>
      <c r="J815" s="112"/>
      <c r="K815" s="112"/>
      <c r="L815" s="114"/>
      <c r="M815" s="114"/>
      <c r="N815" s="112"/>
      <c r="O815" s="115"/>
      <c r="P815" s="115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</row>
    <row r="816" spans="1:28" ht="15.75" customHeight="1" x14ac:dyDescent="0.25">
      <c r="A816" s="116"/>
      <c r="B816" s="112"/>
      <c r="C816" s="113"/>
      <c r="D816" s="111"/>
      <c r="E816" s="113"/>
      <c r="F816" s="111"/>
      <c r="G816" s="112"/>
      <c r="H816" s="110"/>
      <c r="I816" s="112"/>
      <c r="J816" s="112"/>
      <c r="K816" s="112"/>
      <c r="L816" s="114"/>
      <c r="M816" s="114"/>
      <c r="N816" s="112"/>
      <c r="O816" s="115"/>
      <c r="P816" s="115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</row>
    <row r="817" spans="1:28" ht="15.75" customHeight="1" x14ac:dyDescent="0.25">
      <c r="A817" s="116"/>
      <c r="B817" s="112"/>
      <c r="C817" s="113"/>
      <c r="D817" s="111"/>
      <c r="E817" s="113"/>
      <c r="F817" s="111"/>
      <c r="G817" s="112"/>
      <c r="H817" s="110"/>
      <c r="I817" s="112"/>
      <c r="J817" s="112"/>
      <c r="K817" s="112"/>
      <c r="L817" s="114"/>
      <c r="M817" s="114"/>
      <c r="N817" s="112"/>
      <c r="O817" s="115"/>
      <c r="P817" s="115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</row>
    <row r="818" spans="1:28" ht="15.75" customHeight="1" x14ac:dyDescent="0.25">
      <c r="A818" s="116"/>
      <c r="B818" s="112"/>
      <c r="C818" s="113"/>
      <c r="D818" s="111"/>
      <c r="E818" s="113"/>
      <c r="F818" s="111"/>
      <c r="G818" s="112"/>
      <c r="H818" s="110"/>
      <c r="I818" s="112"/>
      <c r="J818" s="112"/>
      <c r="K818" s="112"/>
      <c r="L818" s="114"/>
      <c r="M818" s="114"/>
      <c r="N818" s="112"/>
      <c r="O818" s="115"/>
      <c r="P818" s="115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</row>
    <row r="819" spans="1:28" ht="15.75" customHeight="1" x14ac:dyDescent="0.25">
      <c r="A819" s="116"/>
      <c r="B819" s="112"/>
      <c r="C819" s="113"/>
      <c r="D819" s="111"/>
      <c r="E819" s="113"/>
      <c r="F819" s="111"/>
      <c r="G819" s="112"/>
      <c r="H819" s="110"/>
      <c r="I819" s="112"/>
      <c r="J819" s="112"/>
      <c r="K819" s="112"/>
      <c r="L819" s="114"/>
      <c r="M819" s="114"/>
      <c r="N819" s="112"/>
      <c r="O819" s="115"/>
      <c r="P819" s="115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</row>
    <row r="820" spans="1:28" ht="15.75" customHeight="1" x14ac:dyDescent="0.25">
      <c r="A820" s="116"/>
      <c r="B820" s="112"/>
      <c r="C820" s="113"/>
      <c r="D820" s="111"/>
      <c r="E820" s="113"/>
      <c r="F820" s="111"/>
      <c r="G820" s="112"/>
      <c r="H820" s="110"/>
      <c r="I820" s="112"/>
      <c r="J820" s="112"/>
      <c r="K820" s="112"/>
      <c r="L820" s="114"/>
      <c r="M820" s="114"/>
      <c r="N820" s="112"/>
      <c r="O820" s="115"/>
      <c r="P820" s="115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</row>
    <row r="821" spans="1:28" ht="15.75" customHeight="1" x14ac:dyDescent="0.25">
      <c r="A821" s="116"/>
      <c r="B821" s="112"/>
      <c r="C821" s="113"/>
      <c r="D821" s="111"/>
      <c r="E821" s="113"/>
      <c r="F821" s="111"/>
      <c r="G821" s="112"/>
      <c r="H821" s="110"/>
      <c r="I821" s="112"/>
      <c r="J821" s="112"/>
      <c r="K821" s="112"/>
      <c r="L821" s="114"/>
      <c r="M821" s="114"/>
      <c r="N821" s="112"/>
      <c r="O821" s="115"/>
      <c r="P821" s="115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</row>
    <row r="822" spans="1:28" ht="15.75" customHeight="1" x14ac:dyDescent="0.25">
      <c r="A822" s="116"/>
      <c r="B822" s="112"/>
      <c r="C822" s="113"/>
      <c r="D822" s="111"/>
      <c r="E822" s="113"/>
      <c r="F822" s="111"/>
      <c r="G822" s="112"/>
      <c r="H822" s="110"/>
      <c r="I822" s="112"/>
      <c r="J822" s="112"/>
      <c r="K822" s="112"/>
      <c r="L822" s="114"/>
      <c r="M822" s="114"/>
      <c r="N822" s="112"/>
      <c r="O822" s="115"/>
      <c r="P822" s="115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</row>
    <row r="823" spans="1:28" ht="15.75" customHeight="1" x14ac:dyDescent="0.25">
      <c r="A823" s="116"/>
      <c r="B823" s="112"/>
      <c r="C823" s="113"/>
      <c r="D823" s="111"/>
      <c r="E823" s="113"/>
      <c r="F823" s="111"/>
      <c r="G823" s="112"/>
      <c r="H823" s="110"/>
      <c r="I823" s="112"/>
      <c r="J823" s="112"/>
      <c r="K823" s="112"/>
      <c r="L823" s="114"/>
      <c r="M823" s="114"/>
      <c r="N823" s="112"/>
      <c r="O823" s="115"/>
      <c r="P823" s="115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</row>
    <row r="824" spans="1:28" ht="15.75" customHeight="1" x14ac:dyDescent="0.25">
      <c r="A824" s="116"/>
      <c r="B824" s="112"/>
      <c r="C824" s="113"/>
      <c r="D824" s="111"/>
      <c r="E824" s="113"/>
      <c r="F824" s="111"/>
      <c r="G824" s="112"/>
      <c r="H824" s="110"/>
      <c r="I824" s="112"/>
      <c r="J824" s="112"/>
      <c r="K824" s="112"/>
      <c r="L824" s="114"/>
      <c r="M824" s="114"/>
      <c r="N824" s="112"/>
      <c r="O824" s="115"/>
      <c r="P824" s="115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</row>
    <row r="825" spans="1:28" ht="15.75" customHeight="1" x14ac:dyDescent="0.25">
      <c r="A825" s="116"/>
      <c r="B825" s="112"/>
      <c r="C825" s="113"/>
      <c r="D825" s="111"/>
      <c r="E825" s="113"/>
      <c r="F825" s="111"/>
      <c r="G825" s="112"/>
      <c r="H825" s="110"/>
      <c r="I825" s="112"/>
      <c r="J825" s="112"/>
      <c r="K825" s="112"/>
      <c r="L825" s="114"/>
      <c r="M825" s="114"/>
      <c r="N825" s="112"/>
      <c r="O825" s="115"/>
      <c r="P825" s="115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</row>
    <row r="826" spans="1:28" ht="15.75" customHeight="1" x14ac:dyDescent="0.25">
      <c r="A826" s="116"/>
      <c r="B826" s="112"/>
      <c r="C826" s="113"/>
      <c r="D826" s="111"/>
      <c r="E826" s="113"/>
      <c r="F826" s="111"/>
      <c r="G826" s="112"/>
      <c r="H826" s="110"/>
      <c r="I826" s="112"/>
      <c r="J826" s="112"/>
      <c r="K826" s="112"/>
      <c r="L826" s="114"/>
      <c r="M826" s="114"/>
      <c r="N826" s="112"/>
      <c r="O826" s="115"/>
      <c r="P826" s="115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</row>
    <row r="827" spans="1:28" ht="15.75" customHeight="1" x14ac:dyDescent="0.25">
      <c r="A827" s="116"/>
      <c r="B827" s="112"/>
      <c r="C827" s="113"/>
      <c r="D827" s="111"/>
      <c r="E827" s="113"/>
      <c r="F827" s="111"/>
      <c r="G827" s="112"/>
      <c r="H827" s="110"/>
      <c r="I827" s="112"/>
      <c r="J827" s="112"/>
      <c r="K827" s="112"/>
      <c r="L827" s="114"/>
      <c r="M827" s="114"/>
      <c r="N827" s="112"/>
      <c r="O827" s="115"/>
      <c r="P827" s="115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</row>
    <row r="828" spans="1:28" ht="15.75" customHeight="1" x14ac:dyDescent="0.25">
      <c r="A828" s="116"/>
      <c r="B828" s="112"/>
      <c r="C828" s="113"/>
      <c r="D828" s="111"/>
      <c r="E828" s="113"/>
      <c r="F828" s="111"/>
      <c r="G828" s="112"/>
      <c r="H828" s="110"/>
      <c r="I828" s="112"/>
      <c r="J828" s="112"/>
      <c r="K828" s="112"/>
      <c r="L828" s="114"/>
      <c r="M828" s="114"/>
      <c r="N828" s="112"/>
      <c r="O828" s="115"/>
      <c r="P828" s="115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</row>
    <row r="829" spans="1:28" ht="15.75" customHeight="1" x14ac:dyDescent="0.25">
      <c r="A829" s="116"/>
      <c r="B829" s="112"/>
      <c r="C829" s="113"/>
      <c r="D829" s="111"/>
      <c r="E829" s="113"/>
      <c r="F829" s="111"/>
      <c r="G829" s="112"/>
      <c r="H829" s="110"/>
      <c r="I829" s="112"/>
      <c r="J829" s="112"/>
      <c r="K829" s="112"/>
      <c r="L829" s="114"/>
      <c r="M829" s="114"/>
      <c r="N829" s="112"/>
      <c r="O829" s="115"/>
      <c r="P829" s="115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</row>
    <row r="830" spans="1:28" ht="15.75" customHeight="1" x14ac:dyDescent="0.25">
      <c r="A830" s="116"/>
      <c r="B830" s="112"/>
      <c r="C830" s="113"/>
      <c r="D830" s="111"/>
      <c r="E830" s="113"/>
      <c r="F830" s="111"/>
      <c r="G830" s="112"/>
      <c r="H830" s="110"/>
      <c r="I830" s="112"/>
      <c r="J830" s="112"/>
      <c r="K830" s="112"/>
      <c r="L830" s="114"/>
      <c r="M830" s="114"/>
      <c r="N830" s="112"/>
      <c r="O830" s="115"/>
      <c r="P830" s="115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</row>
    <row r="831" spans="1:28" ht="15.75" customHeight="1" x14ac:dyDescent="0.25">
      <c r="A831" s="116"/>
      <c r="B831" s="112"/>
      <c r="C831" s="113"/>
      <c r="D831" s="111"/>
      <c r="E831" s="113"/>
      <c r="F831" s="111"/>
      <c r="G831" s="112"/>
      <c r="H831" s="110"/>
      <c r="I831" s="112"/>
      <c r="J831" s="112"/>
      <c r="K831" s="112"/>
      <c r="L831" s="114"/>
      <c r="M831" s="114"/>
      <c r="N831" s="112"/>
      <c r="O831" s="115"/>
      <c r="P831" s="115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</row>
    <row r="832" spans="1:28" ht="15.75" customHeight="1" x14ac:dyDescent="0.25">
      <c r="A832" s="116"/>
      <c r="B832" s="112"/>
      <c r="C832" s="113"/>
      <c r="D832" s="111"/>
      <c r="E832" s="113"/>
      <c r="F832" s="111"/>
      <c r="G832" s="112"/>
      <c r="H832" s="110"/>
      <c r="I832" s="112"/>
      <c r="J832" s="112"/>
      <c r="K832" s="112"/>
      <c r="L832" s="114"/>
      <c r="M832" s="114"/>
      <c r="N832" s="112"/>
      <c r="O832" s="115"/>
      <c r="P832" s="115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</row>
    <row r="833" spans="1:28" ht="15.75" customHeight="1" x14ac:dyDescent="0.25">
      <c r="A833" s="116"/>
      <c r="B833" s="112"/>
      <c r="C833" s="113"/>
      <c r="D833" s="111"/>
      <c r="E833" s="113"/>
      <c r="F833" s="111"/>
      <c r="G833" s="112"/>
      <c r="H833" s="110"/>
      <c r="I833" s="112"/>
      <c r="J833" s="112"/>
      <c r="K833" s="112"/>
      <c r="L833" s="114"/>
      <c r="M833" s="114"/>
      <c r="N833" s="112"/>
      <c r="O833" s="115"/>
      <c r="P833" s="115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</row>
    <row r="834" spans="1:28" ht="15.75" customHeight="1" x14ac:dyDescent="0.25">
      <c r="A834" s="116"/>
      <c r="B834" s="112"/>
      <c r="C834" s="113"/>
      <c r="D834" s="111"/>
      <c r="E834" s="113"/>
      <c r="F834" s="111"/>
      <c r="G834" s="112"/>
      <c r="H834" s="110"/>
      <c r="I834" s="112"/>
      <c r="J834" s="112"/>
      <c r="K834" s="112"/>
      <c r="L834" s="114"/>
      <c r="M834" s="114"/>
      <c r="N834" s="112"/>
      <c r="O834" s="115"/>
      <c r="P834" s="115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</row>
    <row r="835" spans="1:28" ht="15.75" customHeight="1" x14ac:dyDescent="0.25">
      <c r="A835" s="116"/>
      <c r="B835" s="112"/>
      <c r="C835" s="113"/>
      <c r="D835" s="111"/>
      <c r="E835" s="113"/>
      <c r="F835" s="111"/>
      <c r="G835" s="112"/>
      <c r="H835" s="110"/>
      <c r="I835" s="112"/>
      <c r="J835" s="112"/>
      <c r="K835" s="112"/>
      <c r="L835" s="114"/>
      <c r="M835" s="114"/>
      <c r="N835" s="112"/>
      <c r="O835" s="115"/>
      <c r="P835" s="115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</row>
    <row r="836" spans="1:28" ht="15.75" customHeight="1" x14ac:dyDescent="0.25">
      <c r="A836" s="116"/>
      <c r="B836" s="112"/>
      <c r="C836" s="113"/>
      <c r="D836" s="111"/>
      <c r="E836" s="113"/>
      <c r="F836" s="111"/>
      <c r="G836" s="112"/>
      <c r="H836" s="110"/>
      <c r="I836" s="112"/>
      <c r="J836" s="112"/>
      <c r="K836" s="112"/>
      <c r="L836" s="114"/>
      <c r="M836" s="114"/>
      <c r="N836" s="112"/>
      <c r="O836" s="115"/>
      <c r="P836" s="115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</row>
    <row r="837" spans="1:28" ht="15.75" customHeight="1" x14ac:dyDescent="0.25">
      <c r="A837" s="116"/>
      <c r="B837" s="112"/>
      <c r="C837" s="113"/>
      <c r="D837" s="111"/>
      <c r="E837" s="113"/>
      <c r="F837" s="111"/>
      <c r="G837" s="112"/>
      <c r="H837" s="110"/>
      <c r="I837" s="112"/>
      <c r="J837" s="112"/>
      <c r="K837" s="112"/>
      <c r="L837" s="114"/>
      <c r="M837" s="114"/>
      <c r="N837" s="112"/>
      <c r="O837" s="115"/>
      <c r="P837" s="115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</row>
    <row r="838" spans="1:28" ht="15.75" customHeight="1" x14ac:dyDescent="0.25">
      <c r="A838" s="116"/>
      <c r="B838" s="112"/>
      <c r="C838" s="113"/>
      <c r="D838" s="111"/>
      <c r="E838" s="113"/>
      <c r="F838" s="111"/>
      <c r="G838" s="112"/>
      <c r="H838" s="110"/>
      <c r="I838" s="112"/>
      <c r="J838" s="112"/>
      <c r="K838" s="112"/>
      <c r="L838" s="114"/>
      <c r="M838" s="114"/>
      <c r="N838" s="112"/>
      <c r="O838" s="115"/>
      <c r="P838" s="115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</row>
    <row r="839" spans="1:28" ht="15.75" customHeight="1" x14ac:dyDescent="0.25">
      <c r="A839" s="116"/>
      <c r="B839" s="112"/>
      <c r="C839" s="113"/>
      <c r="D839" s="111"/>
      <c r="E839" s="113"/>
      <c r="F839" s="111"/>
      <c r="G839" s="112"/>
      <c r="H839" s="110"/>
      <c r="I839" s="112"/>
      <c r="J839" s="112"/>
      <c r="K839" s="112"/>
      <c r="L839" s="114"/>
      <c r="M839" s="114"/>
      <c r="N839" s="112"/>
      <c r="O839" s="115"/>
      <c r="P839" s="115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</row>
    <row r="840" spans="1:28" ht="15.75" customHeight="1" x14ac:dyDescent="0.25">
      <c r="A840" s="116"/>
      <c r="B840" s="112"/>
      <c r="C840" s="113"/>
      <c r="D840" s="111"/>
      <c r="E840" s="113"/>
      <c r="F840" s="111"/>
      <c r="G840" s="112"/>
      <c r="H840" s="110"/>
      <c r="I840" s="112"/>
      <c r="J840" s="112"/>
      <c r="K840" s="112"/>
      <c r="L840" s="114"/>
      <c r="M840" s="114"/>
      <c r="N840" s="112"/>
      <c r="O840" s="115"/>
      <c r="P840" s="115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</row>
    <row r="841" spans="1:28" ht="15.75" customHeight="1" x14ac:dyDescent="0.25">
      <c r="A841" s="116"/>
      <c r="B841" s="112"/>
      <c r="C841" s="113"/>
      <c r="D841" s="111"/>
      <c r="E841" s="113"/>
      <c r="F841" s="111"/>
      <c r="G841" s="112"/>
      <c r="H841" s="110"/>
      <c r="I841" s="112"/>
      <c r="J841" s="112"/>
      <c r="K841" s="112"/>
      <c r="L841" s="114"/>
      <c r="M841" s="114"/>
      <c r="N841" s="112"/>
      <c r="O841" s="115"/>
      <c r="P841" s="115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</row>
    <row r="842" spans="1:28" ht="15.75" customHeight="1" x14ac:dyDescent="0.25">
      <c r="A842" s="116"/>
      <c r="B842" s="112"/>
      <c r="C842" s="113"/>
      <c r="D842" s="111"/>
      <c r="E842" s="113"/>
      <c r="F842" s="111"/>
      <c r="G842" s="112"/>
      <c r="H842" s="110"/>
      <c r="I842" s="112"/>
      <c r="J842" s="112"/>
      <c r="K842" s="112"/>
      <c r="L842" s="114"/>
      <c r="M842" s="114"/>
      <c r="N842" s="112"/>
      <c r="O842" s="115"/>
      <c r="P842" s="115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</row>
    <row r="843" spans="1:28" ht="15.75" customHeight="1" x14ac:dyDescent="0.25">
      <c r="A843" s="116"/>
      <c r="B843" s="112"/>
      <c r="C843" s="113"/>
      <c r="D843" s="111"/>
      <c r="E843" s="113"/>
      <c r="F843" s="111"/>
      <c r="G843" s="112"/>
      <c r="H843" s="110"/>
      <c r="I843" s="112"/>
      <c r="J843" s="112"/>
      <c r="K843" s="112"/>
      <c r="L843" s="114"/>
      <c r="M843" s="114"/>
      <c r="N843" s="112"/>
      <c r="O843" s="115"/>
      <c r="P843" s="115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</row>
    <row r="844" spans="1:28" ht="15.75" customHeight="1" x14ac:dyDescent="0.25">
      <c r="A844" s="116"/>
      <c r="B844" s="112"/>
      <c r="C844" s="113"/>
      <c r="D844" s="111"/>
      <c r="E844" s="113"/>
      <c r="F844" s="111"/>
      <c r="G844" s="112"/>
      <c r="H844" s="110"/>
      <c r="I844" s="112"/>
      <c r="J844" s="112"/>
      <c r="K844" s="112"/>
      <c r="L844" s="114"/>
      <c r="M844" s="114"/>
      <c r="N844" s="112"/>
      <c r="O844" s="115"/>
      <c r="P844" s="115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</row>
    <row r="845" spans="1:28" ht="15.75" customHeight="1" x14ac:dyDescent="0.25">
      <c r="A845" s="116"/>
      <c r="B845" s="112"/>
      <c r="C845" s="113"/>
      <c r="D845" s="111"/>
      <c r="E845" s="113"/>
      <c r="F845" s="111"/>
      <c r="G845" s="112"/>
      <c r="H845" s="110"/>
      <c r="I845" s="112"/>
      <c r="J845" s="112"/>
      <c r="K845" s="112"/>
      <c r="L845" s="114"/>
      <c r="M845" s="114"/>
      <c r="N845" s="112"/>
      <c r="O845" s="115"/>
      <c r="P845" s="115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</row>
    <row r="846" spans="1:28" ht="15.75" customHeight="1" x14ac:dyDescent="0.25">
      <c r="A846" s="116"/>
      <c r="B846" s="112"/>
      <c r="C846" s="113"/>
      <c r="D846" s="111"/>
      <c r="E846" s="113"/>
      <c r="F846" s="111"/>
      <c r="G846" s="112"/>
      <c r="H846" s="110"/>
      <c r="I846" s="112"/>
      <c r="J846" s="112"/>
      <c r="K846" s="112"/>
      <c r="L846" s="114"/>
      <c r="M846" s="114"/>
      <c r="N846" s="112"/>
      <c r="O846" s="115"/>
      <c r="P846" s="115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</row>
    <row r="847" spans="1:28" ht="15.75" customHeight="1" x14ac:dyDescent="0.25">
      <c r="A847" s="116"/>
      <c r="B847" s="112"/>
      <c r="C847" s="113"/>
      <c r="D847" s="111"/>
      <c r="E847" s="113"/>
      <c r="F847" s="111"/>
      <c r="G847" s="112"/>
      <c r="H847" s="110"/>
      <c r="I847" s="112"/>
      <c r="J847" s="112"/>
      <c r="K847" s="112"/>
      <c r="L847" s="114"/>
      <c r="M847" s="114"/>
      <c r="N847" s="112"/>
      <c r="O847" s="115"/>
      <c r="P847" s="115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</row>
    <row r="848" spans="1:28" ht="15.75" customHeight="1" x14ac:dyDescent="0.25">
      <c r="A848" s="116"/>
      <c r="B848" s="112"/>
      <c r="C848" s="113"/>
      <c r="D848" s="111"/>
      <c r="E848" s="113"/>
      <c r="F848" s="111"/>
      <c r="G848" s="112"/>
      <c r="H848" s="110"/>
      <c r="I848" s="112"/>
      <c r="J848" s="112"/>
      <c r="K848" s="112"/>
      <c r="L848" s="114"/>
      <c r="M848" s="114"/>
      <c r="N848" s="112"/>
      <c r="O848" s="115"/>
      <c r="P848" s="115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</row>
    <row r="849" spans="1:28" ht="15.75" customHeight="1" x14ac:dyDescent="0.25">
      <c r="A849" s="116"/>
      <c r="B849" s="112"/>
      <c r="C849" s="113"/>
      <c r="D849" s="111"/>
      <c r="E849" s="113"/>
      <c r="F849" s="111"/>
      <c r="G849" s="112"/>
      <c r="H849" s="110"/>
      <c r="I849" s="112"/>
      <c r="J849" s="112"/>
      <c r="K849" s="112"/>
      <c r="L849" s="114"/>
      <c r="M849" s="114"/>
      <c r="N849" s="112"/>
      <c r="O849" s="115"/>
      <c r="P849" s="115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</row>
    <row r="850" spans="1:28" ht="15.75" customHeight="1" x14ac:dyDescent="0.25">
      <c r="A850" s="116"/>
      <c r="B850" s="112"/>
      <c r="C850" s="113"/>
      <c r="D850" s="111"/>
      <c r="E850" s="113"/>
      <c r="F850" s="111"/>
      <c r="G850" s="112"/>
      <c r="H850" s="110"/>
      <c r="I850" s="112"/>
      <c r="J850" s="112"/>
      <c r="K850" s="112"/>
      <c r="L850" s="114"/>
      <c r="M850" s="114"/>
      <c r="N850" s="112"/>
      <c r="O850" s="115"/>
      <c r="P850" s="115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</row>
    <row r="851" spans="1:28" ht="15.75" customHeight="1" x14ac:dyDescent="0.25">
      <c r="A851" s="116"/>
      <c r="B851" s="112"/>
      <c r="C851" s="113"/>
      <c r="D851" s="111"/>
      <c r="E851" s="113"/>
      <c r="F851" s="111"/>
      <c r="G851" s="112"/>
      <c r="H851" s="110"/>
      <c r="I851" s="112"/>
      <c r="J851" s="112"/>
      <c r="K851" s="112"/>
      <c r="L851" s="114"/>
      <c r="M851" s="114"/>
      <c r="N851" s="112"/>
      <c r="O851" s="115"/>
      <c r="P851" s="115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</row>
    <row r="852" spans="1:28" ht="15.75" customHeight="1" x14ac:dyDescent="0.25">
      <c r="A852" s="116"/>
      <c r="B852" s="112"/>
      <c r="C852" s="113"/>
      <c r="D852" s="111"/>
      <c r="E852" s="113"/>
      <c r="F852" s="111"/>
      <c r="G852" s="112"/>
      <c r="H852" s="110"/>
      <c r="I852" s="112"/>
      <c r="J852" s="112"/>
      <c r="K852" s="112"/>
      <c r="L852" s="114"/>
      <c r="M852" s="114"/>
      <c r="N852" s="112"/>
      <c r="O852" s="115"/>
      <c r="P852" s="115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</row>
    <row r="853" spans="1:28" ht="15.75" customHeight="1" x14ac:dyDescent="0.25">
      <c r="A853" s="116"/>
      <c r="B853" s="112"/>
      <c r="C853" s="113"/>
      <c r="D853" s="111"/>
      <c r="E853" s="113"/>
      <c r="F853" s="111"/>
      <c r="G853" s="112"/>
      <c r="H853" s="110"/>
      <c r="I853" s="112"/>
      <c r="J853" s="112"/>
      <c r="K853" s="112"/>
      <c r="L853" s="114"/>
      <c r="M853" s="114"/>
      <c r="N853" s="112"/>
      <c r="O853" s="115"/>
      <c r="P853" s="115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</row>
    <row r="854" spans="1:28" ht="15.75" customHeight="1" x14ac:dyDescent="0.25">
      <c r="A854" s="116"/>
      <c r="B854" s="112"/>
      <c r="C854" s="113"/>
      <c r="D854" s="111"/>
      <c r="E854" s="113"/>
      <c r="F854" s="111"/>
      <c r="G854" s="112"/>
      <c r="H854" s="110"/>
      <c r="I854" s="112"/>
      <c r="J854" s="112"/>
      <c r="K854" s="112"/>
      <c r="L854" s="114"/>
      <c r="M854" s="114"/>
      <c r="N854" s="112"/>
      <c r="O854" s="115"/>
      <c r="P854" s="115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</row>
    <row r="855" spans="1:28" ht="15.75" customHeight="1" x14ac:dyDescent="0.25">
      <c r="A855" s="116"/>
      <c r="B855" s="112"/>
      <c r="C855" s="113"/>
      <c r="D855" s="111"/>
      <c r="E855" s="113"/>
      <c r="F855" s="111"/>
      <c r="G855" s="112"/>
      <c r="H855" s="110"/>
      <c r="I855" s="112"/>
      <c r="J855" s="112"/>
      <c r="K855" s="112"/>
      <c r="L855" s="114"/>
      <c r="M855" s="114"/>
      <c r="N855" s="112"/>
      <c r="O855" s="115"/>
      <c r="P855" s="115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</row>
    <row r="856" spans="1:28" ht="15.75" customHeight="1" x14ac:dyDescent="0.25">
      <c r="A856" s="116"/>
      <c r="B856" s="112"/>
      <c r="C856" s="113"/>
      <c r="D856" s="111"/>
      <c r="E856" s="113"/>
      <c r="F856" s="111"/>
      <c r="G856" s="112"/>
      <c r="H856" s="110"/>
      <c r="I856" s="112"/>
      <c r="J856" s="112"/>
      <c r="K856" s="112"/>
      <c r="L856" s="114"/>
      <c r="M856" s="114"/>
      <c r="N856" s="112"/>
      <c r="O856" s="115"/>
      <c r="P856" s="115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</row>
    <row r="857" spans="1:28" ht="15.75" customHeight="1" x14ac:dyDescent="0.25">
      <c r="A857" s="116"/>
      <c r="B857" s="112"/>
      <c r="C857" s="113"/>
      <c r="D857" s="111"/>
      <c r="E857" s="113"/>
      <c r="F857" s="111"/>
      <c r="G857" s="112"/>
      <c r="H857" s="110"/>
      <c r="I857" s="112"/>
      <c r="J857" s="112"/>
      <c r="K857" s="112"/>
      <c r="L857" s="114"/>
      <c r="M857" s="114"/>
      <c r="N857" s="112"/>
      <c r="O857" s="115"/>
      <c r="P857" s="115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</row>
    <row r="858" spans="1:28" ht="15.75" customHeight="1" x14ac:dyDescent="0.25">
      <c r="A858" s="116"/>
      <c r="B858" s="112"/>
      <c r="C858" s="113"/>
      <c r="D858" s="111"/>
      <c r="E858" s="113"/>
      <c r="F858" s="111"/>
      <c r="G858" s="112"/>
      <c r="H858" s="110"/>
      <c r="I858" s="112"/>
      <c r="J858" s="112"/>
      <c r="K858" s="112"/>
      <c r="L858" s="114"/>
      <c r="M858" s="114"/>
      <c r="N858" s="112"/>
      <c r="O858" s="115"/>
      <c r="P858" s="115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</row>
    <row r="859" spans="1:28" ht="15.75" customHeight="1" x14ac:dyDescent="0.25">
      <c r="A859" s="116"/>
      <c r="B859" s="112"/>
      <c r="C859" s="113"/>
      <c r="D859" s="111"/>
      <c r="E859" s="113"/>
      <c r="F859" s="111"/>
      <c r="G859" s="112"/>
      <c r="H859" s="110"/>
      <c r="I859" s="112"/>
      <c r="J859" s="112"/>
      <c r="K859" s="112"/>
      <c r="L859" s="114"/>
      <c r="M859" s="114"/>
      <c r="N859" s="112"/>
      <c r="O859" s="115"/>
      <c r="P859" s="115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</row>
    <row r="860" spans="1:28" ht="15.75" customHeight="1" x14ac:dyDescent="0.25">
      <c r="A860" s="116"/>
      <c r="B860" s="112"/>
      <c r="C860" s="113"/>
      <c r="D860" s="111"/>
      <c r="E860" s="113"/>
      <c r="F860" s="111"/>
      <c r="G860" s="112"/>
      <c r="H860" s="110"/>
      <c r="I860" s="112"/>
      <c r="J860" s="112"/>
      <c r="K860" s="112"/>
      <c r="L860" s="114"/>
      <c r="M860" s="114"/>
      <c r="N860" s="112"/>
      <c r="O860" s="115"/>
      <c r="P860" s="115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</row>
    <row r="861" spans="1:28" ht="15.75" customHeight="1" x14ac:dyDescent="0.25">
      <c r="A861" s="116"/>
      <c r="B861" s="112"/>
      <c r="C861" s="113"/>
      <c r="D861" s="111"/>
      <c r="E861" s="113"/>
      <c r="F861" s="111"/>
      <c r="G861" s="112"/>
      <c r="H861" s="110"/>
      <c r="I861" s="112"/>
      <c r="J861" s="112"/>
      <c r="K861" s="112"/>
      <c r="L861" s="114"/>
      <c r="M861" s="114"/>
      <c r="N861" s="112"/>
      <c r="O861" s="115"/>
      <c r="P861" s="115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</row>
    <row r="862" spans="1:28" ht="15.75" customHeight="1" x14ac:dyDescent="0.25">
      <c r="A862" s="116"/>
      <c r="B862" s="112"/>
      <c r="C862" s="113"/>
      <c r="D862" s="111"/>
      <c r="E862" s="113"/>
      <c r="F862" s="111"/>
      <c r="G862" s="112"/>
      <c r="H862" s="110"/>
      <c r="I862" s="112"/>
      <c r="J862" s="112"/>
      <c r="K862" s="112"/>
      <c r="L862" s="114"/>
      <c r="M862" s="114"/>
      <c r="N862" s="112"/>
      <c r="O862" s="115"/>
      <c r="P862" s="115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</row>
    <row r="863" spans="1:28" ht="15.75" customHeight="1" x14ac:dyDescent="0.25">
      <c r="A863" s="116"/>
      <c r="B863" s="112"/>
      <c r="C863" s="113"/>
      <c r="D863" s="111"/>
      <c r="E863" s="113"/>
      <c r="F863" s="111"/>
      <c r="G863" s="112"/>
      <c r="H863" s="110"/>
      <c r="I863" s="112"/>
      <c r="J863" s="112"/>
      <c r="K863" s="112"/>
      <c r="L863" s="114"/>
      <c r="M863" s="114"/>
      <c r="N863" s="112"/>
      <c r="O863" s="115"/>
      <c r="P863" s="115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</row>
    <row r="864" spans="1:28" ht="15.75" customHeight="1" x14ac:dyDescent="0.25">
      <c r="A864" s="116"/>
      <c r="B864" s="112"/>
      <c r="C864" s="113"/>
      <c r="D864" s="111"/>
      <c r="E864" s="113"/>
      <c r="F864" s="111"/>
      <c r="G864" s="112"/>
      <c r="H864" s="110"/>
      <c r="I864" s="112"/>
      <c r="J864" s="112"/>
      <c r="K864" s="112"/>
      <c r="L864" s="114"/>
      <c r="M864" s="114"/>
      <c r="N864" s="112"/>
      <c r="O864" s="115"/>
      <c r="P864" s="115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</row>
    <row r="865" spans="1:28" ht="15.75" customHeight="1" x14ac:dyDescent="0.25">
      <c r="A865" s="116"/>
      <c r="B865" s="112"/>
      <c r="C865" s="113"/>
      <c r="D865" s="111"/>
      <c r="E865" s="113"/>
      <c r="F865" s="111"/>
      <c r="G865" s="112"/>
      <c r="H865" s="110"/>
      <c r="I865" s="112"/>
      <c r="J865" s="112"/>
      <c r="K865" s="112"/>
      <c r="L865" s="114"/>
      <c r="M865" s="114"/>
      <c r="N865" s="112"/>
      <c r="O865" s="115"/>
      <c r="P865" s="115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</row>
    <row r="866" spans="1:28" ht="15.75" customHeight="1" x14ac:dyDescent="0.25">
      <c r="A866" s="116"/>
      <c r="B866" s="112"/>
      <c r="C866" s="113"/>
      <c r="D866" s="111"/>
      <c r="E866" s="113"/>
      <c r="F866" s="111"/>
      <c r="G866" s="112"/>
      <c r="H866" s="110"/>
      <c r="I866" s="112"/>
      <c r="J866" s="112"/>
      <c r="K866" s="112"/>
      <c r="L866" s="114"/>
      <c r="M866" s="114"/>
      <c r="N866" s="112"/>
      <c r="O866" s="115"/>
      <c r="P866" s="115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</row>
    <row r="867" spans="1:28" ht="15.75" customHeight="1" x14ac:dyDescent="0.25">
      <c r="A867" s="116"/>
      <c r="B867" s="112"/>
      <c r="C867" s="113"/>
      <c r="D867" s="111"/>
      <c r="E867" s="113"/>
      <c r="F867" s="111"/>
      <c r="G867" s="112"/>
      <c r="H867" s="110"/>
      <c r="I867" s="112"/>
      <c r="J867" s="112"/>
      <c r="K867" s="112"/>
      <c r="L867" s="114"/>
      <c r="M867" s="114"/>
      <c r="N867" s="112"/>
      <c r="O867" s="115"/>
      <c r="P867" s="115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</row>
    <row r="868" spans="1:28" ht="15.75" customHeight="1" x14ac:dyDescent="0.25">
      <c r="A868" s="116"/>
      <c r="B868" s="112"/>
      <c r="C868" s="113"/>
      <c r="D868" s="111"/>
      <c r="E868" s="113"/>
      <c r="F868" s="111"/>
      <c r="G868" s="112"/>
      <c r="H868" s="110"/>
      <c r="I868" s="112"/>
      <c r="J868" s="112"/>
      <c r="K868" s="112"/>
      <c r="L868" s="114"/>
      <c r="M868" s="114"/>
      <c r="N868" s="112"/>
      <c r="O868" s="115"/>
      <c r="P868" s="115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</row>
    <row r="869" spans="1:28" ht="15.75" customHeight="1" x14ac:dyDescent="0.25">
      <c r="A869" s="116"/>
      <c r="B869" s="112"/>
      <c r="C869" s="113"/>
      <c r="D869" s="111"/>
      <c r="E869" s="113"/>
      <c r="F869" s="111"/>
      <c r="G869" s="112"/>
      <c r="H869" s="110"/>
      <c r="I869" s="112"/>
      <c r="J869" s="112"/>
      <c r="K869" s="112"/>
      <c r="L869" s="114"/>
      <c r="M869" s="114"/>
      <c r="N869" s="112"/>
      <c r="O869" s="115"/>
      <c r="P869" s="115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</row>
    <row r="870" spans="1:28" ht="15.75" customHeight="1" x14ac:dyDescent="0.25">
      <c r="A870" s="116"/>
      <c r="B870" s="112"/>
      <c r="C870" s="113"/>
      <c r="D870" s="111"/>
      <c r="E870" s="113"/>
      <c r="F870" s="111"/>
      <c r="G870" s="112"/>
      <c r="H870" s="110"/>
      <c r="I870" s="112"/>
      <c r="J870" s="112"/>
      <c r="K870" s="112"/>
      <c r="L870" s="114"/>
      <c r="M870" s="114"/>
      <c r="N870" s="112"/>
      <c r="O870" s="115"/>
      <c r="P870" s="115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</row>
    <row r="871" spans="1:28" ht="15.75" customHeight="1" x14ac:dyDescent="0.25">
      <c r="A871" s="116"/>
      <c r="B871" s="112"/>
      <c r="C871" s="113"/>
      <c r="D871" s="111"/>
      <c r="E871" s="113"/>
      <c r="F871" s="111"/>
      <c r="G871" s="112"/>
      <c r="H871" s="110"/>
      <c r="I871" s="112"/>
      <c r="J871" s="112"/>
      <c r="K871" s="112"/>
      <c r="L871" s="114"/>
      <c r="M871" s="114"/>
      <c r="N871" s="112"/>
      <c r="O871" s="115"/>
      <c r="P871" s="115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</row>
    <row r="872" spans="1:28" ht="15.75" customHeight="1" x14ac:dyDescent="0.25">
      <c r="A872" s="116"/>
      <c r="B872" s="112"/>
      <c r="C872" s="113"/>
      <c r="D872" s="111"/>
      <c r="E872" s="113"/>
      <c r="F872" s="111"/>
      <c r="G872" s="112"/>
      <c r="H872" s="110"/>
      <c r="I872" s="112"/>
      <c r="J872" s="112"/>
      <c r="K872" s="112"/>
      <c r="L872" s="114"/>
      <c r="M872" s="114"/>
      <c r="N872" s="112"/>
      <c r="O872" s="115"/>
      <c r="P872" s="115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</row>
    <row r="873" spans="1:28" ht="15.75" customHeight="1" x14ac:dyDescent="0.25">
      <c r="A873" s="116"/>
      <c r="B873" s="112"/>
      <c r="C873" s="113"/>
      <c r="D873" s="111"/>
      <c r="E873" s="113"/>
      <c r="F873" s="111"/>
      <c r="G873" s="112"/>
      <c r="H873" s="110"/>
      <c r="I873" s="112"/>
      <c r="J873" s="112"/>
      <c r="K873" s="112"/>
      <c r="L873" s="114"/>
      <c r="M873" s="114"/>
      <c r="N873" s="112"/>
      <c r="O873" s="115"/>
      <c r="P873" s="115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</row>
    <row r="874" spans="1:28" ht="15.75" customHeight="1" x14ac:dyDescent="0.25">
      <c r="A874" s="116"/>
      <c r="B874" s="112"/>
      <c r="C874" s="113"/>
      <c r="D874" s="111"/>
      <c r="E874" s="113"/>
      <c r="F874" s="111"/>
      <c r="G874" s="112"/>
      <c r="H874" s="110"/>
      <c r="I874" s="112"/>
      <c r="J874" s="112"/>
      <c r="K874" s="112"/>
      <c r="L874" s="114"/>
      <c r="M874" s="114"/>
      <c r="N874" s="112"/>
      <c r="O874" s="115"/>
      <c r="P874" s="115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</row>
    <row r="875" spans="1:28" ht="15.75" customHeight="1" x14ac:dyDescent="0.25">
      <c r="A875" s="116"/>
      <c r="B875" s="112"/>
      <c r="C875" s="113"/>
      <c r="D875" s="111"/>
      <c r="E875" s="113"/>
      <c r="F875" s="111"/>
      <c r="G875" s="112"/>
      <c r="H875" s="110"/>
      <c r="I875" s="112"/>
      <c r="J875" s="112"/>
      <c r="K875" s="112"/>
      <c r="L875" s="114"/>
      <c r="M875" s="114"/>
      <c r="N875" s="112"/>
      <c r="O875" s="115"/>
      <c r="P875" s="115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</row>
    <row r="876" spans="1:28" ht="15.75" customHeight="1" x14ac:dyDescent="0.25">
      <c r="A876" s="116"/>
      <c r="B876" s="112"/>
      <c r="C876" s="113"/>
      <c r="D876" s="111"/>
      <c r="E876" s="113"/>
      <c r="F876" s="111"/>
      <c r="G876" s="112"/>
      <c r="H876" s="110"/>
      <c r="I876" s="112"/>
      <c r="J876" s="112"/>
      <c r="K876" s="112"/>
      <c r="L876" s="114"/>
      <c r="M876" s="114"/>
      <c r="N876" s="112"/>
      <c r="O876" s="115"/>
      <c r="P876" s="115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</row>
    <row r="877" spans="1:28" ht="15.75" customHeight="1" x14ac:dyDescent="0.25">
      <c r="A877" s="116"/>
      <c r="B877" s="112"/>
      <c r="C877" s="113"/>
      <c r="D877" s="111"/>
      <c r="E877" s="113"/>
      <c r="F877" s="111"/>
      <c r="G877" s="112"/>
      <c r="H877" s="110"/>
      <c r="I877" s="112"/>
      <c r="J877" s="112"/>
      <c r="K877" s="112"/>
      <c r="L877" s="114"/>
      <c r="M877" s="114"/>
      <c r="N877" s="112"/>
      <c r="O877" s="115"/>
      <c r="P877" s="115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</row>
    <row r="878" spans="1:28" ht="15.75" customHeight="1" x14ac:dyDescent="0.25">
      <c r="A878" s="116"/>
      <c r="B878" s="112"/>
      <c r="C878" s="113"/>
      <c r="D878" s="111"/>
      <c r="E878" s="113"/>
      <c r="F878" s="111"/>
      <c r="G878" s="112"/>
      <c r="H878" s="110"/>
      <c r="I878" s="112"/>
      <c r="J878" s="112"/>
      <c r="K878" s="112"/>
      <c r="L878" s="114"/>
      <c r="M878" s="114"/>
      <c r="N878" s="112"/>
      <c r="O878" s="115"/>
      <c r="P878" s="115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</row>
    <row r="879" spans="1:28" ht="15.75" customHeight="1" x14ac:dyDescent="0.25">
      <c r="A879" s="116"/>
      <c r="B879" s="112"/>
      <c r="C879" s="113"/>
      <c r="D879" s="111"/>
      <c r="E879" s="113"/>
      <c r="F879" s="111"/>
      <c r="G879" s="112"/>
      <c r="H879" s="110"/>
      <c r="I879" s="112"/>
      <c r="J879" s="112"/>
      <c r="K879" s="112"/>
      <c r="L879" s="114"/>
      <c r="M879" s="114"/>
      <c r="N879" s="112"/>
      <c r="O879" s="115"/>
      <c r="P879" s="115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</row>
    <row r="880" spans="1:28" ht="15.75" customHeight="1" x14ac:dyDescent="0.25">
      <c r="A880" s="116"/>
      <c r="B880" s="112"/>
      <c r="C880" s="113"/>
      <c r="D880" s="111"/>
      <c r="E880" s="113"/>
      <c r="F880" s="111"/>
      <c r="G880" s="112"/>
      <c r="H880" s="110"/>
      <c r="I880" s="112"/>
      <c r="J880" s="112"/>
      <c r="K880" s="112"/>
      <c r="L880" s="114"/>
      <c r="M880" s="114"/>
      <c r="N880" s="112"/>
      <c r="O880" s="115"/>
      <c r="P880" s="115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</row>
    <row r="881" spans="1:28" ht="15.75" customHeight="1" x14ac:dyDescent="0.25">
      <c r="A881" s="116"/>
      <c r="B881" s="112"/>
      <c r="C881" s="113"/>
      <c r="D881" s="111"/>
      <c r="E881" s="113"/>
      <c r="F881" s="111"/>
      <c r="G881" s="112"/>
      <c r="H881" s="110"/>
      <c r="I881" s="112"/>
      <c r="J881" s="112"/>
      <c r="K881" s="112"/>
      <c r="L881" s="114"/>
      <c r="M881" s="114"/>
      <c r="N881" s="112"/>
      <c r="O881" s="115"/>
      <c r="P881" s="115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</row>
    <row r="882" spans="1:28" ht="15.75" customHeight="1" x14ac:dyDescent="0.25">
      <c r="A882" s="116"/>
      <c r="B882" s="112"/>
      <c r="C882" s="113"/>
      <c r="D882" s="111"/>
      <c r="E882" s="113"/>
      <c r="F882" s="111"/>
      <c r="G882" s="112"/>
      <c r="H882" s="110"/>
      <c r="I882" s="112"/>
      <c r="J882" s="112"/>
      <c r="K882" s="112"/>
      <c r="L882" s="114"/>
      <c r="M882" s="114"/>
      <c r="N882" s="112"/>
      <c r="O882" s="115"/>
      <c r="P882" s="115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</row>
    <row r="883" spans="1:28" ht="15.75" customHeight="1" x14ac:dyDescent="0.25">
      <c r="A883" s="116"/>
      <c r="B883" s="112"/>
      <c r="C883" s="113"/>
      <c r="D883" s="111"/>
      <c r="E883" s="113"/>
      <c r="F883" s="111"/>
      <c r="G883" s="112"/>
      <c r="H883" s="110"/>
      <c r="I883" s="112"/>
      <c r="J883" s="112"/>
      <c r="K883" s="112"/>
      <c r="L883" s="114"/>
      <c r="M883" s="114"/>
      <c r="N883" s="112"/>
      <c r="O883" s="115"/>
      <c r="P883" s="115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</row>
    <row r="884" spans="1:28" ht="15.75" customHeight="1" x14ac:dyDescent="0.25">
      <c r="A884" s="116"/>
      <c r="B884" s="112"/>
      <c r="C884" s="113"/>
      <c r="D884" s="111"/>
      <c r="E884" s="113"/>
      <c r="F884" s="111"/>
      <c r="G884" s="112"/>
      <c r="H884" s="110"/>
      <c r="I884" s="112"/>
      <c r="J884" s="112"/>
      <c r="K884" s="112"/>
      <c r="L884" s="114"/>
      <c r="M884" s="114"/>
      <c r="N884" s="112"/>
      <c r="O884" s="115"/>
      <c r="P884" s="115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</row>
    <row r="885" spans="1:28" ht="15.75" customHeight="1" x14ac:dyDescent="0.25">
      <c r="A885" s="116"/>
      <c r="B885" s="112"/>
      <c r="C885" s="113"/>
      <c r="D885" s="111"/>
      <c r="E885" s="113"/>
      <c r="F885" s="111"/>
      <c r="G885" s="112"/>
      <c r="H885" s="110"/>
      <c r="I885" s="112"/>
      <c r="J885" s="112"/>
      <c r="K885" s="112"/>
      <c r="L885" s="114"/>
      <c r="M885" s="114"/>
      <c r="N885" s="112"/>
      <c r="O885" s="115"/>
      <c r="P885" s="115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</row>
    <row r="886" spans="1:28" ht="15.75" customHeight="1" x14ac:dyDescent="0.25">
      <c r="A886" s="116"/>
      <c r="B886" s="112"/>
      <c r="C886" s="113"/>
      <c r="D886" s="111"/>
      <c r="E886" s="113"/>
      <c r="F886" s="111"/>
      <c r="G886" s="112"/>
      <c r="H886" s="110"/>
      <c r="I886" s="112"/>
      <c r="J886" s="112"/>
      <c r="K886" s="112"/>
      <c r="L886" s="114"/>
      <c r="M886" s="114"/>
      <c r="N886" s="112"/>
      <c r="O886" s="115"/>
      <c r="P886" s="115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</row>
    <row r="887" spans="1:28" ht="15.75" customHeight="1" x14ac:dyDescent="0.25">
      <c r="A887" s="116"/>
      <c r="B887" s="112"/>
      <c r="C887" s="113"/>
      <c r="D887" s="111"/>
      <c r="E887" s="113"/>
      <c r="F887" s="111"/>
      <c r="G887" s="112"/>
      <c r="H887" s="110"/>
      <c r="I887" s="112"/>
      <c r="J887" s="112"/>
      <c r="K887" s="112"/>
      <c r="L887" s="114"/>
      <c r="M887" s="114"/>
      <c r="N887" s="112"/>
      <c r="O887" s="115"/>
      <c r="P887" s="115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</row>
    <row r="888" spans="1:28" ht="15.75" customHeight="1" x14ac:dyDescent="0.25">
      <c r="A888" s="116"/>
      <c r="B888" s="112"/>
      <c r="C888" s="113"/>
      <c r="D888" s="111"/>
      <c r="E888" s="113"/>
      <c r="F888" s="111"/>
      <c r="G888" s="112"/>
      <c r="H888" s="110"/>
      <c r="I888" s="112"/>
      <c r="J888" s="112"/>
      <c r="K888" s="112"/>
      <c r="L888" s="114"/>
      <c r="M888" s="114"/>
      <c r="N888" s="112"/>
      <c r="O888" s="115"/>
      <c r="P888" s="115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</row>
    <row r="889" spans="1:28" ht="15.75" customHeight="1" x14ac:dyDescent="0.25">
      <c r="A889" s="116"/>
      <c r="B889" s="112"/>
      <c r="C889" s="113"/>
      <c r="D889" s="111"/>
      <c r="E889" s="113"/>
      <c r="F889" s="111"/>
      <c r="G889" s="112"/>
      <c r="H889" s="110"/>
      <c r="I889" s="112"/>
      <c r="J889" s="112"/>
      <c r="K889" s="112"/>
      <c r="L889" s="114"/>
      <c r="M889" s="114"/>
      <c r="N889" s="112"/>
      <c r="O889" s="115"/>
      <c r="P889" s="115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</row>
    <row r="890" spans="1:28" ht="15.75" customHeight="1" x14ac:dyDescent="0.25">
      <c r="A890" s="116"/>
      <c r="B890" s="112"/>
      <c r="C890" s="113"/>
      <c r="D890" s="111"/>
      <c r="E890" s="113"/>
      <c r="F890" s="111"/>
      <c r="G890" s="112"/>
      <c r="H890" s="110"/>
      <c r="I890" s="112"/>
      <c r="J890" s="112"/>
      <c r="K890" s="112"/>
      <c r="L890" s="114"/>
      <c r="M890" s="114"/>
      <c r="N890" s="112"/>
      <c r="O890" s="115"/>
      <c r="P890" s="115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</row>
    <row r="891" spans="1:28" ht="15.75" customHeight="1" x14ac:dyDescent="0.25">
      <c r="A891" s="116"/>
      <c r="B891" s="112"/>
      <c r="C891" s="113"/>
      <c r="D891" s="111"/>
      <c r="E891" s="113"/>
      <c r="F891" s="111"/>
      <c r="G891" s="112"/>
      <c r="H891" s="110"/>
      <c r="I891" s="112"/>
      <c r="J891" s="112"/>
      <c r="K891" s="112"/>
      <c r="L891" s="114"/>
      <c r="M891" s="114"/>
      <c r="N891" s="112"/>
      <c r="O891" s="115"/>
      <c r="P891" s="115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</row>
    <row r="892" spans="1:28" ht="15.75" customHeight="1" x14ac:dyDescent="0.25">
      <c r="A892" s="116"/>
      <c r="B892" s="112"/>
      <c r="C892" s="113"/>
      <c r="D892" s="111"/>
      <c r="E892" s="113"/>
      <c r="F892" s="111"/>
      <c r="G892" s="112"/>
      <c r="H892" s="110"/>
      <c r="I892" s="112"/>
      <c r="J892" s="112"/>
      <c r="K892" s="112"/>
      <c r="L892" s="114"/>
      <c r="M892" s="114"/>
      <c r="N892" s="112"/>
      <c r="O892" s="115"/>
      <c r="P892" s="115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</row>
    <row r="893" spans="1:28" ht="15.75" customHeight="1" x14ac:dyDescent="0.25">
      <c r="A893" s="116"/>
      <c r="B893" s="112"/>
      <c r="C893" s="113"/>
      <c r="D893" s="111"/>
      <c r="E893" s="113"/>
      <c r="F893" s="111"/>
      <c r="G893" s="112"/>
      <c r="H893" s="110"/>
      <c r="I893" s="112"/>
      <c r="J893" s="112"/>
      <c r="K893" s="112"/>
      <c r="L893" s="114"/>
      <c r="M893" s="114"/>
      <c r="N893" s="112"/>
      <c r="O893" s="115"/>
      <c r="P893" s="115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</row>
    <row r="894" spans="1:28" ht="15.75" customHeight="1" x14ac:dyDescent="0.25">
      <c r="A894" s="116"/>
      <c r="B894" s="112"/>
      <c r="C894" s="113"/>
      <c r="D894" s="111"/>
      <c r="E894" s="113"/>
      <c r="F894" s="111"/>
      <c r="G894" s="112"/>
      <c r="H894" s="110"/>
      <c r="I894" s="112"/>
      <c r="J894" s="112"/>
      <c r="K894" s="112"/>
      <c r="L894" s="114"/>
      <c r="M894" s="114"/>
      <c r="N894" s="112"/>
      <c r="O894" s="115"/>
      <c r="P894" s="115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</row>
    <row r="895" spans="1:28" ht="15.75" customHeight="1" x14ac:dyDescent="0.25">
      <c r="A895" s="116"/>
      <c r="B895" s="112"/>
      <c r="C895" s="113"/>
      <c r="D895" s="111"/>
      <c r="E895" s="113"/>
      <c r="F895" s="111"/>
      <c r="G895" s="112"/>
      <c r="H895" s="110"/>
      <c r="I895" s="112"/>
      <c r="J895" s="112"/>
      <c r="K895" s="112"/>
      <c r="L895" s="114"/>
      <c r="M895" s="114"/>
      <c r="N895" s="112"/>
      <c r="O895" s="115"/>
      <c r="P895" s="115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</row>
    <row r="896" spans="1:28" ht="15.75" customHeight="1" x14ac:dyDescent="0.25">
      <c r="A896" s="116"/>
      <c r="B896" s="112"/>
      <c r="C896" s="113"/>
      <c r="D896" s="111"/>
      <c r="E896" s="113"/>
      <c r="F896" s="111"/>
      <c r="G896" s="112"/>
      <c r="H896" s="110"/>
      <c r="I896" s="112"/>
      <c r="J896" s="112"/>
      <c r="K896" s="112"/>
      <c r="L896" s="114"/>
      <c r="M896" s="114"/>
      <c r="N896" s="112"/>
      <c r="O896" s="115"/>
      <c r="P896" s="115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</row>
    <row r="897" spans="1:28" ht="15.75" customHeight="1" x14ac:dyDescent="0.25">
      <c r="A897" s="116"/>
      <c r="B897" s="112"/>
      <c r="C897" s="113"/>
      <c r="D897" s="111"/>
      <c r="E897" s="113"/>
      <c r="F897" s="111"/>
      <c r="G897" s="112"/>
      <c r="H897" s="110"/>
      <c r="I897" s="112"/>
      <c r="J897" s="112"/>
      <c r="K897" s="112"/>
      <c r="L897" s="114"/>
      <c r="M897" s="114"/>
      <c r="N897" s="112"/>
      <c r="O897" s="115"/>
      <c r="P897" s="115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</row>
    <row r="898" spans="1:28" ht="15.75" customHeight="1" x14ac:dyDescent="0.25">
      <c r="A898" s="116"/>
      <c r="B898" s="112"/>
      <c r="C898" s="113"/>
      <c r="D898" s="111"/>
      <c r="E898" s="113"/>
      <c r="F898" s="111"/>
      <c r="G898" s="112"/>
      <c r="H898" s="110"/>
      <c r="I898" s="112"/>
      <c r="J898" s="112"/>
      <c r="K898" s="112"/>
      <c r="L898" s="114"/>
      <c r="M898" s="114"/>
      <c r="N898" s="112"/>
      <c r="O898" s="115"/>
      <c r="P898" s="115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</row>
    <row r="899" spans="1:28" ht="15.75" customHeight="1" x14ac:dyDescent="0.25">
      <c r="A899" s="116"/>
      <c r="B899" s="112"/>
      <c r="C899" s="113"/>
      <c r="D899" s="111"/>
      <c r="E899" s="113"/>
      <c r="F899" s="111"/>
      <c r="G899" s="112"/>
      <c r="H899" s="110"/>
      <c r="I899" s="112"/>
      <c r="J899" s="112"/>
      <c r="K899" s="112"/>
      <c r="L899" s="114"/>
      <c r="M899" s="114"/>
      <c r="N899" s="112"/>
      <c r="O899" s="115"/>
      <c r="P899" s="115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</row>
    <row r="900" spans="1:28" ht="15.75" customHeight="1" x14ac:dyDescent="0.25">
      <c r="A900" s="116"/>
      <c r="B900" s="112"/>
      <c r="C900" s="113"/>
      <c r="D900" s="111"/>
      <c r="E900" s="113"/>
      <c r="F900" s="111"/>
      <c r="G900" s="112"/>
      <c r="H900" s="110"/>
      <c r="I900" s="112"/>
      <c r="J900" s="112"/>
      <c r="K900" s="112"/>
      <c r="L900" s="114"/>
      <c r="M900" s="114"/>
      <c r="N900" s="112"/>
      <c r="O900" s="115"/>
      <c r="P900" s="115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</row>
    <row r="901" spans="1:28" ht="15.75" customHeight="1" x14ac:dyDescent="0.25">
      <c r="A901" s="116"/>
      <c r="B901" s="112"/>
      <c r="C901" s="113"/>
      <c r="D901" s="111"/>
      <c r="E901" s="113"/>
      <c r="F901" s="111"/>
      <c r="G901" s="112"/>
      <c r="H901" s="110"/>
      <c r="I901" s="112"/>
      <c r="J901" s="112"/>
      <c r="K901" s="112"/>
      <c r="L901" s="114"/>
      <c r="M901" s="114"/>
      <c r="N901" s="112"/>
      <c r="O901" s="115"/>
      <c r="P901" s="115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</row>
    <row r="902" spans="1:28" ht="15.75" customHeight="1" x14ac:dyDescent="0.25">
      <c r="A902" s="116"/>
      <c r="B902" s="112"/>
      <c r="C902" s="113"/>
      <c r="D902" s="111"/>
      <c r="E902" s="113"/>
      <c r="F902" s="111"/>
      <c r="G902" s="112"/>
      <c r="H902" s="110"/>
      <c r="I902" s="112"/>
      <c r="J902" s="112"/>
      <c r="K902" s="112"/>
      <c r="L902" s="114"/>
      <c r="M902" s="114"/>
      <c r="N902" s="112"/>
      <c r="O902" s="115"/>
      <c r="P902" s="115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</row>
    <row r="903" spans="1:28" ht="15.75" customHeight="1" x14ac:dyDescent="0.25">
      <c r="A903" s="116"/>
      <c r="B903" s="112"/>
      <c r="C903" s="113"/>
      <c r="D903" s="111"/>
      <c r="E903" s="113"/>
      <c r="F903" s="111"/>
      <c r="G903" s="112"/>
      <c r="H903" s="110"/>
      <c r="I903" s="112"/>
      <c r="J903" s="112"/>
      <c r="K903" s="112"/>
      <c r="L903" s="114"/>
      <c r="M903" s="114"/>
      <c r="N903" s="112"/>
      <c r="O903" s="115"/>
      <c r="P903" s="115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</row>
    <row r="904" spans="1:28" ht="15.75" customHeight="1" x14ac:dyDescent="0.25">
      <c r="A904" s="116"/>
      <c r="B904" s="112"/>
      <c r="C904" s="113"/>
      <c r="D904" s="111"/>
      <c r="E904" s="113"/>
      <c r="F904" s="111"/>
      <c r="G904" s="112"/>
      <c r="H904" s="110"/>
      <c r="I904" s="112"/>
      <c r="J904" s="112"/>
      <c r="K904" s="112"/>
      <c r="L904" s="114"/>
      <c r="M904" s="114"/>
      <c r="N904" s="112"/>
      <c r="O904" s="115"/>
      <c r="P904" s="115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</row>
    <row r="905" spans="1:28" ht="15.75" customHeight="1" x14ac:dyDescent="0.25">
      <c r="A905" s="116"/>
      <c r="B905" s="112"/>
      <c r="C905" s="113"/>
      <c r="D905" s="111"/>
      <c r="E905" s="113"/>
      <c r="F905" s="111"/>
      <c r="G905" s="112"/>
      <c r="H905" s="110"/>
      <c r="I905" s="112"/>
      <c r="J905" s="112"/>
      <c r="K905" s="112"/>
      <c r="L905" s="114"/>
      <c r="M905" s="114"/>
      <c r="N905" s="112"/>
      <c r="O905" s="115"/>
      <c r="P905" s="115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</row>
    <row r="906" spans="1:28" ht="15.75" customHeight="1" x14ac:dyDescent="0.25">
      <c r="A906" s="116"/>
      <c r="B906" s="112"/>
      <c r="C906" s="113"/>
      <c r="D906" s="111"/>
      <c r="E906" s="113"/>
      <c r="F906" s="111"/>
      <c r="G906" s="112"/>
      <c r="H906" s="110"/>
      <c r="I906" s="112"/>
      <c r="J906" s="112"/>
      <c r="K906" s="112"/>
      <c r="L906" s="114"/>
      <c r="M906" s="114"/>
      <c r="N906" s="112"/>
      <c r="O906" s="115"/>
      <c r="P906" s="115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</row>
    <row r="907" spans="1:28" ht="15.75" customHeight="1" x14ac:dyDescent="0.25">
      <c r="A907" s="116"/>
      <c r="B907" s="112"/>
      <c r="C907" s="113"/>
      <c r="D907" s="111"/>
      <c r="E907" s="113"/>
      <c r="F907" s="111"/>
      <c r="G907" s="112"/>
      <c r="H907" s="110"/>
      <c r="I907" s="112"/>
      <c r="J907" s="112"/>
      <c r="K907" s="112"/>
      <c r="L907" s="114"/>
      <c r="M907" s="114"/>
      <c r="N907" s="112"/>
      <c r="O907" s="115"/>
      <c r="P907" s="115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</row>
    <row r="908" spans="1:28" ht="15.75" customHeight="1" x14ac:dyDescent="0.25">
      <c r="A908" s="116"/>
      <c r="B908" s="112"/>
      <c r="C908" s="113"/>
      <c r="D908" s="111"/>
      <c r="E908" s="113"/>
      <c r="F908" s="111"/>
      <c r="G908" s="112"/>
      <c r="H908" s="110"/>
      <c r="I908" s="112"/>
      <c r="J908" s="112"/>
      <c r="K908" s="112"/>
      <c r="L908" s="114"/>
      <c r="M908" s="114"/>
      <c r="N908" s="112"/>
      <c r="O908" s="115"/>
      <c r="P908" s="115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</row>
    <row r="909" spans="1:28" ht="15.75" customHeight="1" x14ac:dyDescent="0.25">
      <c r="A909" s="116"/>
      <c r="B909" s="112"/>
      <c r="C909" s="113"/>
      <c r="D909" s="111"/>
      <c r="E909" s="113"/>
      <c r="F909" s="111"/>
      <c r="G909" s="112"/>
      <c r="H909" s="110"/>
      <c r="I909" s="112"/>
      <c r="J909" s="112"/>
      <c r="K909" s="112"/>
      <c r="L909" s="114"/>
      <c r="M909" s="114"/>
      <c r="N909" s="112"/>
      <c r="O909" s="115"/>
      <c r="P909" s="115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</row>
    <row r="910" spans="1:28" ht="15.75" customHeight="1" x14ac:dyDescent="0.25">
      <c r="A910" s="116"/>
      <c r="B910" s="112"/>
      <c r="C910" s="113"/>
      <c r="D910" s="111"/>
      <c r="E910" s="113"/>
      <c r="F910" s="111"/>
      <c r="G910" s="112"/>
      <c r="H910" s="110"/>
      <c r="I910" s="112"/>
      <c r="J910" s="112"/>
      <c r="K910" s="112"/>
      <c r="L910" s="114"/>
      <c r="M910" s="114"/>
      <c r="N910" s="112"/>
      <c r="O910" s="115"/>
      <c r="P910" s="115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</row>
    <row r="911" spans="1:28" ht="15.75" customHeight="1" x14ac:dyDescent="0.25">
      <c r="A911" s="116"/>
      <c r="B911" s="112"/>
      <c r="C911" s="113"/>
      <c r="D911" s="111"/>
      <c r="E911" s="113"/>
      <c r="F911" s="111"/>
      <c r="G911" s="112"/>
      <c r="H911" s="110"/>
      <c r="I911" s="112"/>
      <c r="J911" s="112"/>
      <c r="K911" s="112"/>
      <c r="L911" s="114"/>
      <c r="M911" s="114"/>
      <c r="N911" s="112"/>
      <c r="O911" s="115"/>
      <c r="P911" s="115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</row>
    <row r="912" spans="1:28" ht="15.75" customHeight="1" x14ac:dyDescent="0.25">
      <c r="A912" s="116"/>
      <c r="B912" s="112"/>
      <c r="C912" s="113"/>
      <c r="D912" s="111"/>
      <c r="E912" s="113"/>
      <c r="F912" s="111"/>
      <c r="G912" s="112"/>
      <c r="H912" s="110"/>
      <c r="I912" s="112"/>
      <c r="J912" s="112"/>
      <c r="K912" s="112"/>
      <c r="L912" s="114"/>
      <c r="M912" s="114"/>
      <c r="N912" s="112"/>
      <c r="O912" s="115"/>
      <c r="P912" s="115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</row>
    <row r="913" spans="1:28" ht="15.75" customHeight="1" x14ac:dyDescent="0.25">
      <c r="A913" s="116"/>
      <c r="B913" s="112"/>
      <c r="C913" s="113"/>
      <c r="D913" s="111"/>
      <c r="E913" s="113"/>
      <c r="F913" s="111"/>
      <c r="G913" s="112"/>
      <c r="H913" s="110"/>
      <c r="I913" s="112"/>
      <c r="J913" s="112"/>
      <c r="K913" s="112"/>
      <c r="L913" s="114"/>
      <c r="M913" s="114"/>
      <c r="N913" s="112"/>
      <c r="O913" s="115"/>
      <c r="P913" s="115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</row>
    <row r="914" spans="1:28" ht="15.75" customHeight="1" x14ac:dyDescent="0.25">
      <c r="A914" s="116"/>
      <c r="B914" s="112"/>
      <c r="C914" s="113"/>
      <c r="D914" s="111"/>
      <c r="E914" s="113"/>
      <c r="F914" s="111"/>
      <c r="G914" s="112"/>
      <c r="H914" s="110"/>
      <c r="I914" s="112"/>
      <c r="J914" s="112"/>
      <c r="K914" s="112"/>
      <c r="L914" s="114"/>
      <c r="M914" s="114"/>
      <c r="N914" s="112"/>
      <c r="O914" s="115"/>
      <c r="P914" s="115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</row>
    <row r="915" spans="1:28" ht="15.75" customHeight="1" x14ac:dyDescent="0.25">
      <c r="A915" s="116"/>
      <c r="B915" s="112"/>
      <c r="C915" s="113"/>
      <c r="D915" s="111"/>
      <c r="E915" s="113"/>
      <c r="F915" s="111"/>
      <c r="G915" s="112"/>
      <c r="H915" s="110"/>
      <c r="I915" s="112"/>
      <c r="J915" s="112"/>
      <c r="K915" s="112"/>
      <c r="L915" s="114"/>
      <c r="M915" s="114"/>
      <c r="N915" s="112"/>
      <c r="O915" s="115"/>
      <c r="P915" s="115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</row>
    <row r="916" spans="1:28" ht="15.75" customHeight="1" x14ac:dyDescent="0.25">
      <c r="A916" s="116"/>
      <c r="B916" s="112"/>
      <c r="C916" s="113"/>
      <c r="D916" s="111"/>
      <c r="E916" s="113"/>
      <c r="F916" s="111"/>
      <c r="G916" s="112"/>
      <c r="H916" s="110"/>
      <c r="I916" s="112"/>
      <c r="J916" s="112"/>
      <c r="K916" s="112"/>
      <c r="L916" s="114"/>
      <c r="M916" s="114"/>
      <c r="N916" s="112"/>
      <c r="O916" s="115"/>
      <c r="P916" s="115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</row>
    <row r="917" spans="1:28" ht="15.75" customHeight="1" x14ac:dyDescent="0.25">
      <c r="A917" s="116"/>
      <c r="B917" s="112"/>
      <c r="C917" s="113"/>
      <c r="D917" s="111"/>
      <c r="E917" s="113"/>
      <c r="F917" s="111"/>
      <c r="G917" s="112"/>
      <c r="H917" s="110"/>
      <c r="I917" s="112"/>
      <c r="J917" s="112"/>
      <c r="K917" s="112"/>
      <c r="L917" s="114"/>
      <c r="M917" s="114"/>
      <c r="N917" s="112"/>
      <c r="O917" s="115"/>
      <c r="P917" s="115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</row>
    <row r="918" spans="1:28" ht="15.75" customHeight="1" x14ac:dyDescent="0.25">
      <c r="A918" s="116"/>
      <c r="B918" s="112"/>
      <c r="C918" s="113"/>
      <c r="D918" s="111"/>
      <c r="E918" s="113"/>
      <c r="F918" s="111"/>
      <c r="G918" s="112"/>
      <c r="H918" s="110"/>
      <c r="I918" s="112"/>
      <c r="J918" s="112"/>
      <c r="K918" s="112"/>
      <c r="L918" s="114"/>
      <c r="M918" s="114"/>
      <c r="N918" s="112"/>
      <c r="O918" s="115"/>
      <c r="P918" s="115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</row>
    <row r="919" spans="1:28" ht="15.75" customHeight="1" x14ac:dyDescent="0.25">
      <c r="A919" s="116"/>
      <c r="B919" s="112"/>
      <c r="C919" s="113"/>
      <c r="D919" s="111"/>
      <c r="E919" s="113"/>
      <c r="F919" s="111"/>
      <c r="G919" s="112"/>
      <c r="H919" s="110"/>
      <c r="I919" s="112"/>
      <c r="J919" s="112"/>
      <c r="K919" s="112"/>
      <c r="L919" s="114"/>
      <c r="M919" s="114"/>
      <c r="N919" s="112"/>
      <c r="O919" s="115"/>
      <c r="P919" s="115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</row>
    <row r="920" spans="1:28" ht="15.75" customHeight="1" x14ac:dyDescent="0.25">
      <c r="A920" s="116"/>
      <c r="B920" s="112"/>
      <c r="C920" s="113"/>
      <c r="D920" s="111"/>
      <c r="E920" s="113"/>
      <c r="F920" s="111"/>
      <c r="G920" s="112"/>
      <c r="H920" s="110"/>
      <c r="I920" s="112"/>
      <c r="J920" s="112"/>
      <c r="K920" s="112"/>
      <c r="L920" s="114"/>
      <c r="M920" s="114"/>
      <c r="N920" s="112"/>
      <c r="O920" s="115"/>
      <c r="P920" s="115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</row>
    <row r="921" spans="1:28" ht="15.75" customHeight="1" x14ac:dyDescent="0.25">
      <c r="A921" s="116"/>
      <c r="B921" s="112"/>
      <c r="C921" s="113"/>
      <c r="D921" s="111"/>
      <c r="E921" s="113"/>
      <c r="F921" s="111"/>
      <c r="G921" s="112"/>
      <c r="H921" s="110"/>
      <c r="I921" s="112"/>
      <c r="J921" s="112"/>
      <c r="K921" s="112"/>
      <c r="L921" s="114"/>
      <c r="M921" s="114"/>
      <c r="N921" s="112"/>
      <c r="O921" s="115"/>
      <c r="P921" s="115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</row>
    <row r="922" spans="1:28" ht="15.75" customHeight="1" x14ac:dyDescent="0.25">
      <c r="A922" s="116"/>
      <c r="B922" s="112"/>
      <c r="C922" s="113"/>
      <c r="D922" s="111"/>
      <c r="E922" s="113"/>
      <c r="F922" s="111"/>
      <c r="G922" s="112"/>
      <c r="H922" s="110"/>
      <c r="I922" s="112"/>
      <c r="J922" s="112"/>
      <c r="K922" s="112"/>
      <c r="L922" s="114"/>
      <c r="M922" s="114"/>
      <c r="N922" s="112"/>
      <c r="O922" s="115"/>
      <c r="P922" s="115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</row>
    <row r="923" spans="1:28" ht="15.75" customHeight="1" x14ac:dyDescent="0.25">
      <c r="A923" s="116"/>
      <c r="B923" s="112"/>
      <c r="C923" s="113"/>
      <c r="D923" s="111"/>
      <c r="E923" s="113"/>
      <c r="F923" s="111"/>
      <c r="G923" s="112"/>
      <c r="H923" s="110"/>
      <c r="I923" s="112"/>
      <c r="J923" s="112"/>
      <c r="K923" s="112"/>
      <c r="L923" s="114"/>
      <c r="M923" s="114"/>
      <c r="N923" s="112"/>
      <c r="O923" s="115"/>
      <c r="P923" s="115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</row>
    <row r="924" spans="1:28" ht="15.75" customHeight="1" x14ac:dyDescent="0.25">
      <c r="A924" s="116"/>
      <c r="B924" s="112"/>
      <c r="C924" s="113"/>
      <c r="D924" s="111"/>
      <c r="E924" s="113"/>
      <c r="F924" s="111"/>
      <c r="G924" s="112"/>
      <c r="H924" s="110"/>
      <c r="I924" s="112"/>
      <c r="J924" s="112"/>
      <c r="K924" s="112"/>
      <c r="L924" s="114"/>
      <c r="M924" s="114"/>
      <c r="N924" s="112"/>
      <c r="O924" s="115"/>
      <c r="P924" s="115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</row>
    <row r="925" spans="1:28" ht="15.75" customHeight="1" x14ac:dyDescent="0.25">
      <c r="A925" s="116"/>
      <c r="B925" s="112"/>
      <c r="C925" s="113"/>
      <c r="D925" s="111"/>
      <c r="E925" s="113"/>
      <c r="F925" s="111"/>
      <c r="G925" s="112"/>
      <c r="H925" s="110"/>
      <c r="I925" s="112"/>
      <c r="J925" s="112"/>
      <c r="K925" s="112"/>
      <c r="L925" s="114"/>
      <c r="M925" s="114"/>
      <c r="N925" s="112"/>
      <c r="O925" s="115"/>
      <c r="P925" s="115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</row>
    <row r="926" spans="1:28" ht="15.75" customHeight="1" x14ac:dyDescent="0.25">
      <c r="A926" s="116"/>
      <c r="B926" s="112"/>
      <c r="C926" s="113"/>
      <c r="D926" s="111"/>
      <c r="E926" s="113"/>
      <c r="F926" s="111"/>
      <c r="G926" s="112"/>
      <c r="H926" s="110"/>
      <c r="I926" s="112"/>
      <c r="J926" s="112"/>
      <c r="K926" s="112"/>
      <c r="L926" s="114"/>
      <c r="M926" s="114"/>
      <c r="N926" s="112"/>
      <c r="O926" s="115"/>
      <c r="P926" s="115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</row>
    <row r="927" spans="1:28" ht="15.75" customHeight="1" x14ac:dyDescent="0.25">
      <c r="A927" s="116"/>
      <c r="B927" s="112"/>
      <c r="C927" s="113"/>
      <c r="D927" s="111"/>
      <c r="E927" s="113"/>
      <c r="F927" s="111"/>
      <c r="G927" s="112"/>
      <c r="H927" s="110"/>
      <c r="I927" s="112"/>
      <c r="J927" s="112"/>
      <c r="K927" s="112"/>
      <c r="L927" s="114"/>
      <c r="M927" s="114"/>
      <c r="N927" s="112"/>
      <c r="O927" s="115"/>
      <c r="P927" s="115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</row>
    <row r="928" spans="1:28" ht="15.75" customHeight="1" x14ac:dyDescent="0.25">
      <c r="A928" s="116"/>
      <c r="B928" s="112"/>
      <c r="C928" s="113"/>
      <c r="D928" s="111"/>
      <c r="E928" s="113"/>
      <c r="F928" s="111"/>
      <c r="G928" s="112"/>
      <c r="H928" s="110"/>
      <c r="I928" s="112"/>
      <c r="J928" s="112"/>
      <c r="K928" s="112"/>
      <c r="L928" s="114"/>
      <c r="M928" s="114"/>
      <c r="N928" s="112"/>
      <c r="O928" s="115"/>
      <c r="P928" s="115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</row>
    <row r="929" spans="1:28" ht="15.75" customHeight="1" x14ac:dyDescent="0.25">
      <c r="A929" s="116"/>
      <c r="B929" s="112"/>
      <c r="C929" s="113"/>
      <c r="D929" s="111"/>
      <c r="E929" s="113"/>
      <c r="F929" s="111"/>
      <c r="G929" s="112"/>
      <c r="H929" s="110"/>
      <c r="I929" s="112"/>
      <c r="J929" s="112"/>
      <c r="K929" s="112"/>
      <c r="L929" s="114"/>
      <c r="M929" s="114"/>
      <c r="N929" s="112"/>
      <c r="O929" s="115"/>
      <c r="P929" s="115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</row>
    <row r="930" spans="1:28" ht="15.75" customHeight="1" x14ac:dyDescent="0.25">
      <c r="A930" s="116"/>
      <c r="B930" s="112"/>
      <c r="C930" s="113"/>
      <c r="D930" s="111"/>
      <c r="E930" s="113"/>
      <c r="F930" s="111"/>
      <c r="G930" s="112"/>
      <c r="H930" s="110"/>
      <c r="I930" s="112"/>
      <c r="J930" s="112"/>
      <c r="K930" s="112"/>
      <c r="L930" s="114"/>
      <c r="M930" s="114"/>
      <c r="N930" s="112"/>
      <c r="O930" s="115"/>
      <c r="P930" s="115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</row>
    <row r="931" spans="1:28" ht="15.75" customHeight="1" x14ac:dyDescent="0.25">
      <c r="A931" s="116"/>
      <c r="B931" s="112"/>
      <c r="C931" s="113"/>
      <c r="D931" s="111"/>
      <c r="E931" s="113"/>
      <c r="F931" s="111"/>
      <c r="G931" s="112"/>
      <c r="H931" s="110"/>
      <c r="I931" s="112"/>
      <c r="J931" s="112"/>
      <c r="K931" s="112"/>
      <c r="L931" s="114"/>
      <c r="M931" s="114"/>
      <c r="N931" s="112"/>
      <c r="O931" s="115"/>
      <c r="P931" s="115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</row>
    <row r="932" spans="1:28" ht="15.75" customHeight="1" x14ac:dyDescent="0.25">
      <c r="A932" s="116"/>
      <c r="B932" s="112"/>
      <c r="C932" s="113"/>
      <c r="D932" s="111"/>
      <c r="E932" s="113"/>
      <c r="F932" s="111"/>
      <c r="G932" s="112"/>
      <c r="H932" s="110"/>
      <c r="I932" s="112"/>
      <c r="J932" s="112"/>
      <c r="K932" s="112"/>
      <c r="L932" s="114"/>
      <c r="M932" s="114"/>
      <c r="N932" s="112"/>
      <c r="O932" s="115"/>
      <c r="P932" s="115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</row>
    <row r="933" spans="1:28" ht="15.75" customHeight="1" x14ac:dyDescent="0.25">
      <c r="A933" s="116"/>
      <c r="B933" s="112"/>
      <c r="C933" s="113"/>
      <c r="D933" s="111"/>
      <c r="E933" s="113"/>
      <c r="F933" s="111"/>
      <c r="G933" s="112"/>
      <c r="H933" s="110"/>
      <c r="I933" s="112"/>
      <c r="J933" s="112"/>
      <c r="K933" s="112"/>
      <c r="L933" s="114"/>
      <c r="M933" s="114"/>
      <c r="N933" s="112"/>
      <c r="O933" s="115"/>
      <c r="P933" s="115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</row>
    <row r="934" spans="1:28" ht="15.75" customHeight="1" x14ac:dyDescent="0.25">
      <c r="A934" s="116"/>
      <c r="B934" s="112"/>
      <c r="C934" s="113"/>
      <c r="D934" s="111"/>
      <c r="E934" s="113"/>
      <c r="F934" s="111"/>
      <c r="G934" s="112"/>
      <c r="H934" s="110"/>
      <c r="I934" s="112"/>
      <c r="J934" s="112"/>
      <c r="K934" s="112"/>
      <c r="L934" s="114"/>
      <c r="M934" s="114"/>
      <c r="N934" s="112"/>
      <c r="O934" s="115"/>
      <c r="P934" s="115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</row>
    <row r="935" spans="1:28" ht="15.75" customHeight="1" x14ac:dyDescent="0.25">
      <c r="A935" s="116"/>
      <c r="B935" s="112"/>
      <c r="C935" s="113"/>
      <c r="D935" s="111"/>
      <c r="E935" s="113"/>
      <c r="F935" s="111"/>
      <c r="G935" s="112"/>
      <c r="H935" s="110"/>
      <c r="I935" s="112"/>
      <c r="J935" s="112"/>
      <c r="K935" s="112"/>
      <c r="L935" s="114"/>
      <c r="M935" s="114"/>
      <c r="N935" s="112"/>
      <c r="O935" s="115"/>
      <c r="P935" s="115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</row>
    <row r="936" spans="1:28" ht="15.75" customHeight="1" x14ac:dyDescent="0.25">
      <c r="A936" s="116"/>
      <c r="B936" s="112"/>
      <c r="C936" s="113"/>
      <c r="D936" s="111"/>
      <c r="E936" s="113"/>
      <c r="F936" s="111"/>
      <c r="G936" s="112"/>
      <c r="H936" s="110"/>
      <c r="I936" s="112"/>
      <c r="J936" s="112"/>
      <c r="K936" s="112"/>
      <c r="L936" s="114"/>
      <c r="M936" s="114"/>
      <c r="N936" s="112"/>
      <c r="O936" s="115"/>
      <c r="P936" s="115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</row>
    <row r="937" spans="1:28" ht="15.75" customHeight="1" x14ac:dyDescent="0.25">
      <c r="A937" s="116"/>
      <c r="B937" s="112"/>
      <c r="C937" s="113"/>
      <c r="D937" s="111"/>
      <c r="E937" s="113"/>
      <c r="F937" s="111"/>
      <c r="G937" s="112"/>
      <c r="H937" s="110"/>
      <c r="I937" s="112"/>
      <c r="J937" s="112"/>
      <c r="K937" s="112"/>
      <c r="L937" s="114"/>
      <c r="M937" s="114"/>
      <c r="N937" s="112"/>
      <c r="O937" s="115"/>
      <c r="P937" s="115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</row>
    <row r="938" spans="1:28" ht="15.75" customHeight="1" x14ac:dyDescent="0.25">
      <c r="A938" s="116"/>
      <c r="B938" s="112"/>
      <c r="C938" s="113"/>
      <c r="D938" s="111"/>
      <c r="E938" s="113"/>
      <c r="F938" s="111"/>
      <c r="G938" s="112"/>
      <c r="H938" s="110"/>
      <c r="I938" s="112"/>
      <c r="J938" s="112"/>
      <c r="K938" s="112"/>
      <c r="L938" s="114"/>
      <c r="M938" s="114"/>
      <c r="N938" s="112"/>
      <c r="O938" s="115"/>
      <c r="P938" s="115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</row>
    <row r="939" spans="1:28" ht="15.75" customHeight="1" x14ac:dyDescent="0.25">
      <c r="A939" s="116"/>
      <c r="B939" s="112"/>
      <c r="C939" s="113"/>
      <c r="D939" s="111"/>
      <c r="E939" s="113"/>
      <c r="F939" s="111"/>
      <c r="G939" s="112"/>
      <c r="H939" s="110"/>
      <c r="I939" s="112"/>
      <c r="J939" s="112"/>
      <c r="K939" s="112"/>
      <c r="L939" s="114"/>
      <c r="M939" s="114"/>
      <c r="N939" s="112"/>
      <c r="O939" s="115"/>
      <c r="P939" s="115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</row>
    <row r="940" spans="1:28" ht="15.75" customHeight="1" x14ac:dyDescent="0.25">
      <c r="A940" s="116"/>
      <c r="B940" s="112"/>
      <c r="C940" s="113"/>
      <c r="D940" s="111"/>
      <c r="E940" s="113"/>
      <c r="F940" s="111"/>
      <c r="G940" s="112"/>
      <c r="H940" s="110"/>
      <c r="I940" s="112"/>
      <c r="J940" s="112"/>
      <c r="K940" s="112"/>
      <c r="L940" s="114"/>
      <c r="M940" s="114"/>
      <c r="N940" s="112"/>
      <c r="O940" s="115"/>
      <c r="P940" s="115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</row>
    <row r="941" spans="1:28" ht="15.75" customHeight="1" x14ac:dyDescent="0.25">
      <c r="A941" s="116"/>
      <c r="B941" s="112"/>
      <c r="C941" s="113"/>
      <c r="D941" s="111"/>
      <c r="E941" s="113"/>
      <c r="F941" s="111"/>
      <c r="G941" s="112"/>
      <c r="H941" s="110"/>
      <c r="I941" s="112"/>
      <c r="J941" s="112"/>
      <c r="K941" s="112"/>
      <c r="L941" s="114"/>
      <c r="M941" s="114"/>
      <c r="N941" s="112"/>
      <c r="O941" s="115"/>
      <c r="P941" s="115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</row>
    <row r="942" spans="1:28" ht="15.75" customHeight="1" x14ac:dyDescent="0.25">
      <c r="A942" s="116"/>
      <c r="B942" s="112"/>
      <c r="C942" s="113"/>
      <c r="D942" s="111"/>
      <c r="E942" s="113"/>
      <c r="F942" s="111"/>
      <c r="G942" s="112"/>
      <c r="H942" s="110"/>
      <c r="I942" s="112"/>
      <c r="J942" s="112"/>
      <c r="K942" s="112"/>
      <c r="L942" s="114"/>
      <c r="M942" s="114"/>
      <c r="N942" s="112"/>
      <c r="O942" s="115"/>
      <c r="P942" s="115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</row>
    <row r="943" spans="1:28" ht="15.75" customHeight="1" x14ac:dyDescent="0.25">
      <c r="A943" s="116"/>
      <c r="B943" s="112"/>
      <c r="C943" s="113"/>
      <c r="D943" s="111"/>
      <c r="E943" s="113"/>
      <c r="F943" s="111"/>
      <c r="G943" s="112"/>
      <c r="H943" s="110"/>
      <c r="I943" s="112"/>
      <c r="J943" s="112"/>
      <c r="K943" s="112"/>
      <c r="L943" s="114"/>
      <c r="M943" s="114"/>
      <c r="N943" s="112"/>
      <c r="O943" s="115"/>
      <c r="P943" s="115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</row>
    <row r="944" spans="1:28" ht="15.75" customHeight="1" x14ac:dyDescent="0.25">
      <c r="A944" s="116"/>
      <c r="B944" s="112"/>
      <c r="C944" s="113"/>
      <c r="D944" s="111"/>
      <c r="E944" s="113"/>
      <c r="F944" s="111"/>
      <c r="G944" s="112"/>
      <c r="H944" s="110"/>
      <c r="I944" s="112"/>
      <c r="J944" s="112"/>
      <c r="K944" s="112"/>
      <c r="L944" s="114"/>
      <c r="M944" s="114"/>
      <c r="N944" s="112"/>
      <c r="O944" s="115"/>
      <c r="P944" s="115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</row>
    <row r="945" spans="1:28" ht="15.75" customHeight="1" x14ac:dyDescent="0.25">
      <c r="A945" s="116"/>
      <c r="B945" s="112"/>
      <c r="C945" s="113"/>
      <c r="D945" s="111"/>
      <c r="E945" s="113"/>
      <c r="F945" s="111"/>
      <c r="G945" s="112"/>
      <c r="H945" s="110"/>
      <c r="I945" s="112"/>
      <c r="J945" s="112"/>
      <c r="K945" s="112"/>
      <c r="L945" s="114"/>
      <c r="M945" s="114"/>
      <c r="N945" s="112"/>
      <c r="O945" s="115"/>
      <c r="P945" s="115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</row>
    <row r="946" spans="1:28" ht="15.75" customHeight="1" x14ac:dyDescent="0.25">
      <c r="A946" s="116"/>
      <c r="B946" s="112"/>
      <c r="C946" s="113"/>
      <c r="D946" s="111"/>
      <c r="E946" s="113"/>
      <c r="F946" s="111"/>
      <c r="G946" s="112"/>
      <c r="H946" s="110"/>
      <c r="I946" s="112"/>
      <c r="J946" s="112"/>
      <c r="K946" s="112"/>
      <c r="L946" s="114"/>
      <c r="M946" s="114"/>
      <c r="N946" s="112"/>
      <c r="O946" s="115"/>
      <c r="P946" s="115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</row>
    <row r="947" spans="1:28" ht="15.75" customHeight="1" x14ac:dyDescent="0.25">
      <c r="A947" s="116"/>
      <c r="B947" s="112"/>
      <c r="C947" s="113"/>
      <c r="D947" s="111"/>
      <c r="E947" s="113"/>
      <c r="F947" s="111"/>
      <c r="G947" s="112"/>
      <c r="H947" s="110"/>
      <c r="I947" s="112"/>
      <c r="J947" s="112"/>
      <c r="K947" s="112"/>
      <c r="L947" s="114"/>
      <c r="M947" s="114"/>
      <c r="N947" s="112"/>
      <c r="O947" s="115"/>
      <c r="P947" s="115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</row>
    <row r="948" spans="1:28" ht="15.75" customHeight="1" x14ac:dyDescent="0.25">
      <c r="A948" s="116"/>
      <c r="B948" s="112"/>
      <c r="C948" s="113"/>
      <c r="D948" s="111"/>
      <c r="E948" s="113"/>
      <c r="F948" s="111"/>
      <c r="G948" s="112"/>
      <c r="H948" s="110"/>
      <c r="I948" s="112"/>
      <c r="J948" s="112"/>
      <c r="K948" s="112"/>
      <c r="L948" s="114"/>
      <c r="M948" s="114"/>
      <c r="N948" s="112"/>
      <c r="O948" s="115"/>
      <c r="P948" s="115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</row>
    <row r="949" spans="1:28" ht="15.75" customHeight="1" x14ac:dyDescent="0.25">
      <c r="A949" s="116"/>
      <c r="B949" s="112"/>
      <c r="C949" s="113"/>
      <c r="D949" s="111"/>
      <c r="E949" s="113"/>
      <c r="F949" s="111"/>
      <c r="G949" s="112"/>
      <c r="H949" s="110"/>
      <c r="I949" s="112"/>
      <c r="J949" s="112"/>
      <c r="K949" s="112"/>
      <c r="L949" s="114"/>
      <c r="M949" s="114"/>
      <c r="N949" s="112"/>
      <c r="O949" s="115"/>
      <c r="P949" s="115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</row>
    <row r="950" spans="1:28" ht="15.75" customHeight="1" x14ac:dyDescent="0.25">
      <c r="A950" s="116"/>
      <c r="B950" s="112"/>
      <c r="C950" s="113"/>
      <c r="D950" s="111"/>
      <c r="E950" s="113"/>
      <c r="F950" s="111"/>
      <c r="G950" s="112"/>
      <c r="H950" s="110"/>
      <c r="I950" s="112"/>
      <c r="J950" s="112"/>
      <c r="K950" s="112"/>
      <c r="L950" s="114"/>
      <c r="M950" s="114"/>
      <c r="N950" s="112"/>
      <c r="O950" s="115"/>
      <c r="P950" s="115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</row>
    <row r="951" spans="1:28" ht="15.75" customHeight="1" x14ac:dyDescent="0.25">
      <c r="A951" s="116"/>
      <c r="B951" s="112"/>
      <c r="C951" s="113"/>
      <c r="D951" s="111"/>
      <c r="E951" s="113"/>
      <c r="F951" s="111"/>
      <c r="G951" s="112"/>
      <c r="H951" s="110"/>
      <c r="I951" s="112"/>
      <c r="J951" s="112"/>
      <c r="K951" s="112"/>
      <c r="L951" s="114"/>
      <c r="M951" s="114"/>
      <c r="N951" s="112"/>
      <c r="O951" s="115"/>
      <c r="P951" s="115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</row>
    <row r="952" spans="1:28" ht="15.75" customHeight="1" x14ac:dyDescent="0.25">
      <c r="A952" s="116"/>
      <c r="B952" s="112"/>
      <c r="C952" s="113"/>
      <c r="D952" s="111"/>
      <c r="E952" s="113"/>
      <c r="F952" s="111"/>
      <c r="G952" s="112"/>
      <c r="H952" s="110"/>
      <c r="I952" s="112"/>
      <c r="J952" s="112"/>
      <c r="K952" s="112"/>
      <c r="L952" s="114"/>
      <c r="M952" s="114"/>
      <c r="N952" s="112"/>
      <c r="O952" s="115"/>
      <c r="P952" s="115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</row>
    <row r="953" spans="1:28" ht="15.75" customHeight="1" x14ac:dyDescent="0.25">
      <c r="A953" s="116"/>
      <c r="B953" s="112"/>
      <c r="C953" s="113"/>
      <c r="D953" s="111"/>
      <c r="E953" s="113"/>
      <c r="F953" s="111"/>
      <c r="G953" s="112"/>
      <c r="H953" s="110"/>
      <c r="I953" s="112"/>
      <c r="J953" s="112"/>
      <c r="K953" s="112"/>
      <c r="L953" s="114"/>
      <c r="M953" s="114"/>
      <c r="N953" s="112"/>
      <c r="O953" s="115"/>
      <c r="P953" s="115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</row>
    <row r="954" spans="1:28" ht="15.75" customHeight="1" x14ac:dyDescent="0.25">
      <c r="A954" s="116"/>
      <c r="B954" s="112"/>
      <c r="C954" s="113"/>
      <c r="D954" s="111"/>
      <c r="E954" s="113"/>
      <c r="F954" s="111"/>
      <c r="G954" s="112"/>
      <c r="H954" s="110"/>
      <c r="I954" s="112"/>
      <c r="J954" s="112"/>
      <c r="K954" s="112"/>
      <c r="L954" s="114"/>
      <c r="M954" s="114"/>
      <c r="N954" s="112"/>
      <c r="O954" s="115"/>
      <c r="P954" s="115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</row>
    <row r="955" spans="1:28" ht="15.75" customHeight="1" x14ac:dyDescent="0.25">
      <c r="A955" s="116"/>
      <c r="B955" s="112"/>
      <c r="C955" s="113"/>
      <c r="D955" s="111"/>
      <c r="E955" s="113"/>
      <c r="F955" s="111"/>
      <c r="G955" s="112"/>
      <c r="H955" s="110"/>
      <c r="I955" s="112"/>
      <c r="J955" s="112"/>
      <c r="K955" s="112"/>
      <c r="L955" s="114"/>
      <c r="M955" s="114"/>
      <c r="N955" s="112"/>
      <c r="O955" s="115"/>
      <c r="P955" s="115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</row>
    <row r="956" spans="1:28" ht="15.75" customHeight="1" x14ac:dyDescent="0.25">
      <c r="A956" s="116"/>
      <c r="B956" s="112"/>
      <c r="C956" s="113"/>
      <c r="D956" s="111"/>
      <c r="E956" s="113"/>
      <c r="F956" s="111"/>
      <c r="G956" s="112"/>
      <c r="H956" s="110"/>
      <c r="I956" s="112"/>
      <c r="J956" s="112"/>
      <c r="K956" s="112"/>
      <c r="L956" s="114"/>
      <c r="M956" s="114"/>
      <c r="N956" s="112"/>
      <c r="O956" s="115"/>
      <c r="P956" s="115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</row>
    <row r="957" spans="1:28" ht="15.75" customHeight="1" x14ac:dyDescent="0.25">
      <c r="A957" s="116"/>
      <c r="B957" s="112"/>
      <c r="C957" s="113"/>
      <c r="D957" s="111"/>
      <c r="E957" s="113"/>
      <c r="F957" s="111"/>
      <c r="G957" s="112"/>
      <c r="H957" s="110"/>
      <c r="I957" s="112"/>
      <c r="J957" s="112"/>
      <c r="K957" s="112"/>
      <c r="L957" s="114"/>
      <c r="M957" s="114"/>
      <c r="N957" s="112"/>
      <c r="O957" s="115"/>
      <c r="P957" s="115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</row>
    <row r="958" spans="1:28" ht="15.75" customHeight="1" x14ac:dyDescent="0.25">
      <c r="A958" s="116"/>
      <c r="B958" s="112"/>
      <c r="C958" s="113"/>
      <c r="D958" s="111"/>
      <c r="E958" s="113"/>
      <c r="F958" s="111"/>
      <c r="G958" s="112"/>
      <c r="H958" s="110"/>
      <c r="I958" s="112"/>
      <c r="J958" s="112"/>
      <c r="K958" s="112"/>
      <c r="L958" s="114"/>
      <c r="M958" s="114"/>
      <c r="N958" s="112"/>
      <c r="O958" s="115"/>
      <c r="P958" s="115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</row>
    <row r="959" spans="1:28" ht="15.75" customHeight="1" x14ac:dyDescent="0.25">
      <c r="A959" s="116"/>
      <c r="B959" s="112"/>
      <c r="C959" s="113"/>
      <c r="D959" s="111"/>
      <c r="E959" s="113"/>
      <c r="F959" s="111"/>
      <c r="G959" s="112"/>
      <c r="H959" s="110"/>
      <c r="I959" s="112"/>
      <c r="J959" s="112"/>
      <c r="K959" s="112"/>
      <c r="L959" s="114"/>
      <c r="M959" s="114"/>
      <c r="N959" s="112"/>
      <c r="O959" s="115"/>
      <c r="P959" s="115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</row>
    <row r="960" spans="1:28" ht="15.75" customHeight="1" x14ac:dyDescent="0.25">
      <c r="A960" s="116"/>
      <c r="B960" s="112"/>
      <c r="C960" s="113"/>
      <c r="D960" s="111"/>
      <c r="E960" s="113"/>
      <c r="F960" s="111"/>
      <c r="G960" s="112"/>
      <c r="H960" s="110"/>
      <c r="I960" s="112"/>
      <c r="J960" s="112"/>
      <c r="K960" s="112"/>
      <c r="L960" s="114"/>
      <c r="M960" s="114"/>
      <c r="N960" s="112"/>
      <c r="O960" s="115"/>
      <c r="P960" s="115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</row>
    <row r="961" spans="1:28" ht="15.75" customHeight="1" x14ac:dyDescent="0.25">
      <c r="A961" s="116"/>
      <c r="B961" s="112"/>
      <c r="C961" s="113"/>
      <c r="D961" s="111"/>
      <c r="E961" s="113"/>
      <c r="F961" s="111"/>
      <c r="G961" s="112"/>
      <c r="H961" s="110"/>
      <c r="I961" s="112"/>
      <c r="J961" s="112"/>
      <c r="K961" s="112"/>
      <c r="L961" s="114"/>
      <c r="M961" s="114"/>
      <c r="N961" s="112"/>
      <c r="O961" s="115"/>
      <c r="P961" s="115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</row>
    <row r="962" spans="1:28" ht="15.75" customHeight="1" x14ac:dyDescent="0.25">
      <c r="A962" s="116"/>
      <c r="B962" s="112"/>
      <c r="C962" s="113"/>
      <c r="D962" s="111"/>
      <c r="E962" s="113"/>
      <c r="F962" s="111"/>
      <c r="G962" s="112"/>
      <c r="H962" s="110"/>
      <c r="I962" s="112"/>
      <c r="J962" s="112"/>
      <c r="K962" s="112"/>
      <c r="L962" s="114"/>
      <c r="M962" s="114"/>
      <c r="N962" s="112"/>
      <c r="O962" s="115"/>
      <c r="P962" s="115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</row>
    <row r="963" spans="1:28" ht="15.75" customHeight="1" x14ac:dyDescent="0.25">
      <c r="A963" s="116"/>
      <c r="B963" s="112"/>
      <c r="C963" s="113"/>
      <c r="D963" s="111"/>
      <c r="E963" s="113"/>
      <c r="F963" s="111"/>
      <c r="G963" s="112"/>
      <c r="H963" s="110"/>
      <c r="I963" s="112"/>
      <c r="J963" s="112"/>
      <c r="K963" s="112"/>
      <c r="L963" s="114"/>
      <c r="M963" s="114"/>
      <c r="N963" s="112"/>
      <c r="O963" s="115"/>
      <c r="P963" s="115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</row>
    <row r="964" spans="1:28" ht="15.75" customHeight="1" x14ac:dyDescent="0.25">
      <c r="A964" s="116"/>
      <c r="B964" s="112"/>
      <c r="C964" s="113"/>
      <c r="D964" s="111"/>
      <c r="E964" s="113"/>
      <c r="F964" s="111"/>
      <c r="G964" s="112"/>
      <c r="H964" s="110"/>
      <c r="I964" s="112"/>
      <c r="J964" s="112"/>
      <c r="K964" s="112"/>
      <c r="L964" s="114"/>
      <c r="M964" s="114"/>
      <c r="N964" s="112"/>
      <c r="O964" s="115"/>
      <c r="P964" s="115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</row>
    <row r="965" spans="1:28" ht="15.75" customHeight="1" x14ac:dyDescent="0.25">
      <c r="A965" s="116"/>
      <c r="B965" s="112"/>
      <c r="C965" s="113"/>
      <c r="D965" s="111"/>
      <c r="E965" s="113"/>
      <c r="F965" s="111"/>
      <c r="G965" s="112"/>
      <c r="H965" s="110"/>
      <c r="I965" s="112"/>
      <c r="J965" s="112"/>
      <c r="K965" s="112"/>
      <c r="L965" s="114"/>
      <c r="M965" s="114"/>
      <c r="N965" s="112"/>
      <c r="O965" s="115"/>
      <c r="P965" s="115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</row>
    <row r="966" spans="1:28" ht="15.75" customHeight="1" x14ac:dyDescent="0.25">
      <c r="A966" s="116"/>
      <c r="B966" s="112"/>
      <c r="C966" s="113"/>
      <c r="D966" s="111"/>
      <c r="E966" s="113"/>
      <c r="F966" s="111"/>
      <c r="G966" s="112"/>
      <c r="H966" s="110"/>
      <c r="I966" s="112"/>
      <c r="J966" s="112"/>
      <c r="K966" s="112"/>
      <c r="L966" s="114"/>
      <c r="M966" s="114"/>
      <c r="N966" s="112"/>
      <c r="O966" s="115"/>
      <c r="P966" s="115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</row>
    <row r="967" spans="1:28" ht="15.75" customHeight="1" x14ac:dyDescent="0.25">
      <c r="A967" s="116"/>
      <c r="B967" s="112"/>
      <c r="C967" s="113"/>
      <c r="D967" s="111"/>
      <c r="E967" s="113"/>
      <c r="F967" s="111"/>
      <c r="G967" s="112"/>
      <c r="H967" s="110"/>
      <c r="I967" s="112"/>
      <c r="J967" s="112"/>
      <c r="K967" s="112"/>
      <c r="L967" s="114"/>
      <c r="M967" s="114"/>
      <c r="N967" s="112"/>
      <c r="O967" s="115"/>
      <c r="P967" s="115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</row>
    <row r="968" spans="1:28" ht="15.75" customHeight="1" x14ac:dyDescent="0.25">
      <c r="A968" s="116"/>
      <c r="B968" s="112"/>
      <c r="C968" s="113"/>
      <c r="D968" s="111"/>
      <c r="E968" s="113"/>
      <c r="F968" s="111"/>
      <c r="G968" s="112"/>
      <c r="H968" s="110"/>
      <c r="I968" s="112"/>
      <c r="J968" s="112"/>
      <c r="K968" s="112"/>
      <c r="L968" s="114"/>
      <c r="M968" s="114"/>
      <c r="N968" s="112"/>
      <c r="O968" s="115"/>
      <c r="P968" s="115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</row>
    <row r="969" spans="1:28" ht="15.75" customHeight="1" x14ac:dyDescent="0.25">
      <c r="A969" s="116"/>
      <c r="B969" s="112"/>
      <c r="C969" s="113"/>
      <c r="D969" s="111"/>
      <c r="E969" s="113"/>
      <c r="F969" s="111"/>
      <c r="G969" s="112"/>
      <c r="H969" s="110"/>
      <c r="I969" s="112"/>
      <c r="J969" s="112"/>
      <c r="K969" s="112"/>
      <c r="L969" s="114"/>
      <c r="M969" s="114"/>
      <c r="N969" s="112"/>
      <c r="O969" s="115"/>
      <c r="P969" s="115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</row>
    <row r="970" spans="1:28" ht="15.75" customHeight="1" x14ac:dyDescent="0.25">
      <c r="A970" s="116"/>
      <c r="B970" s="112"/>
      <c r="C970" s="113"/>
      <c r="D970" s="111"/>
      <c r="E970" s="113"/>
      <c r="F970" s="111"/>
      <c r="G970" s="112"/>
      <c r="H970" s="110"/>
      <c r="I970" s="112"/>
      <c r="J970" s="112"/>
      <c r="K970" s="112"/>
      <c r="L970" s="114"/>
      <c r="M970" s="114"/>
      <c r="N970" s="112"/>
      <c r="O970" s="115"/>
      <c r="P970" s="115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</row>
  </sheetData>
  <autoFilter ref="A1:Q553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99"/>
  <sheetViews>
    <sheetView workbookViewId="0"/>
  </sheetViews>
  <sheetFormatPr defaultColWidth="11.25" defaultRowHeight="15" customHeight="1" x14ac:dyDescent="0.25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8" width="8.375" customWidth="1"/>
    <col min="9" max="10" width="9.75" customWidth="1"/>
    <col min="11" max="12" width="8" customWidth="1"/>
    <col min="13" max="13" width="10.5" customWidth="1"/>
    <col min="14" max="14" width="14.75" customWidth="1"/>
    <col min="15" max="15" width="51" customWidth="1"/>
    <col min="16" max="16" width="30.125" customWidth="1"/>
    <col min="17" max="29" width="10.5" customWidth="1"/>
  </cols>
  <sheetData>
    <row r="1" spans="1:29" ht="27" customHeight="1" x14ac:dyDescent="0.25">
      <c r="A1" s="117" t="s">
        <v>0</v>
      </c>
      <c r="B1" s="118" t="s">
        <v>1</v>
      </c>
      <c r="C1" s="119" t="s">
        <v>2</v>
      </c>
      <c r="D1" s="118" t="s">
        <v>262</v>
      </c>
      <c r="E1" s="119" t="s">
        <v>263</v>
      </c>
      <c r="F1" s="120" t="s">
        <v>264</v>
      </c>
      <c r="G1" s="120" t="s">
        <v>265</v>
      </c>
      <c r="H1" s="118" t="s">
        <v>6</v>
      </c>
      <c r="I1" s="119" t="s">
        <v>266</v>
      </c>
      <c r="J1" s="121" t="s">
        <v>267</v>
      </c>
      <c r="K1" s="122" t="s">
        <v>268</v>
      </c>
      <c r="L1" s="123" t="s">
        <v>269</v>
      </c>
      <c r="M1" s="124" t="s">
        <v>13</v>
      </c>
      <c r="N1" s="125" t="s">
        <v>14</v>
      </c>
      <c r="O1" s="126" t="s">
        <v>15</v>
      </c>
      <c r="P1" s="127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29" ht="15" customHeight="1" x14ac:dyDescent="0.25">
      <c r="A2" s="128" t="s">
        <v>270</v>
      </c>
      <c r="B2" s="129" t="s">
        <v>17</v>
      </c>
      <c r="C2" s="130" t="s">
        <v>17</v>
      </c>
      <c r="D2" s="131">
        <v>45709</v>
      </c>
      <c r="E2" s="130">
        <v>0.46736111111111112</v>
      </c>
      <c r="F2" s="132">
        <v>8.3800000000000008</v>
      </c>
      <c r="G2" s="132">
        <v>26.4</v>
      </c>
      <c r="H2" s="131">
        <v>45714</v>
      </c>
      <c r="I2" s="130">
        <v>0.41875000000000001</v>
      </c>
      <c r="J2" s="133">
        <v>8.15</v>
      </c>
      <c r="K2" s="134">
        <v>26.7</v>
      </c>
      <c r="L2" s="130" t="s">
        <v>17</v>
      </c>
      <c r="M2" s="132" t="s">
        <v>19</v>
      </c>
      <c r="N2" s="135" t="s">
        <v>271</v>
      </c>
      <c r="O2" s="136"/>
      <c r="P2" s="136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29" ht="15.75" customHeight="1" x14ac:dyDescent="0.25">
      <c r="A3" s="137" t="s">
        <v>272</v>
      </c>
      <c r="B3" s="138">
        <v>45708</v>
      </c>
      <c r="C3" s="139">
        <v>0.33819444444444446</v>
      </c>
      <c r="D3" s="138">
        <v>45709</v>
      </c>
      <c r="E3" s="139">
        <v>0.48055555555555557</v>
      </c>
      <c r="F3" s="140">
        <v>8.81</v>
      </c>
      <c r="G3" s="140">
        <v>22.6</v>
      </c>
      <c r="H3" s="138">
        <v>45714</v>
      </c>
      <c r="I3" s="139">
        <v>0.42708333333333331</v>
      </c>
      <c r="J3" s="141">
        <v>6.75</v>
      </c>
      <c r="K3" s="142">
        <v>22.2</v>
      </c>
      <c r="L3" s="142">
        <f t="shared" ref="L3:L32" si="0">F3-J3</f>
        <v>2.0600000000000005</v>
      </c>
      <c r="M3" s="132" t="s">
        <v>19</v>
      </c>
      <c r="N3" s="135" t="s">
        <v>271</v>
      </c>
      <c r="O3" s="136"/>
    </row>
    <row r="4" spans="1:29" ht="17.25" customHeight="1" x14ac:dyDescent="0.25">
      <c r="A4" s="137" t="s">
        <v>273</v>
      </c>
      <c r="B4" s="138">
        <v>45708</v>
      </c>
      <c r="C4" s="139">
        <v>0.33819444444444446</v>
      </c>
      <c r="D4" s="138">
        <v>45709</v>
      </c>
      <c r="E4" s="139">
        <v>0.47361111111111109</v>
      </c>
      <c r="F4" s="140">
        <v>8.8000000000000007</v>
      </c>
      <c r="G4" s="140">
        <v>22</v>
      </c>
      <c r="H4" s="138">
        <v>45714</v>
      </c>
      <c r="I4" s="139">
        <v>0.42430555555555555</v>
      </c>
      <c r="J4" s="141">
        <v>8.44</v>
      </c>
      <c r="K4" s="142">
        <v>20</v>
      </c>
      <c r="L4" s="142">
        <f t="shared" si="0"/>
        <v>0.36000000000000121</v>
      </c>
      <c r="M4" s="132" t="s">
        <v>19</v>
      </c>
      <c r="N4" s="135" t="s">
        <v>271</v>
      </c>
      <c r="O4" s="136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29" ht="15.75" x14ac:dyDescent="0.25">
      <c r="A5" s="128" t="s">
        <v>274</v>
      </c>
      <c r="B5" s="131">
        <v>45708</v>
      </c>
      <c r="C5" s="130">
        <v>0.33819444444444446</v>
      </c>
      <c r="D5" s="131">
        <v>45709</v>
      </c>
      <c r="E5" s="130">
        <v>0.46875</v>
      </c>
      <c r="F5" s="132">
        <v>8.6199999999999992</v>
      </c>
      <c r="G5" s="132">
        <v>21.8</v>
      </c>
      <c r="H5" s="131">
        <v>45714</v>
      </c>
      <c r="I5" s="130">
        <v>0.4201388888888889</v>
      </c>
      <c r="J5" s="133">
        <v>8.32</v>
      </c>
      <c r="K5" s="143">
        <v>20.6</v>
      </c>
      <c r="L5" s="144">
        <f t="shared" si="0"/>
        <v>0.29999999999999893</v>
      </c>
      <c r="M5" s="132" t="s">
        <v>19</v>
      </c>
      <c r="N5" s="135" t="s">
        <v>271</v>
      </c>
      <c r="O5" s="136"/>
    </row>
    <row r="6" spans="1:29" ht="15" customHeight="1" x14ac:dyDescent="0.25">
      <c r="A6" s="128" t="s">
        <v>275</v>
      </c>
      <c r="B6" s="131">
        <v>45708</v>
      </c>
      <c r="C6" s="130">
        <v>0.33819444444444446</v>
      </c>
      <c r="D6" s="131">
        <v>45709</v>
      </c>
      <c r="E6" s="130">
        <v>0.48749999999999999</v>
      </c>
      <c r="F6" s="132">
        <v>8.1199999999999992</v>
      </c>
      <c r="G6" s="132">
        <v>22.4</v>
      </c>
      <c r="H6" s="131">
        <v>45714</v>
      </c>
      <c r="I6" s="130">
        <v>0.43333333333333335</v>
      </c>
      <c r="J6" s="133">
        <v>7.83</v>
      </c>
      <c r="K6" s="143">
        <v>23.1</v>
      </c>
      <c r="L6" s="144">
        <f t="shared" si="0"/>
        <v>0.28999999999999915</v>
      </c>
      <c r="M6" s="132" t="s">
        <v>19</v>
      </c>
      <c r="N6" s="135" t="s">
        <v>271</v>
      </c>
      <c r="O6" s="136"/>
    </row>
    <row r="7" spans="1:29" ht="15.75" customHeight="1" x14ac:dyDescent="0.25">
      <c r="A7" s="128" t="s">
        <v>276</v>
      </c>
      <c r="B7" s="131">
        <v>45708</v>
      </c>
      <c r="C7" s="130">
        <v>0.3576388888888889</v>
      </c>
      <c r="D7" s="131">
        <v>45709</v>
      </c>
      <c r="E7" s="130">
        <v>0.49652777777777779</v>
      </c>
      <c r="F7" s="132">
        <v>8.0299999999999994</v>
      </c>
      <c r="G7" s="132">
        <v>20</v>
      </c>
      <c r="H7" s="131">
        <v>45714</v>
      </c>
      <c r="I7" s="130">
        <v>0.44027777777777777</v>
      </c>
      <c r="J7" s="133">
        <v>7.71</v>
      </c>
      <c r="K7" s="143">
        <v>22.6</v>
      </c>
      <c r="L7" s="144">
        <f t="shared" si="0"/>
        <v>0.3199999999999994</v>
      </c>
      <c r="M7" s="132" t="s">
        <v>19</v>
      </c>
      <c r="N7" s="135" t="s">
        <v>271</v>
      </c>
      <c r="O7" s="145"/>
    </row>
    <row r="8" spans="1:29" ht="15.75" customHeight="1" x14ac:dyDescent="0.25">
      <c r="A8" s="128" t="s">
        <v>277</v>
      </c>
      <c r="B8" s="131">
        <v>45708</v>
      </c>
      <c r="C8" s="130">
        <v>0.3576388888888889</v>
      </c>
      <c r="D8" s="131">
        <v>45709</v>
      </c>
      <c r="E8" s="130">
        <v>0.49791666666666667</v>
      </c>
      <c r="F8" s="132">
        <v>8.24</v>
      </c>
      <c r="G8" s="132">
        <v>19.7</v>
      </c>
      <c r="H8" s="131">
        <v>45714</v>
      </c>
      <c r="I8" s="130">
        <v>0.44305555555555554</v>
      </c>
      <c r="J8" s="133">
        <v>7.7</v>
      </c>
      <c r="K8" s="143">
        <v>22.6</v>
      </c>
      <c r="L8" s="144">
        <f t="shared" si="0"/>
        <v>0.54</v>
      </c>
      <c r="M8" s="132" t="s">
        <v>19</v>
      </c>
      <c r="N8" s="135" t="s">
        <v>271</v>
      </c>
      <c r="O8" s="145"/>
    </row>
    <row r="9" spans="1:29" ht="15.75" customHeight="1" x14ac:dyDescent="0.25">
      <c r="A9" s="128" t="s">
        <v>278</v>
      </c>
      <c r="B9" s="131">
        <v>45708</v>
      </c>
      <c r="C9" s="130">
        <v>0.43055555555555558</v>
      </c>
      <c r="D9" s="131">
        <v>45709</v>
      </c>
      <c r="E9" s="130">
        <v>0.52777777777777779</v>
      </c>
      <c r="F9" s="132">
        <v>8.24</v>
      </c>
      <c r="G9" s="132">
        <v>20.6</v>
      </c>
      <c r="H9" s="131">
        <v>45714</v>
      </c>
      <c r="I9" s="130">
        <v>0.45763888888888887</v>
      </c>
      <c r="J9" s="132">
        <v>7.61</v>
      </c>
      <c r="K9" s="143">
        <v>23.8</v>
      </c>
      <c r="L9" s="144">
        <f t="shared" si="0"/>
        <v>0.62999999999999989</v>
      </c>
      <c r="M9" s="132" t="s">
        <v>19</v>
      </c>
      <c r="N9" s="135" t="s">
        <v>271</v>
      </c>
      <c r="O9" s="145"/>
    </row>
    <row r="10" spans="1:29" ht="15.75" customHeight="1" x14ac:dyDescent="0.25">
      <c r="A10" s="128" t="s">
        <v>279</v>
      </c>
      <c r="B10" s="131">
        <v>45708</v>
      </c>
      <c r="C10" s="130">
        <v>0.43055555555555558</v>
      </c>
      <c r="D10" s="131">
        <v>45709</v>
      </c>
      <c r="E10" s="130">
        <v>0.52916666666666667</v>
      </c>
      <c r="F10" s="132">
        <v>7.88</v>
      </c>
      <c r="G10" s="132">
        <v>20.5</v>
      </c>
      <c r="H10" s="131">
        <v>45714</v>
      </c>
      <c r="I10" s="146">
        <v>0.46180555555555558</v>
      </c>
      <c r="J10" s="132">
        <v>7.46</v>
      </c>
      <c r="K10" s="143">
        <v>20.3</v>
      </c>
      <c r="L10" s="144">
        <f t="shared" si="0"/>
        <v>0.41999999999999993</v>
      </c>
      <c r="M10" s="132" t="s">
        <v>19</v>
      </c>
      <c r="N10" s="135" t="s">
        <v>271</v>
      </c>
      <c r="O10" s="145"/>
    </row>
    <row r="11" spans="1:29" ht="15.75" x14ac:dyDescent="0.25">
      <c r="A11" s="128" t="s">
        <v>280</v>
      </c>
      <c r="B11" s="131">
        <v>45708</v>
      </c>
      <c r="C11" s="130">
        <v>0.44583333333333336</v>
      </c>
      <c r="D11" s="131">
        <v>45709</v>
      </c>
      <c r="E11" s="130">
        <v>0.52361111111111114</v>
      </c>
      <c r="F11" s="132">
        <v>7.45</v>
      </c>
      <c r="G11" s="132">
        <v>20.399999999999999</v>
      </c>
      <c r="H11" s="131">
        <v>45714</v>
      </c>
      <c r="I11" s="130">
        <v>0.46319444444444446</v>
      </c>
      <c r="J11" s="132">
        <v>7.03</v>
      </c>
      <c r="K11" s="143">
        <v>20.2</v>
      </c>
      <c r="L11" s="144">
        <f t="shared" si="0"/>
        <v>0.41999999999999993</v>
      </c>
      <c r="M11" s="132" t="s">
        <v>19</v>
      </c>
      <c r="N11" s="135" t="s">
        <v>271</v>
      </c>
      <c r="O11" s="136"/>
    </row>
    <row r="12" spans="1:29" ht="15.75" customHeight="1" x14ac:dyDescent="0.25">
      <c r="A12" s="128" t="s">
        <v>281</v>
      </c>
      <c r="B12" s="131">
        <v>45708</v>
      </c>
      <c r="C12" s="130">
        <v>0.44583333333333336</v>
      </c>
      <c r="D12" s="131">
        <v>45709</v>
      </c>
      <c r="E12" s="130">
        <v>0.52569444444444446</v>
      </c>
      <c r="F12" s="132">
        <v>7.77</v>
      </c>
      <c r="G12" s="132">
        <v>20.9</v>
      </c>
      <c r="H12" s="131">
        <v>45714</v>
      </c>
      <c r="I12" s="130">
        <v>0.46805555555555556</v>
      </c>
      <c r="J12" s="132">
        <v>7.53</v>
      </c>
      <c r="K12" s="143">
        <v>20.3</v>
      </c>
      <c r="L12" s="144">
        <f t="shared" si="0"/>
        <v>0.23999999999999932</v>
      </c>
      <c r="M12" s="132" t="s">
        <v>19</v>
      </c>
      <c r="N12" s="135" t="s">
        <v>271</v>
      </c>
      <c r="O12" s="145"/>
    </row>
    <row r="13" spans="1:29" ht="15.75" customHeight="1" x14ac:dyDescent="0.25">
      <c r="A13" s="147" t="s">
        <v>282</v>
      </c>
      <c r="B13" s="131">
        <v>45709</v>
      </c>
      <c r="C13" s="130">
        <v>0.32291666666666669</v>
      </c>
      <c r="D13" s="131">
        <v>45709</v>
      </c>
      <c r="E13" s="130">
        <v>0.67361111111111116</v>
      </c>
      <c r="F13" s="132">
        <v>8.8000000000000007</v>
      </c>
      <c r="G13" s="148">
        <v>22.3</v>
      </c>
      <c r="H13" s="131">
        <v>45714</v>
      </c>
      <c r="I13" s="130">
        <v>0.60555555555555551</v>
      </c>
      <c r="J13" s="132">
        <v>8.3000000000000007</v>
      </c>
      <c r="K13" s="143">
        <v>21.3</v>
      </c>
      <c r="L13" s="144">
        <f t="shared" si="0"/>
        <v>0.5</v>
      </c>
      <c r="M13" s="132" t="s">
        <v>19</v>
      </c>
      <c r="N13" s="135" t="s">
        <v>20</v>
      </c>
      <c r="O13" s="145"/>
    </row>
    <row r="14" spans="1:29" ht="15.75" customHeight="1" x14ac:dyDescent="0.25">
      <c r="A14" s="147" t="s">
        <v>283</v>
      </c>
      <c r="B14" s="131">
        <v>45709</v>
      </c>
      <c r="C14" s="130">
        <v>0.32291666666666669</v>
      </c>
      <c r="D14" s="131">
        <v>45709</v>
      </c>
      <c r="E14" s="130">
        <v>0.6743055555555556</v>
      </c>
      <c r="F14" s="132">
        <v>8.68</v>
      </c>
      <c r="G14" s="132">
        <v>20.8</v>
      </c>
      <c r="H14" s="131">
        <v>45714</v>
      </c>
      <c r="I14" s="130">
        <v>0.60833333333333328</v>
      </c>
      <c r="J14" s="132">
        <v>8.56</v>
      </c>
      <c r="K14" s="143">
        <v>21.2</v>
      </c>
      <c r="L14" s="144">
        <f t="shared" si="0"/>
        <v>0.11999999999999922</v>
      </c>
      <c r="M14" s="132" t="s">
        <v>19</v>
      </c>
      <c r="N14" s="135" t="s">
        <v>20</v>
      </c>
      <c r="O14" s="145"/>
    </row>
    <row r="15" spans="1:29" ht="15.75" customHeight="1" x14ac:dyDescent="0.25">
      <c r="A15" s="137" t="s">
        <v>284</v>
      </c>
      <c r="B15" s="138">
        <v>45709</v>
      </c>
      <c r="C15" s="139">
        <v>0.34027777777777779</v>
      </c>
      <c r="D15" s="138">
        <v>45709</v>
      </c>
      <c r="E15" s="139">
        <v>0.66736111111111107</v>
      </c>
      <c r="F15" s="140">
        <v>8.82</v>
      </c>
      <c r="G15" s="140">
        <v>20.3</v>
      </c>
      <c r="H15" s="138">
        <v>45714</v>
      </c>
      <c r="I15" s="139">
        <v>0.62152777777777779</v>
      </c>
      <c r="J15" s="141">
        <v>6.65</v>
      </c>
      <c r="K15" s="142">
        <v>20</v>
      </c>
      <c r="L15" s="142">
        <f t="shared" si="0"/>
        <v>2.17</v>
      </c>
      <c r="M15" s="132" t="s">
        <v>19</v>
      </c>
      <c r="N15" s="135" t="s">
        <v>20</v>
      </c>
      <c r="O15" s="145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5.75" customHeight="1" x14ac:dyDescent="0.25">
      <c r="A16" s="137" t="s">
        <v>285</v>
      </c>
      <c r="B16" s="138">
        <v>45709</v>
      </c>
      <c r="C16" s="139">
        <v>0.34027777777777779</v>
      </c>
      <c r="D16" s="138">
        <v>45709</v>
      </c>
      <c r="E16" s="139">
        <v>0.66666666666666663</v>
      </c>
      <c r="F16" s="140">
        <v>8.8000000000000007</v>
      </c>
      <c r="G16" s="140">
        <v>20.2</v>
      </c>
      <c r="H16" s="138">
        <v>45714</v>
      </c>
      <c r="I16" s="139">
        <v>0.61944444444444446</v>
      </c>
      <c r="J16" s="141">
        <v>8.67</v>
      </c>
      <c r="K16" s="142">
        <v>20</v>
      </c>
      <c r="L16" s="142">
        <f t="shared" si="0"/>
        <v>0.13000000000000078</v>
      </c>
      <c r="M16" s="132" t="s">
        <v>19</v>
      </c>
      <c r="N16" s="135" t="s">
        <v>20</v>
      </c>
      <c r="O16" s="145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5.75" customHeight="1" x14ac:dyDescent="0.25">
      <c r="A17" s="128" t="s">
        <v>286</v>
      </c>
      <c r="B17" s="131">
        <v>45709</v>
      </c>
      <c r="C17" s="130">
        <v>0.34027777777777779</v>
      </c>
      <c r="D17" s="131">
        <v>45709</v>
      </c>
      <c r="E17" s="130">
        <v>0.66874999999999996</v>
      </c>
      <c r="F17" s="132">
        <v>8.8800000000000008</v>
      </c>
      <c r="G17" s="132">
        <v>20</v>
      </c>
      <c r="H17" s="131">
        <v>45714</v>
      </c>
      <c r="I17" s="130">
        <v>0.61805555555555558</v>
      </c>
      <c r="J17" s="133">
        <v>8.75</v>
      </c>
      <c r="K17" s="143">
        <v>20.2</v>
      </c>
      <c r="L17" s="144">
        <f t="shared" si="0"/>
        <v>0.13000000000000078</v>
      </c>
      <c r="M17" s="132" t="s">
        <v>19</v>
      </c>
      <c r="N17" s="135" t="s">
        <v>20</v>
      </c>
      <c r="O17" s="145"/>
    </row>
    <row r="18" spans="1:29" ht="15.75" customHeight="1" x14ac:dyDescent="0.25">
      <c r="A18" s="128" t="s">
        <v>287</v>
      </c>
      <c r="B18" s="131">
        <v>45709</v>
      </c>
      <c r="C18" s="130">
        <v>0.34027777777777779</v>
      </c>
      <c r="D18" s="131">
        <v>45709</v>
      </c>
      <c r="E18" s="130">
        <v>0.6694444444444444</v>
      </c>
      <c r="F18" s="132">
        <v>8.94</v>
      </c>
      <c r="G18" s="132">
        <v>20</v>
      </c>
      <c r="H18" s="131">
        <v>45714</v>
      </c>
      <c r="I18" s="130">
        <v>0.62291666666666667</v>
      </c>
      <c r="J18" s="133">
        <v>8.61</v>
      </c>
      <c r="K18" s="143">
        <v>21.5</v>
      </c>
      <c r="L18" s="144">
        <f t="shared" si="0"/>
        <v>0.33000000000000007</v>
      </c>
      <c r="M18" s="132" t="s">
        <v>19</v>
      </c>
      <c r="N18" s="135" t="s">
        <v>20</v>
      </c>
      <c r="O18" s="145"/>
      <c r="P18" s="29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5.75" customHeight="1" x14ac:dyDescent="0.25">
      <c r="A19" s="128" t="s">
        <v>288</v>
      </c>
      <c r="B19" s="131">
        <v>45709</v>
      </c>
      <c r="C19" s="130">
        <v>0.35833333333333334</v>
      </c>
      <c r="D19" s="131">
        <v>45709</v>
      </c>
      <c r="E19" s="130">
        <v>0.69513888888888886</v>
      </c>
      <c r="F19" s="132">
        <v>8.56</v>
      </c>
      <c r="G19" s="132">
        <v>21.1</v>
      </c>
      <c r="H19" s="131">
        <v>45714</v>
      </c>
      <c r="I19" s="130">
        <v>0.62361111111111112</v>
      </c>
      <c r="J19" s="133">
        <v>7.67</v>
      </c>
      <c r="K19" s="143">
        <v>21.7</v>
      </c>
      <c r="L19" s="144">
        <f t="shared" si="0"/>
        <v>0.89000000000000057</v>
      </c>
      <c r="M19" s="132" t="s">
        <v>19</v>
      </c>
      <c r="N19" s="135" t="s">
        <v>20</v>
      </c>
      <c r="O19" s="145"/>
    </row>
    <row r="20" spans="1:29" ht="15.75" customHeight="1" x14ac:dyDescent="0.25">
      <c r="A20" s="128" t="s">
        <v>289</v>
      </c>
      <c r="B20" s="131">
        <v>45709</v>
      </c>
      <c r="C20" s="130">
        <v>0.35833333333333334</v>
      </c>
      <c r="D20" s="131">
        <v>45709</v>
      </c>
      <c r="E20" s="130">
        <v>0.69722222222222219</v>
      </c>
      <c r="F20" s="132">
        <v>8.51</v>
      </c>
      <c r="G20" s="132">
        <v>21.6</v>
      </c>
      <c r="H20" s="131">
        <v>45714</v>
      </c>
      <c r="I20" s="130">
        <v>0.625</v>
      </c>
      <c r="J20" s="133">
        <v>7.79</v>
      </c>
      <c r="K20" s="143">
        <v>21.7</v>
      </c>
      <c r="L20" s="144">
        <f t="shared" si="0"/>
        <v>0.71999999999999975</v>
      </c>
      <c r="M20" s="132" t="s">
        <v>19</v>
      </c>
      <c r="N20" s="135" t="s">
        <v>20</v>
      </c>
      <c r="O20" s="145"/>
    </row>
    <row r="21" spans="1:29" ht="15" customHeight="1" x14ac:dyDescent="0.25">
      <c r="A21" s="128" t="s">
        <v>290</v>
      </c>
      <c r="B21" s="131">
        <v>45709</v>
      </c>
      <c r="C21" s="130">
        <v>0.40763888888888888</v>
      </c>
      <c r="D21" s="131">
        <v>45709</v>
      </c>
      <c r="E21" s="130">
        <v>0.68958333333333333</v>
      </c>
      <c r="F21" s="132">
        <v>8.32</v>
      </c>
      <c r="G21" s="132">
        <v>20.3</v>
      </c>
      <c r="H21" s="131">
        <v>45714</v>
      </c>
      <c r="I21" s="130">
        <v>0.62638888888888888</v>
      </c>
      <c r="J21" s="133">
        <v>7.77</v>
      </c>
      <c r="K21" s="143">
        <v>21.2</v>
      </c>
      <c r="L21" s="144">
        <f t="shared" si="0"/>
        <v>0.55000000000000071</v>
      </c>
      <c r="M21" s="132" t="s">
        <v>19</v>
      </c>
      <c r="N21" s="135" t="s">
        <v>20</v>
      </c>
      <c r="O21" s="145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5" customHeight="1" x14ac:dyDescent="0.25">
      <c r="A22" s="128" t="s">
        <v>291</v>
      </c>
      <c r="B22" s="131">
        <v>45709</v>
      </c>
      <c r="C22" s="130">
        <v>0.40763888888888888</v>
      </c>
      <c r="D22" s="131">
        <v>45709</v>
      </c>
      <c r="E22" s="130">
        <v>0.69236111111111109</v>
      </c>
      <c r="F22" s="132">
        <v>7.9</v>
      </c>
      <c r="G22" s="132">
        <v>20.399999999999999</v>
      </c>
      <c r="H22" s="131">
        <v>45714</v>
      </c>
      <c r="I22" s="130">
        <v>0.62708333333333333</v>
      </c>
      <c r="J22" s="133">
        <v>7.46</v>
      </c>
      <c r="K22" s="143">
        <v>22.3</v>
      </c>
      <c r="L22" s="144">
        <f t="shared" si="0"/>
        <v>0.44000000000000039</v>
      </c>
      <c r="M22" s="132" t="s">
        <v>19</v>
      </c>
      <c r="N22" s="135" t="s">
        <v>20</v>
      </c>
      <c r="O22" s="145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5" customHeight="1" x14ac:dyDescent="0.25">
      <c r="A23" s="128" t="s">
        <v>292</v>
      </c>
      <c r="B23" s="131">
        <v>45709</v>
      </c>
      <c r="C23" s="130">
        <v>0.42708333333333331</v>
      </c>
      <c r="D23" s="131">
        <v>45709</v>
      </c>
      <c r="E23" s="130">
        <v>0.70416666666666672</v>
      </c>
      <c r="F23" s="132">
        <v>8.16</v>
      </c>
      <c r="G23" s="132">
        <v>23</v>
      </c>
      <c r="H23" s="131">
        <v>45714</v>
      </c>
      <c r="I23" s="130">
        <v>0.62986111111111109</v>
      </c>
      <c r="J23" s="133">
        <v>7.93</v>
      </c>
      <c r="K23" s="143">
        <v>20.2</v>
      </c>
      <c r="L23" s="144">
        <f t="shared" si="0"/>
        <v>0.23000000000000043</v>
      </c>
      <c r="M23" s="132" t="s">
        <v>19</v>
      </c>
      <c r="N23" s="135" t="s">
        <v>20</v>
      </c>
      <c r="O23" s="145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4.25" customHeight="1" x14ac:dyDescent="0.25">
      <c r="A24" s="128" t="s">
        <v>293</v>
      </c>
      <c r="B24" s="131">
        <v>45709</v>
      </c>
      <c r="C24" s="130">
        <v>0.42708333333333331</v>
      </c>
      <c r="D24" s="131">
        <v>45709</v>
      </c>
      <c r="E24" s="130">
        <v>0.70625000000000004</v>
      </c>
      <c r="F24" s="132">
        <v>8.18</v>
      </c>
      <c r="G24" s="132">
        <v>22.5</v>
      </c>
      <c r="H24" s="131">
        <v>45714</v>
      </c>
      <c r="I24" s="130">
        <v>0.63124999999999998</v>
      </c>
      <c r="J24" s="133">
        <v>7.83</v>
      </c>
      <c r="K24" s="134">
        <v>20.2</v>
      </c>
      <c r="L24" s="144">
        <f t="shared" si="0"/>
        <v>0.34999999999999964</v>
      </c>
      <c r="M24" s="132" t="s">
        <v>19</v>
      </c>
      <c r="N24" s="135" t="s">
        <v>20</v>
      </c>
      <c r="O24" s="145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spans="1:29" ht="16.5" customHeight="1" x14ac:dyDescent="0.25">
      <c r="A25" s="128" t="s">
        <v>294</v>
      </c>
      <c r="B25" s="131">
        <v>45709</v>
      </c>
      <c r="C25" s="130">
        <v>0.44097222222222221</v>
      </c>
      <c r="D25" s="131">
        <v>45709</v>
      </c>
      <c r="E25" s="130">
        <v>0.71458333333333335</v>
      </c>
      <c r="F25" s="132">
        <v>7.95</v>
      </c>
      <c r="G25" s="132">
        <v>21.8</v>
      </c>
      <c r="H25" s="131">
        <v>45714</v>
      </c>
      <c r="I25" s="130">
        <v>0.63194444444444442</v>
      </c>
      <c r="J25" s="132">
        <v>7.7</v>
      </c>
      <c r="K25" s="132">
        <v>22.2</v>
      </c>
      <c r="L25" s="144">
        <f t="shared" si="0"/>
        <v>0.25</v>
      </c>
      <c r="M25" s="132" t="s">
        <v>19</v>
      </c>
      <c r="N25" s="135" t="s">
        <v>20</v>
      </c>
      <c r="O25" s="145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spans="1:29" ht="16.5" customHeight="1" x14ac:dyDescent="0.25">
      <c r="A26" s="147" t="s">
        <v>295</v>
      </c>
      <c r="B26" s="131">
        <v>45709</v>
      </c>
      <c r="C26" s="130">
        <v>0.44097222222222221</v>
      </c>
      <c r="D26" s="131">
        <v>45709</v>
      </c>
      <c r="E26" s="149">
        <v>0.71527777777777779</v>
      </c>
      <c r="F26" s="148">
        <v>8.15</v>
      </c>
      <c r="G26" s="148">
        <v>22</v>
      </c>
      <c r="H26" s="131">
        <v>45714</v>
      </c>
      <c r="I26" s="149">
        <v>0.6333333333333333</v>
      </c>
      <c r="J26" s="150">
        <v>7.87</v>
      </c>
      <c r="K26" s="144">
        <v>21.9</v>
      </c>
      <c r="L26" s="144">
        <f t="shared" si="0"/>
        <v>0.28000000000000025</v>
      </c>
      <c r="M26" s="132" t="s">
        <v>19</v>
      </c>
      <c r="N26" s="135" t="s">
        <v>20</v>
      </c>
      <c r="O26" s="145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 spans="1:29" ht="15.75" x14ac:dyDescent="0.25">
      <c r="A27" s="137" t="s">
        <v>296</v>
      </c>
      <c r="B27" s="138">
        <v>45709</v>
      </c>
      <c r="C27" s="139">
        <v>0.46736111111111112</v>
      </c>
      <c r="D27" s="138">
        <v>45709</v>
      </c>
      <c r="E27" s="139">
        <v>0.68611111111111112</v>
      </c>
      <c r="F27" s="140">
        <v>8.68</v>
      </c>
      <c r="G27" s="140">
        <v>22.2</v>
      </c>
      <c r="H27" s="138">
        <v>45714</v>
      </c>
      <c r="I27" s="139">
        <v>0.61250000000000004</v>
      </c>
      <c r="J27" s="141">
        <v>6.68</v>
      </c>
      <c r="K27" s="142">
        <v>20.5</v>
      </c>
      <c r="L27" s="142">
        <f t="shared" si="0"/>
        <v>2</v>
      </c>
      <c r="M27" s="132" t="s">
        <v>19</v>
      </c>
      <c r="N27" s="135" t="s">
        <v>20</v>
      </c>
      <c r="O27" s="151"/>
    </row>
    <row r="28" spans="1:29" ht="15.75" x14ac:dyDescent="0.25">
      <c r="A28" s="137" t="s">
        <v>297</v>
      </c>
      <c r="B28" s="138">
        <v>45709</v>
      </c>
      <c r="C28" s="139">
        <v>0.46736111111111112</v>
      </c>
      <c r="D28" s="138">
        <v>45709</v>
      </c>
      <c r="E28" s="139">
        <v>0.68541666666666667</v>
      </c>
      <c r="F28" s="140">
        <v>8.35</v>
      </c>
      <c r="G28" s="140">
        <v>21.8</v>
      </c>
      <c r="H28" s="138">
        <v>45714</v>
      </c>
      <c r="I28" s="139">
        <v>0.61597222222222225</v>
      </c>
      <c r="J28" s="140">
        <v>7.6</v>
      </c>
      <c r="K28" s="140">
        <v>20.3</v>
      </c>
      <c r="L28" s="142">
        <f t="shared" si="0"/>
        <v>0.75</v>
      </c>
      <c r="M28" s="132" t="s">
        <v>19</v>
      </c>
      <c r="N28" s="135" t="s">
        <v>20</v>
      </c>
      <c r="O28" s="151"/>
    </row>
    <row r="29" spans="1:29" ht="15.75" customHeight="1" x14ac:dyDescent="0.25">
      <c r="A29" s="128" t="s">
        <v>298</v>
      </c>
      <c r="B29" s="131">
        <v>45709</v>
      </c>
      <c r="C29" s="130">
        <v>0.46736111111111112</v>
      </c>
      <c r="D29" s="131">
        <v>45709</v>
      </c>
      <c r="E29" s="130">
        <v>0.68472222222222223</v>
      </c>
      <c r="F29" s="132">
        <v>8.27</v>
      </c>
      <c r="G29" s="132">
        <v>21.1</v>
      </c>
      <c r="H29" s="131">
        <v>45714</v>
      </c>
      <c r="I29" s="130">
        <v>0.61041666666666672</v>
      </c>
      <c r="J29" s="133">
        <v>7.53</v>
      </c>
      <c r="K29" s="143">
        <v>20.100000000000001</v>
      </c>
      <c r="L29" s="144">
        <f t="shared" si="0"/>
        <v>0.73999999999999932</v>
      </c>
      <c r="M29" s="132" t="s">
        <v>19</v>
      </c>
      <c r="N29" s="135" t="s">
        <v>20</v>
      </c>
      <c r="O29" s="145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.75" customHeight="1" x14ac:dyDescent="0.25">
      <c r="A30" s="128" t="s">
        <v>299</v>
      </c>
      <c r="B30" s="131">
        <v>45709</v>
      </c>
      <c r="C30" s="130">
        <v>0.46736111111111112</v>
      </c>
      <c r="D30" s="131">
        <v>45709</v>
      </c>
      <c r="E30" s="130">
        <v>0.69374999999999998</v>
      </c>
      <c r="F30" s="132">
        <v>8.25</v>
      </c>
      <c r="G30" s="132">
        <v>21</v>
      </c>
      <c r="H30" s="131">
        <v>45714</v>
      </c>
      <c r="I30" s="130">
        <v>0.6166666666666667</v>
      </c>
      <c r="J30" s="133">
        <v>7.28</v>
      </c>
      <c r="K30" s="143">
        <v>20.3</v>
      </c>
      <c r="L30" s="144">
        <f t="shared" si="0"/>
        <v>0.96999999999999975</v>
      </c>
      <c r="M30" s="132" t="s">
        <v>19</v>
      </c>
      <c r="N30" s="135" t="s">
        <v>20</v>
      </c>
      <c r="O30" s="145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.75" customHeight="1" x14ac:dyDescent="0.25">
      <c r="A31" s="128" t="s">
        <v>300</v>
      </c>
      <c r="B31" s="131">
        <v>45709</v>
      </c>
      <c r="C31" s="130">
        <v>0.48402777777777778</v>
      </c>
      <c r="D31" s="131">
        <v>45709</v>
      </c>
      <c r="E31" s="130">
        <v>0.67638888888888893</v>
      </c>
      <c r="F31" s="132">
        <v>8.5500000000000007</v>
      </c>
      <c r="G31" s="132">
        <v>20.6</v>
      </c>
      <c r="H31" s="131">
        <v>45714</v>
      </c>
      <c r="I31" s="130">
        <v>0.63402777777777775</v>
      </c>
      <c r="J31" s="133">
        <v>8.3000000000000007</v>
      </c>
      <c r="K31" s="143">
        <v>21.8</v>
      </c>
      <c r="L31" s="144">
        <f t="shared" si="0"/>
        <v>0.25</v>
      </c>
      <c r="M31" s="132" t="s">
        <v>19</v>
      </c>
      <c r="N31" s="135" t="s">
        <v>20</v>
      </c>
      <c r="O31" s="145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5.75" customHeight="1" x14ac:dyDescent="0.25">
      <c r="A32" s="128" t="s">
        <v>301</v>
      </c>
      <c r="B32" s="131">
        <v>45709</v>
      </c>
      <c r="C32" s="130">
        <v>0.48402777777777778</v>
      </c>
      <c r="D32" s="131">
        <v>45709</v>
      </c>
      <c r="E32" s="130">
        <v>0.69374999999999998</v>
      </c>
      <c r="F32" s="132">
        <v>8.32</v>
      </c>
      <c r="G32" s="132">
        <v>20.2</v>
      </c>
      <c r="H32" s="131">
        <v>45714</v>
      </c>
      <c r="I32" s="130">
        <v>0.63541666666666663</v>
      </c>
      <c r="J32" s="133">
        <v>7.83</v>
      </c>
      <c r="K32" s="143">
        <v>21.8</v>
      </c>
      <c r="L32" s="144">
        <f t="shared" si="0"/>
        <v>0.49000000000000021</v>
      </c>
      <c r="M32" s="132" t="s">
        <v>19</v>
      </c>
      <c r="N32" s="135" t="s">
        <v>20</v>
      </c>
      <c r="O32" s="145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5.75" customHeight="1" x14ac:dyDescent="0.25">
      <c r="A33" s="128" t="s">
        <v>270</v>
      </c>
      <c r="B33" s="129" t="s">
        <v>17</v>
      </c>
      <c r="C33" s="130" t="s">
        <v>17</v>
      </c>
      <c r="D33" s="131">
        <v>45721</v>
      </c>
      <c r="E33" s="130">
        <v>0.33263888888888887</v>
      </c>
      <c r="F33" s="132">
        <v>8.66</v>
      </c>
      <c r="G33" s="132">
        <v>23.5</v>
      </c>
      <c r="H33" s="131">
        <v>45726</v>
      </c>
      <c r="I33" s="149">
        <v>0.4465277777777778</v>
      </c>
      <c r="J33" s="150">
        <v>8.1199999999999992</v>
      </c>
      <c r="K33" s="144">
        <v>27</v>
      </c>
      <c r="L33" s="130" t="s">
        <v>17</v>
      </c>
      <c r="M33" s="132" t="s">
        <v>19</v>
      </c>
      <c r="N33" s="135" t="s">
        <v>20</v>
      </c>
      <c r="O33" s="145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5.75" customHeight="1" x14ac:dyDescent="0.25">
      <c r="A34" s="128" t="s">
        <v>302</v>
      </c>
      <c r="B34" s="131">
        <v>45719</v>
      </c>
      <c r="C34" s="149">
        <v>0.36249999999999999</v>
      </c>
      <c r="D34" s="131">
        <v>45721</v>
      </c>
      <c r="E34" s="130">
        <v>0.33611111111111114</v>
      </c>
      <c r="F34" s="148">
        <v>8.25</v>
      </c>
      <c r="G34" s="148">
        <v>19.3</v>
      </c>
      <c r="H34" s="152">
        <v>45726</v>
      </c>
      <c r="I34" s="149">
        <v>0.44791666666666669</v>
      </c>
      <c r="J34" s="150">
        <v>7.95</v>
      </c>
      <c r="K34" s="144">
        <v>18.899999999999999</v>
      </c>
      <c r="L34" s="144">
        <f t="shared" ref="L34:L57" si="1">F34-J34</f>
        <v>0.29999999999999982</v>
      </c>
      <c r="M34" s="132" t="s">
        <v>19</v>
      </c>
      <c r="N34" s="135" t="s">
        <v>20</v>
      </c>
      <c r="O34" s="145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5.75" customHeight="1" x14ac:dyDescent="0.25">
      <c r="A35" s="128" t="s">
        <v>303</v>
      </c>
      <c r="B35" s="131">
        <v>45719</v>
      </c>
      <c r="C35" s="149">
        <v>0.36249999999999999</v>
      </c>
      <c r="D35" s="131">
        <v>45721</v>
      </c>
      <c r="E35" s="149">
        <v>0.33680555555555558</v>
      </c>
      <c r="F35" s="148">
        <v>8.4600000000000009</v>
      </c>
      <c r="G35" s="148">
        <v>19.600000000000001</v>
      </c>
      <c r="H35" s="152">
        <v>45726</v>
      </c>
      <c r="I35" s="149">
        <v>0.4513888888888889</v>
      </c>
      <c r="J35" s="150">
        <v>8.0399999999999991</v>
      </c>
      <c r="K35" s="144">
        <v>20.8</v>
      </c>
      <c r="L35" s="144">
        <f t="shared" si="1"/>
        <v>0.42000000000000171</v>
      </c>
      <c r="M35" s="132" t="s">
        <v>19</v>
      </c>
      <c r="N35" s="135" t="s">
        <v>20</v>
      </c>
      <c r="O35" s="145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5.75" customHeight="1" x14ac:dyDescent="0.25">
      <c r="A36" s="128" t="s">
        <v>304</v>
      </c>
      <c r="B36" s="131">
        <v>45719</v>
      </c>
      <c r="C36" s="153">
        <v>0.42916666666666664</v>
      </c>
      <c r="D36" s="131">
        <v>45721</v>
      </c>
      <c r="E36" s="130">
        <v>0.34583333333333333</v>
      </c>
      <c r="F36" s="129">
        <v>8.48</v>
      </c>
      <c r="G36" s="132">
        <v>19.8</v>
      </c>
      <c r="H36" s="152">
        <v>45726</v>
      </c>
      <c r="I36" s="130">
        <v>0.45347222222222222</v>
      </c>
      <c r="J36" s="132">
        <v>8.27</v>
      </c>
      <c r="K36" s="143">
        <v>18.3</v>
      </c>
      <c r="L36" s="144">
        <f t="shared" si="1"/>
        <v>0.21000000000000085</v>
      </c>
      <c r="M36" s="132" t="s">
        <v>19</v>
      </c>
      <c r="N36" s="135" t="s">
        <v>20</v>
      </c>
      <c r="O36" s="145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5.75" customHeight="1" x14ac:dyDescent="0.25">
      <c r="A37" s="128" t="s">
        <v>305</v>
      </c>
      <c r="B37" s="131">
        <v>45719</v>
      </c>
      <c r="C37" s="130">
        <v>0.42916666666666664</v>
      </c>
      <c r="D37" s="131">
        <v>45721</v>
      </c>
      <c r="E37" s="130">
        <v>0.34722222222222221</v>
      </c>
      <c r="F37" s="129">
        <v>8.7899999999999991</v>
      </c>
      <c r="G37" s="132">
        <v>20.5</v>
      </c>
      <c r="H37" s="152">
        <v>45726</v>
      </c>
      <c r="I37" s="130">
        <v>0.45555555555555555</v>
      </c>
      <c r="J37" s="132">
        <v>8.48</v>
      </c>
      <c r="K37" s="143">
        <v>19.2</v>
      </c>
      <c r="L37" s="144">
        <f t="shared" si="1"/>
        <v>0.30999999999999872</v>
      </c>
      <c r="M37" s="132" t="s">
        <v>19</v>
      </c>
      <c r="N37" s="135" t="s">
        <v>20</v>
      </c>
      <c r="O37" s="145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5.75" customHeight="1" x14ac:dyDescent="0.25">
      <c r="A38" s="128" t="s">
        <v>306</v>
      </c>
      <c r="B38" s="131">
        <v>45719</v>
      </c>
      <c r="C38" s="153">
        <v>0.46458333333333335</v>
      </c>
      <c r="D38" s="131">
        <v>45721</v>
      </c>
      <c r="E38" s="130">
        <v>0.35208333333333336</v>
      </c>
      <c r="F38" s="129">
        <v>8.61</v>
      </c>
      <c r="G38" s="132">
        <v>20.6</v>
      </c>
      <c r="H38" s="152">
        <v>45726</v>
      </c>
      <c r="I38" s="130">
        <v>0.4597222222222222</v>
      </c>
      <c r="J38" s="132">
        <v>8.06</v>
      </c>
      <c r="K38" s="143">
        <v>21.1</v>
      </c>
      <c r="L38" s="144">
        <f t="shared" si="1"/>
        <v>0.54999999999999893</v>
      </c>
      <c r="M38" s="132" t="s">
        <v>19</v>
      </c>
      <c r="N38" s="135" t="s">
        <v>20</v>
      </c>
      <c r="O38" s="145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5.75" customHeight="1" x14ac:dyDescent="0.25">
      <c r="A39" s="128" t="s">
        <v>307</v>
      </c>
      <c r="B39" s="131">
        <v>45719</v>
      </c>
      <c r="C39" s="130">
        <v>0.46458333333333335</v>
      </c>
      <c r="D39" s="131">
        <v>45721</v>
      </c>
      <c r="E39" s="130">
        <v>0.35416666666666669</v>
      </c>
      <c r="F39" s="129">
        <v>8.58</v>
      </c>
      <c r="G39" s="132">
        <v>21</v>
      </c>
      <c r="H39" s="152">
        <v>45726</v>
      </c>
      <c r="I39" s="130">
        <v>0.46111111111111114</v>
      </c>
      <c r="J39" s="132">
        <v>7.74</v>
      </c>
      <c r="K39" s="143">
        <v>21.7</v>
      </c>
      <c r="L39" s="144">
        <f t="shared" si="1"/>
        <v>0.83999999999999986</v>
      </c>
      <c r="M39" s="132" t="s">
        <v>19</v>
      </c>
      <c r="N39" s="135" t="s">
        <v>20</v>
      </c>
      <c r="O39" s="145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5.75" customHeight="1" x14ac:dyDescent="0.25">
      <c r="A40" s="137" t="s">
        <v>308</v>
      </c>
      <c r="B40" s="138">
        <v>45719</v>
      </c>
      <c r="C40" s="139">
        <v>0.51944444444444449</v>
      </c>
      <c r="D40" s="138">
        <v>45721</v>
      </c>
      <c r="E40" s="139">
        <v>0.36527777777777776</v>
      </c>
      <c r="F40" s="154">
        <v>8.8699999999999992</v>
      </c>
      <c r="G40" s="140">
        <v>21.5</v>
      </c>
      <c r="H40" s="138">
        <v>45726</v>
      </c>
      <c r="I40" s="139">
        <v>0.46458333333333335</v>
      </c>
      <c r="J40" s="140">
        <v>6.86</v>
      </c>
      <c r="K40" s="142">
        <v>21.4</v>
      </c>
      <c r="L40" s="142">
        <f t="shared" si="1"/>
        <v>2.0099999999999989</v>
      </c>
      <c r="M40" s="132" t="s">
        <v>19</v>
      </c>
      <c r="N40" s="135" t="s">
        <v>20</v>
      </c>
      <c r="O40" s="145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5.75" customHeight="1" x14ac:dyDescent="0.25">
      <c r="A41" s="137" t="s">
        <v>309</v>
      </c>
      <c r="B41" s="138">
        <v>45719</v>
      </c>
      <c r="C41" s="139">
        <v>0.51944444444444449</v>
      </c>
      <c r="D41" s="138">
        <v>45721</v>
      </c>
      <c r="E41" s="139">
        <v>0.36458333333333331</v>
      </c>
      <c r="F41" s="154">
        <v>8.73</v>
      </c>
      <c r="G41" s="140">
        <v>21.5</v>
      </c>
      <c r="H41" s="138">
        <v>45726</v>
      </c>
      <c r="I41" s="139">
        <v>0.46319444444444446</v>
      </c>
      <c r="J41" s="140">
        <v>8.31</v>
      </c>
      <c r="K41" s="142">
        <v>21.4</v>
      </c>
      <c r="L41" s="142">
        <f t="shared" si="1"/>
        <v>0.41999999999999993</v>
      </c>
      <c r="M41" s="132" t="s">
        <v>19</v>
      </c>
      <c r="N41" s="135" t="s">
        <v>20</v>
      </c>
      <c r="O41" s="145"/>
      <c r="P41" s="16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5.75" customHeight="1" x14ac:dyDescent="0.25">
      <c r="A42" s="128" t="s">
        <v>310</v>
      </c>
      <c r="B42" s="131">
        <v>45719</v>
      </c>
      <c r="C42" s="149">
        <v>0.51944444444444449</v>
      </c>
      <c r="D42" s="131">
        <v>45721</v>
      </c>
      <c r="E42" s="149">
        <v>0.36388888888888887</v>
      </c>
      <c r="F42" s="129">
        <v>8.8800000000000008</v>
      </c>
      <c r="G42" s="148">
        <v>21.3</v>
      </c>
      <c r="H42" s="152">
        <v>45726</v>
      </c>
      <c r="I42" s="149">
        <v>0.46250000000000002</v>
      </c>
      <c r="J42" s="148">
        <v>8.66</v>
      </c>
      <c r="K42" s="144">
        <v>20.7</v>
      </c>
      <c r="L42" s="144">
        <f t="shared" si="1"/>
        <v>0.22000000000000064</v>
      </c>
      <c r="M42" s="132" t="s">
        <v>19</v>
      </c>
      <c r="N42" s="135" t="s">
        <v>20</v>
      </c>
      <c r="O42" s="145"/>
      <c r="P42" s="16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.75" customHeight="1" x14ac:dyDescent="0.25">
      <c r="A43" s="128" t="s">
        <v>311</v>
      </c>
      <c r="B43" s="131">
        <v>45719</v>
      </c>
      <c r="C43" s="149">
        <v>0.51944444444444449</v>
      </c>
      <c r="D43" s="131">
        <v>45721</v>
      </c>
      <c r="E43" s="130">
        <v>0.36875000000000002</v>
      </c>
      <c r="F43" s="129">
        <v>8.93</v>
      </c>
      <c r="G43" s="132">
        <v>21.6</v>
      </c>
      <c r="H43" s="152">
        <v>45726</v>
      </c>
      <c r="I43" s="130">
        <v>0.47013888888888888</v>
      </c>
      <c r="J43" s="132">
        <v>8.51</v>
      </c>
      <c r="K43" s="143">
        <v>22.4</v>
      </c>
      <c r="L43" s="144">
        <f t="shared" si="1"/>
        <v>0.41999999999999993</v>
      </c>
      <c r="M43" s="132" t="s">
        <v>19</v>
      </c>
      <c r="N43" s="135" t="s">
        <v>20</v>
      </c>
      <c r="O43" s="145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5.75" customHeight="1" x14ac:dyDescent="0.25">
      <c r="A44" s="128" t="s">
        <v>312</v>
      </c>
      <c r="B44" s="155">
        <v>45720</v>
      </c>
      <c r="C44" s="130">
        <v>0.33958333333333335</v>
      </c>
      <c r="D44" s="131">
        <v>45721</v>
      </c>
      <c r="E44" s="130">
        <v>0.56388888888888888</v>
      </c>
      <c r="F44" s="129">
        <v>8.56</v>
      </c>
      <c r="G44" s="132">
        <v>18.100000000000001</v>
      </c>
      <c r="H44" s="152">
        <v>45726</v>
      </c>
      <c r="I44" s="130">
        <v>0.47291666666666665</v>
      </c>
      <c r="J44" s="132">
        <v>8.19</v>
      </c>
      <c r="K44" s="143">
        <v>18</v>
      </c>
      <c r="L44" s="144">
        <f t="shared" si="1"/>
        <v>0.37000000000000099</v>
      </c>
      <c r="M44" s="132" t="s">
        <v>19</v>
      </c>
      <c r="N44" s="135" t="s">
        <v>20</v>
      </c>
      <c r="O44" s="145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.75" customHeight="1" x14ac:dyDescent="0.25">
      <c r="A45" s="128" t="s">
        <v>313</v>
      </c>
      <c r="B45" s="155">
        <v>45720</v>
      </c>
      <c r="C45" s="130">
        <v>0.33958333333333335</v>
      </c>
      <c r="D45" s="131">
        <v>45721</v>
      </c>
      <c r="E45" s="130">
        <v>0.56597222222222221</v>
      </c>
      <c r="F45" s="129">
        <v>8.59</v>
      </c>
      <c r="G45" s="132">
        <v>18.899999999999999</v>
      </c>
      <c r="H45" s="152">
        <v>45726</v>
      </c>
      <c r="I45" s="130">
        <v>0.47499999999999998</v>
      </c>
      <c r="J45" s="132">
        <v>8.14</v>
      </c>
      <c r="K45" s="143">
        <v>18.399999999999999</v>
      </c>
      <c r="L45" s="144">
        <f t="shared" si="1"/>
        <v>0.44999999999999929</v>
      </c>
      <c r="M45" s="132" t="s">
        <v>19</v>
      </c>
      <c r="N45" s="135" t="s">
        <v>20</v>
      </c>
      <c r="O45" s="145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.75" customHeight="1" x14ac:dyDescent="0.25">
      <c r="A46" s="128" t="s">
        <v>314</v>
      </c>
      <c r="B46" s="155">
        <v>45720</v>
      </c>
      <c r="C46" s="149">
        <v>0.37152777777777779</v>
      </c>
      <c r="D46" s="131">
        <v>45721</v>
      </c>
      <c r="E46" s="149">
        <v>0.56805555555555554</v>
      </c>
      <c r="F46" s="129">
        <v>8.81</v>
      </c>
      <c r="G46" s="148">
        <v>19</v>
      </c>
      <c r="H46" s="152">
        <v>45726</v>
      </c>
      <c r="I46" s="149">
        <v>0.47638888888888886</v>
      </c>
      <c r="J46" s="148">
        <v>8.16</v>
      </c>
      <c r="K46" s="144">
        <v>19.100000000000001</v>
      </c>
      <c r="L46" s="144">
        <f t="shared" si="1"/>
        <v>0.65000000000000036</v>
      </c>
      <c r="M46" s="132" t="s">
        <v>19</v>
      </c>
      <c r="N46" s="135" t="s">
        <v>20</v>
      </c>
      <c r="O46" s="145"/>
    </row>
    <row r="47" spans="1:29" ht="15.75" customHeight="1" x14ac:dyDescent="0.25">
      <c r="A47" s="128" t="s">
        <v>315</v>
      </c>
      <c r="B47" s="155">
        <v>45720</v>
      </c>
      <c r="C47" s="149">
        <v>0.37152777777777779</v>
      </c>
      <c r="D47" s="131">
        <v>45721</v>
      </c>
      <c r="E47" s="149">
        <v>0.56944444444444442</v>
      </c>
      <c r="F47" s="129">
        <v>8.8699999999999992</v>
      </c>
      <c r="G47" s="148">
        <v>18.7</v>
      </c>
      <c r="H47" s="152">
        <v>45726</v>
      </c>
      <c r="I47" s="149">
        <v>0.4777777777777778</v>
      </c>
      <c r="J47" s="148">
        <v>8.08</v>
      </c>
      <c r="K47" s="156">
        <v>19.2</v>
      </c>
      <c r="L47" s="144">
        <f t="shared" si="1"/>
        <v>0.78999999999999915</v>
      </c>
      <c r="M47" s="132" t="s">
        <v>19</v>
      </c>
      <c r="N47" s="135" t="s">
        <v>20</v>
      </c>
      <c r="O47" s="145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spans="1:29" ht="15.75" customHeight="1" x14ac:dyDescent="0.25">
      <c r="A48" s="128" t="s">
        <v>316</v>
      </c>
      <c r="B48" s="155">
        <v>45720</v>
      </c>
      <c r="C48" s="149">
        <v>0.39374999999999999</v>
      </c>
      <c r="D48" s="131">
        <v>45721</v>
      </c>
      <c r="E48" s="149">
        <v>0.57291666666666663</v>
      </c>
      <c r="F48" s="129">
        <v>8.77</v>
      </c>
      <c r="G48" s="148">
        <v>17.899999999999999</v>
      </c>
      <c r="H48" s="152">
        <v>45726</v>
      </c>
      <c r="I48" s="149">
        <v>0.47986111111111113</v>
      </c>
      <c r="J48" s="148">
        <v>8.2799999999999994</v>
      </c>
      <c r="K48" s="144">
        <v>19.2</v>
      </c>
      <c r="L48" s="144">
        <f t="shared" si="1"/>
        <v>0.49000000000000021</v>
      </c>
      <c r="M48" s="132" t="s">
        <v>19</v>
      </c>
      <c r="N48" s="135" t="s">
        <v>20</v>
      </c>
      <c r="O48" s="145"/>
      <c r="P48" s="29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5.75" customHeight="1" x14ac:dyDescent="0.25">
      <c r="A49" s="128" t="s">
        <v>317</v>
      </c>
      <c r="B49" s="155">
        <v>45720</v>
      </c>
      <c r="C49" s="149">
        <v>0.39374999999999999</v>
      </c>
      <c r="D49" s="131">
        <v>45721</v>
      </c>
      <c r="E49" s="149">
        <v>0.57777777777777772</v>
      </c>
      <c r="F49" s="129">
        <v>8.67</v>
      </c>
      <c r="G49" s="148">
        <v>18.8</v>
      </c>
      <c r="H49" s="152">
        <v>45726</v>
      </c>
      <c r="I49" s="149">
        <v>0.48194444444444445</v>
      </c>
      <c r="J49" s="148">
        <v>8.16</v>
      </c>
      <c r="K49" s="156">
        <v>19.2</v>
      </c>
      <c r="L49" s="144">
        <f t="shared" si="1"/>
        <v>0.50999999999999979</v>
      </c>
      <c r="M49" s="132" t="s">
        <v>19</v>
      </c>
      <c r="N49" s="135" t="s">
        <v>20</v>
      </c>
      <c r="O49" s="145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6.5" customHeight="1" x14ac:dyDescent="0.25">
      <c r="A50" s="128" t="s">
        <v>318</v>
      </c>
      <c r="B50" s="155">
        <v>45720</v>
      </c>
      <c r="C50" s="130">
        <v>0.44513888888888886</v>
      </c>
      <c r="D50" s="131">
        <v>45721</v>
      </c>
      <c r="E50" s="130">
        <v>0.58263888888888893</v>
      </c>
      <c r="F50" s="129">
        <v>8.57</v>
      </c>
      <c r="G50" s="132">
        <v>20.3</v>
      </c>
      <c r="H50" s="152">
        <v>45726</v>
      </c>
      <c r="I50" s="130">
        <v>0.48402777777777778</v>
      </c>
      <c r="J50" s="132">
        <v>8.11</v>
      </c>
      <c r="K50" s="132">
        <v>20.100000000000001</v>
      </c>
      <c r="L50" s="144">
        <f t="shared" si="1"/>
        <v>0.46000000000000085</v>
      </c>
      <c r="M50" s="132" t="s">
        <v>19</v>
      </c>
      <c r="N50" s="135" t="s">
        <v>20</v>
      </c>
      <c r="O50" s="145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 spans="1:29" ht="15.75" customHeight="1" x14ac:dyDescent="0.25">
      <c r="A51" s="128" t="s">
        <v>319</v>
      </c>
      <c r="B51" s="155">
        <v>45720</v>
      </c>
      <c r="C51" s="130">
        <v>0.44513888888888886</v>
      </c>
      <c r="D51" s="152">
        <v>45721</v>
      </c>
      <c r="E51" s="130">
        <v>0.58402777777777781</v>
      </c>
      <c r="F51" s="129">
        <v>8.24</v>
      </c>
      <c r="G51" s="132">
        <v>19</v>
      </c>
      <c r="H51" s="152">
        <v>45726</v>
      </c>
      <c r="I51" s="130">
        <v>0.48541666666666666</v>
      </c>
      <c r="J51" s="132">
        <v>7.64</v>
      </c>
      <c r="K51" s="143">
        <v>20.100000000000001</v>
      </c>
      <c r="L51" s="144">
        <f t="shared" si="1"/>
        <v>0.60000000000000053</v>
      </c>
      <c r="M51" s="132" t="s">
        <v>19</v>
      </c>
      <c r="N51" s="135" t="s">
        <v>20</v>
      </c>
      <c r="O51" s="145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75" customHeight="1" x14ac:dyDescent="0.25">
      <c r="A52" s="137" t="s">
        <v>320</v>
      </c>
      <c r="B52" s="138">
        <v>45720</v>
      </c>
      <c r="C52" s="139">
        <v>0.47430555555555554</v>
      </c>
      <c r="D52" s="138">
        <v>45721</v>
      </c>
      <c r="E52" s="139">
        <v>0.59097222222222223</v>
      </c>
      <c r="F52" s="157">
        <v>8.57</v>
      </c>
      <c r="G52" s="140">
        <v>20.5</v>
      </c>
      <c r="H52" s="138">
        <v>45726</v>
      </c>
      <c r="I52" s="139">
        <v>0.49791666666666667</v>
      </c>
      <c r="J52" s="140">
        <v>6.57</v>
      </c>
      <c r="K52" s="142">
        <v>20</v>
      </c>
      <c r="L52" s="142">
        <f t="shared" si="1"/>
        <v>2</v>
      </c>
      <c r="M52" s="132" t="s">
        <v>19</v>
      </c>
      <c r="N52" s="135" t="s">
        <v>20</v>
      </c>
      <c r="O52" s="145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.75" customHeight="1" x14ac:dyDescent="0.25">
      <c r="A53" s="137" t="s">
        <v>321</v>
      </c>
      <c r="B53" s="138">
        <v>45720</v>
      </c>
      <c r="C53" s="139">
        <v>0.47430555555555554</v>
      </c>
      <c r="D53" s="138">
        <v>45721</v>
      </c>
      <c r="E53" s="139">
        <v>0.59027777777777779</v>
      </c>
      <c r="F53" s="157">
        <v>8.91</v>
      </c>
      <c r="G53" s="140">
        <v>20.6</v>
      </c>
      <c r="H53" s="138">
        <v>45726</v>
      </c>
      <c r="I53" s="139">
        <v>0.49444444444444446</v>
      </c>
      <c r="J53" s="140">
        <v>8.3000000000000007</v>
      </c>
      <c r="K53" s="142">
        <v>20</v>
      </c>
      <c r="L53" s="142">
        <f t="shared" si="1"/>
        <v>0.60999999999999943</v>
      </c>
      <c r="M53" s="132" t="s">
        <v>19</v>
      </c>
      <c r="N53" s="135" t="s">
        <v>20</v>
      </c>
      <c r="O53" s="145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.75" customHeight="1" x14ac:dyDescent="0.25">
      <c r="A54" s="128" t="s">
        <v>322</v>
      </c>
      <c r="B54" s="155">
        <v>45720</v>
      </c>
      <c r="C54" s="130">
        <v>0.47430555555555554</v>
      </c>
      <c r="D54" s="131">
        <v>45721</v>
      </c>
      <c r="E54" s="130">
        <v>0.5854166666666667</v>
      </c>
      <c r="F54" s="158">
        <v>8.6300000000000008</v>
      </c>
      <c r="G54" s="132">
        <v>19.399999999999999</v>
      </c>
      <c r="H54" s="152">
        <v>45726</v>
      </c>
      <c r="I54" s="153">
        <v>0.4909722222222222</v>
      </c>
      <c r="J54" s="159">
        <v>7.89</v>
      </c>
      <c r="K54" s="159">
        <v>22.8</v>
      </c>
      <c r="L54" s="144">
        <f t="shared" si="1"/>
        <v>0.7400000000000011</v>
      </c>
      <c r="M54" s="132" t="s">
        <v>19</v>
      </c>
      <c r="N54" s="135" t="s">
        <v>20</v>
      </c>
      <c r="O54" s="145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.75" customHeight="1" x14ac:dyDescent="0.25">
      <c r="A55" s="128" t="s">
        <v>323</v>
      </c>
      <c r="B55" s="155">
        <v>45720</v>
      </c>
      <c r="C55" s="153">
        <v>0.47430555555555554</v>
      </c>
      <c r="D55" s="131">
        <v>45721</v>
      </c>
      <c r="E55" s="153">
        <v>0.58611111111111114</v>
      </c>
      <c r="F55" s="160">
        <v>8.7200000000000006</v>
      </c>
      <c r="G55" s="159">
        <v>19.399999999999999</v>
      </c>
      <c r="H55" s="152">
        <v>45726</v>
      </c>
      <c r="I55" s="153">
        <v>0.50069444444444444</v>
      </c>
      <c r="J55" s="159">
        <v>7.92</v>
      </c>
      <c r="K55" s="159">
        <v>20.6</v>
      </c>
      <c r="L55" s="144">
        <f t="shared" si="1"/>
        <v>0.80000000000000071</v>
      </c>
      <c r="M55" s="132" t="s">
        <v>19</v>
      </c>
      <c r="N55" s="135" t="s">
        <v>20</v>
      </c>
      <c r="O55" s="145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.75" customHeight="1" x14ac:dyDescent="0.25">
      <c r="A56" s="128" t="s">
        <v>324</v>
      </c>
      <c r="B56" s="155">
        <v>45720</v>
      </c>
      <c r="C56" s="153">
        <v>0.50486111111111109</v>
      </c>
      <c r="D56" s="131">
        <v>45721</v>
      </c>
      <c r="E56" s="153">
        <v>0.59375</v>
      </c>
      <c r="F56" s="160">
        <v>8.6199999999999992</v>
      </c>
      <c r="G56" s="159">
        <v>21.1</v>
      </c>
      <c r="H56" s="152">
        <v>45726</v>
      </c>
      <c r="I56" s="153">
        <v>0.54166666666666663</v>
      </c>
      <c r="J56" s="159">
        <v>8.39</v>
      </c>
      <c r="K56" s="159">
        <v>21.1</v>
      </c>
      <c r="L56" s="144">
        <f t="shared" si="1"/>
        <v>0.22999999999999865</v>
      </c>
      <c r="M56" s="132" t="s">
        <v>19</v>
      </c>
      <c r="N56" s="135" t="s">
        <v>20</v>
      </c>
      <c r="O56" s="145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.75" customHeight="1" x14ac:dyDescent="0.25">
      <c r="A57" s="128" t="s">
        <v>325</v>
      </c>
      <c r="B57" s="155">
        <v>45720</v>
      </c>
      <c r="C57" s="153">
        <v>0.50486111111111109</v>
      </c>
      <c r="D57" s="131">
        <v>45721</v>
      </c>
      <c r="E57" s="153">
        <v>0.59236111111111112</v>
      </c>
      <c r="F57" s="161">
        <v>8.68</v>
      </c>
      <c r="G57" s="159">
        <v>20.100000000000001</v>
      </c>
      <c r="H57" s="152">
        <v>45726</v>
      </c>
      <c r="I57" s="153">
        <v>0.54166666666666663</v>
      </c>
      <c r="J57" s="159">
        <v>8.57</v>
      </c>
      <c r="K57" s="159">
        <v>20.9</v>
      </c>
      <c r="L57" s="144">
        <f t="shared" si="1"/>
        <v>0.10999999999999943</v>
      </c>
      <c r="M57" s="132" t="s">
        <v>19</v>
      </c>
      <c r="N57" s="135" t="s">
        <v>20</v>
      </c>
      <c r="O57" s="145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5.75" customHeight="1" x14ac:dyDescent="0.25">
      <c r="A58" s="128" t="s">
        <v>270</v>
      </c>
      <c r="B58" s="129" t="s">
        <v>17</v>
      </c>
      <c r="C58" s="130" t="s">
        <v>17</v>
      </c>
      <c r="D58" s="131">
        <v>45722</v>
      </c>
      <c r="E58" s="130">
        <v>0.66041666666666665</v>
      </c>
      <c r="F58" s="162">
        <v>8.58</v>
      </c>
      <c r="G58" s="132">
        <v>23.6</v>
      </c>
      <c r="H58" s="152">
        <v>45727</v>
      </c>
      <c r="I58" s="149">
        <v>0.58263888888888893</v>
      </c>
      <c r="J58" s="132">
        <v>8.34</v>
      </c>
      <c r="K58" s="144">
        <v>26.7</v>
      </c>
      <c r="L58" s="130" t="s">
        <v>17</v>
      </c>
      <c r="M58" s="132" t="s">
        <v>19</v>
      </c>
      <c r="N58" s="135" t="s">
        <v>20</v>
      </c>
      <c r="O58" s="145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5.75" customHeight="1" x14ac:dyDescent="0.25">
      <c r="A59" s="128" t="s">
        <v>326</v>
      </c>
      <c r="B59" s="152">
        <v>45722</v>
      </c>
      <c r="C59" s="130">
        <v>0.32291666666666669</v>
      </c>
      <c r="D59" s="152">
        <v>45722</v>
      </c>
      <c r="E59" s="153">
        <v>0.7</v>
      </c>
      <c r="F59" s="161">
        <v>8.7799999999999994</v>
      </c>
      <c r="G59" s="159">
        <v>18</v>
      </c>
      <c r="H59" s="152">
        <v>45727</v>
      </c>
      <c r="I59" s="153">
        <v>0.58750000000000002</v>
      </c>
      <c r="J59" s="159">
        <v>8.6</v>
      </c>
      <c r="K59" s="159">
        <v>20.2</v>
      </c>
      <c r="L59" s="144">
        <f t="shared" ref="L59:L74" si="2">F59-J59</f>
        <v>0.17999999999999972</v>
      </c>
      <c r="M59" s="132" t="s">
        <v>19</v>
      </c>
      <c r="N59" s="135" t="s">
        <v>20</v>
      </c>
      <c r="O59" s="145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.75" customHeight="1" x14ac:dyDescent="0.25">
      <c r="A60" s="128" t="s">
        <v>327</v>
      </c>
      <c r="B60" s="152">
        <v>45722</v>
      </c>
      <c r="C60" s="130">
        <v>0.32291666666666669</v>
      </c>
      <c r="D60" s="152">
        <v>45722</v>
      </c>
      <c r="E60" s="153">
        <v>0.70138888888888884</v>
      </c>
      <c r="F60" s="161">
        <v>8.23</v>
      </c>
      <c r="G60" s="159">
        <v>18.600000000000001</v>
      </c>
      <c r="H60" s="152">
        <v>45727</v>
      </c>
      <c r="I60" s="153">
        <v>0.58819444444444446</v>
      </c>
      <c r="J60" s="159">
        <v>7.72</v>
      </c>
      <c r="K60" s="159">
        <v>19.5</v>
      </c>
      <c r="L60" s="144">
        <f t="shared" si="2"/>
        <v>0.51000000000000068</v>
      </c>
      <c r="M60" s="132" t="s">
        <v>19</v>
      </c>
      <c r="N60" s="135" t="s">
        <v>20</v>
      </c>
      <c r="O60" s="145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.75" customHeight="1" x14ac:dyDescent="0.25">
      <c r="A61" s="128" t="s">
        <v>328</v>
      </c>
      <c r="B61" s="152">
        <v>45722</v>
      </c>
      <c r="C61" s="130">
        <v>0.34930555555555554</v>
      </c>
      <c r="D61" s="152">
        <v>45722</v>
      </c>
      <c r="E61" s="153">
        <v>0.70486111111111116</v>
      </c>
      <c r="F61" s="161">
        <v>8.39</v>
      </c>
      <c r="G61" s="159">
        <v>19.8</v>
      </c>
      <c r="H61" s="152">
        <v>45727</v>
      </c>
      <c r="I61" s="153">
        <v>0.59236111111111112</v>
      </c>
      <c r="J61" s="159">
        <v>7.7</v>
      </c>
      <c r="K61" s="159">
        <v>21.4</v>
      </c>
      <c r="L61" s="144">
        <f t="shared" si="2"/>
        <v>0.69000000000000039</v>
      </c>
      <c r="M61" s="132" t="s">
        <v>19</v>
      </c>
      <c r="N61" s="135" t="s">
        <v>20</v>
      </c>
      <c r="O61" s="145"/>
      <c r="P61" s="16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6.5" customHeight="1" x14ac:dyDescent="0.25">
      <c r="A62" s="128" t="s">
        <v>329</v>
      </c>
      <c r="B62" s="152">
        <v>45722</v>
      </c>
      <c r="C62" s="130">
        <v>0.34930555555555554</v>
      </c>
      <c r="D62" s="152">
        <v>45722</v>
      </c>
      <c r="E62" s="130">
        <v>0.7104166666666667</v>
      </c>
      <c r="F62" s="133">
        <v>8.06</v>
      </c>
      <c r="G62" s="132">
        <v>21.2</v>
      </c>
      <c r="H62" s="152">
        <v>45727</v>
      </c>
      <c r="I62" s="130">
        <v>0.58611111111111114</v>
      </c>
      <c r="J62" s="133">
        <v>7.44</v>
      </c>
      <c r="K62" s="132">
        <v>21.6</v>
      </c>
      <c r="L62" s="144">
        <f t="shared" si="2"/>
        <v>0.62000000000000011</v>
      </c>
      <c r="M62" s="132" t="s">
        <v>19</v>
      </c>
      <c r="N62" s="135" t="s">
        <v>20</v>
      </c>
      <c r="O62" s="145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 spans="1:29" ht="15.75" customHeight="1" x14ac:dyDescent="0.25">
      <c r="A63" s="128" t="s">
        <v>330</v>
      </c>
      <c r="B63" s="152">
        <v>45722</v>
      </c>
      <c r="C63" s="130">
        <v>0.39513888888888887</v>
      </c>
      <c r="D63" s="152">
        <v>45722</v>
      </c>
      <c r="E63" s="130">
        <v>0.71527777777777779</v>
      </c>
      <c r="F63" s="133">
        <v>8.3000000000000007</v>
      </c>
      <c r="G63" s="132">
        <v>25.7</v>
      </c>
      <c r="H63" s="152">
        <v>45727</v>
      </c>
      <c r="I63" s="130">
        <v>0.6020833333333333</v>
      </c>
      <c r="J63" s="133">
        <v>8.07</v>
      </c>
      <c r="K63" s="143">
        <v>20.399999999999999</v>
      </c>
      <c r="L63" s="144">
        <f t="shared" si="2"/>
        <v>0.23000000000000043</v>
      </c>
      <c r="M63" s="132" t="s">
        <v>19</v>
      </c>
      <c r="N63" s="135" t="s">
        <v>20</v>
      </c>
      <c r="O63" s="145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5.75" customHeight="1" x14ac:dyDescent="0.25">
      <c r="A64" s="128" t="s">
        <v>331</v>
      </c>
      <c r="B64" s="152">
        <v>45722</v>
      </c>
      <c r="C64" s="130">
        <v>0.39513888888888887</v>
      </c>
      <c r="D64" s="152">
        <v>45722</v>
      </c>
      <c r="E64" s="130">
        <v>0.71597222222222223</v>
      </c>
      <c r="F64" s="133">
        <v>8.3000000000000007</v>
      </c>
      <c r="G64" s="132">
        <v>25.6</v>
      </c>
      <c r="H64" s="152">
        <v>45727</v>
      </c>
      <c r="I64" s="153">
        <v>0.60624999999999996</v>
      </c>
      <c r="J64" s="133">
        <v>8.17</v>
      </c>
      <c r="K64" s="159">
        <v>20.7</v>
      </c>
      <c r="L64" s="144">
        <f t="shared" si="2"/>
        <v>0.13000000000000078</v>
      </c>
      <c r="M64" s="132" t="s">
        <v>19</v>
      </c>
      <c r="N64" s="135" t="s">
        <v>20</v>
      </c>
      <c r="O64" s="145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5.75" customHeight="1" x14ac:dyDescent="0.25">
      <c r="A65" s="137" t="s">
        <v>332</v>
      </c>
      <c r="B65" s="138">
        <v>45722</v>
      </c>
      <c r="C65" s="139">
        <v>0.4201388888888889</v>
      </c>
      <c r="D65" s="138">
        <v>45722</v>
      </c>
      <c r="E65" s="139" t="s">
        <v>333</v>
      </c>
      <c r="F65" s="140">
        <v>8.58</v>
      </c>
      <c r="G65" s="140">
        <v>20.5</v>
      </c>
      <c r="H65" s="138">
        <v>45727</v>
      </c>
      <c r="I65" s="139">
        <v>0.61319444444444449</v>
      </c>
      <c r="J65" s="140">
        <v>6.57</v>
      </c>
      <c r="K65" s="142">
        <v>20.9</v>
      </c>
      <c r="L65" s="142">
        <f t="shared" si="2"/>
        <v>2.0099999999999998</v>
      </c>
      <c r="M65" s="132" t="s">
        <v>19</v>
      </c>
      <c r="N65" s="135" t="s">
        <v>20</v>
      </c>
      <c r="O65" s="145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.75" customHeight="1" x14ac:dyDescent="0.25">
      <c r="A66" s="137" t="s">
        <v>334</v>
      </c>
      <c r="B66" s="138">
        <v>45722</v>
      </c>
      <c r="C66" s="139">
        <v>0.4201388888888889</v>
      </c>
      <c r="D66" s="138">
        <v>45722</v>
      </c>
      <c r="E66" s="139">
        <v>0.72013888888888888</v>
      </c>
      <c r="F66" s="140">
        <v>8.58</v>
      </c>
      <c r="G66" s="140">
        <v>20.6</v>
      </c>
      <c r="H66" s="138">
        <v>45727</v>
      </c>
      <c r="I66" s="139">
        <v>0.61111111111111116</v>
      </c>
      <c r="J66" s="140">
        <v>8.3800000000000008</v>
      </c>
      <c r="K66" s="142">
        <v>20.5</v>
      </c>
      <c r="L66" s="142">
        <f t="shared" si="2"/>
        <v>0.19999999999999929</v>
      </c>
      <c r="M66" s="132" t="s">
        <v>19</v>
      </c>
      <c r="N66" s="135" t="s">
        <v>20</v>
      </c>
      <c r="O66" s="145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.75" customHeight="1" x14ac:dyDescent="0.25">
      <c r="A67" s="128" t="s">
        <v>335</v>
      </c>
      <c r="B67" s="152">
        <v>45722</v>
      </c>
      <c r="C67" s="130">
        <v>0.4201388888888889</v>
      </c>
      <c r="D67" s="152">
        <v>45722</v>
      </c>
      <c r="E67" s="130">
        <v>0.71875</v>
      </c>
      <c r="F67" s="132">
        <v>8.6300000000000008</v>
      </c>
      <c r="G67" s="132">
        <v>23</v>
      </c>
      <c r="H67" s="152">
        <v>45727</v>
      </c>
      <c r="I67" s="130">
        <v>0.60972222222222228</v>
      </c>
      <c r="J67" s="132">
        <v>8.42</v>
      </c>
      <c r="K67" s="143">
        <v>20.9</v>
      </c>
      <c r="L67" s="144">
        <f t="shared" si="2"/>
        <v>0.21000000000000085</v>
      </c>
      <c r="M67" s="132" t="s">
        <v>19</v>
      </c>
      <c r="N67" s="135" t="s">
        <v>20</v>
      </c>
      <c r="O67" s="145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.75" customHeight="1" x14ac:dyDescent="0.25">
      <c r="A68" s="128" t="s">
        <v>336</v>
      </c>
      <c r="B68" s="152">
        <v>45722</v>
      </c>
      <c r="C68" s="130">
        <v>0.4201388888888889</v>
      </c>
      <c r="D68" s="152">
        <v>45722</v>
      </c>
      <c r="E68" s="130">
        <v>0.72361111111111109</v>
      </c>
      <c r="F68" s="132">
        <v>8.6300000000000008</v>
      </c>
      <c r="G68" s="132">
        <v>23.2</v>
      </c>
      <c r="H68" s="152">
        <v>45727</v>
      </c>
      <c r="I68" s="130">
        <v>0.61805555555555558</v>
      </c>
      <c r="J68" s="132">
        <v>8.6</v>
      </c>
      <c r="K68" s="143">
        <v>21.7</v>
      </c>
      <c r="L68" s="144">
        <f t="shared" si="2"/>
        <v>3.0000000000001137E-2</v>
      </c>
      <c r="M68" s="132" t="s">
        <v>19</v>
      </c>
      <c r="N68" s="135" t="s">
        <v>20</v>
      </c>
      <c r="O68" s="145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.75" customHeight="1" x14ac:dyDescent="0.25">
      <c r="A69" s="128" t="s">
        <v>337</v>
      </c>
      <c r="B69" s="152">
        <v>45722</v>
      </c>
      <c r="C69" s="130">
        <v>0.45902777777777776</v>
      </c>
      <c r="D69" s="152">
        <v>45722</v>
      </c>
      <c r="E69" s="130">
        <v>0.72916666666666663</v>
      </c>
      <c r="F69" s="129">
        <v>8.6199999999999992</v>
      </c>
      <c r="G69" s="132">
        <v>20.2</v>
      </c>
      <c r="H69" s="152">
        <v>45727</v>
      </c>
      <c r="I69" s="130">
        <v>0.61875000000000002</v>
      </c>
      <c r="J69" s="132">
        <v>8.5299999999999994</v>
      </c>
      <c r="K69" s="132">
        <v>21.9</v>
      </c>
      <c r="L69" s="144">
        <f t="shared" si="2"/>
        <v>8.9999999999999858E-2</v>
      </c>
      <c r="M69" s="132" t="s">
        <v>19</v>
      </c>
      <c r="N69" s="135" t="s">
        <v>20</v>
      </c>
      <c r="O69" s="145"/>
      <c r="P69" s="16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.75" customHeight="1" x14ac:dyDescent="0.25">
      <c r="A70" s="128" t="s">
        <v>338</v>
      </c>
      <c r="B70" s="152">
        <v>45722</v>
      </c>
      <c r="C70" s="130">
        <v>0.45902777777777776</v>
      </c>
      <c r="D70" s="152">
        <v>45722</v>
      </c>
      <c r="E70" s="149">
        <v>0.72986111111111107</v>
      </c>
      <c r="F70" s="148">
        <v>8.68</v>
      </c>
      <c r="G70" s="148">
        <v>20.3</v>
      </c>
      <c r="H70" s="152">
        <v>45727</v>
      </c>
      <c r="I70" s="149">
        <v>0.62430555555555556</v>
      </c>
      <c r="J70" s="148">
        <v>8.3800000000000008</v>
      </c>
      <c r="K70" s="144">
        <v>20.100000000000001</v>
      </c>
      <c r="L70" s="144">
        <f t="shared" si="2"/>
        <v>0.29999999999999893</v>
      </c>
      <c r="M70" s="132" t="s">
        <v>19</v>
      </c>
      <c r="N70" s="135" t="s">
        <v>20</v>
      </c>
      <c r="O70" s="145"/>
      <c r="P70" s="16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.75" customHeight="1" x14ac:dyDescent="0.25">
      <c r="A71" s="128" t="s">
        <v>339</v>
      </c>
      <c r="B71" s="152">
        <v>45722</v>
      </c>
      <c r="C71" s="130">
        <v>0.47430555555555554</v>
      </c>
      <c r="D71" s="152">
        <v>45722</v>
      </c>
      <c r="E71" s="149">
        <v>0.73124999999999996</v>
      </c>
      <c r="F71" s="148">
        <v>8.58</v>
      </c>
      <c r="G71" s="148">
        <v>23.8</v>
      </c>
      <c r="H71" s="152">
        <v>45727</v>
      </c>
      <c r="I71" s="149">
        <v>0.6333333333333333</v>
      </c>
      <c r="J71" s="148">
        <v>8.1300000000000008</v>
      </c>
      <c r="K71" s="144">
        <v>20.2</v>
      </c>
      <c r="L71" s="144">
        <f t="shared" si="2"/>
        <v>0.44999999999999929</v>
      </c>
      <c r="M71" s="132" t="s">
        <v>19</v>
      </c>
      <c r="N71" s="135" t="s">
        <v>20</v>
      </c>
      <c r="O71" s="145"/>
      <c r="P71" s="16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.75" customHeight="1" x14ac:dyDescent="0.25">
      <c r="A72" s="128" t="s">
        <v>340</v>
      </c>
      <c r="B72" s="152">
        <v>45722</v>
      </c>
      <c r="C72" s="130">
        <v>0.47430555555555554</v>
      </c>
      <c r="D72" s="152">
        <v>45722</v>
      </c>
      <c r="E72" s="149">
        <v>0.7319444444444444</v>
      </c>
      <c r="F72" s="148">
        <v>8.35</v>
      </c>
      <c r="G72" s="148">
        <v>23.5</v>
      </c>
      <c r="H72" s="152">
        <v>45727</v>
      </c>
      <c r="I72" s="149">
        <v>0.63541666666666663</v>
      </c>
      <c r="J72" s="148">
        <v>8.16</v>
      </c>
      <c r="K72" s="144">
        <v>20.8</v>
      </c>
      <c r="L72" s="144">
        <f t="shared" si="2"/>
        <v>0.1899999999999995</v>
      </c>
      <c r="M72" s="132" t="s">
        <v>19</v>
      </c>
      <c r="N72" s="135" t="s">
        <v>20</v>
      </c>
      <c r="O72" s="145"/>
      <c r="P72" s="16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.75" customHeight="1" x14ac:dyDescent="0.25">
      <c r="A73" s="128" t="s">
        <v>341</v>
      </c>
      <c r="B73" s="152">
        <v>45722</v>
      </c>
      <c r="C73" s="153">
        <v>0.49027777777777776</v>
      </c>
      <c r="D73" s="152">
        <v>45722</v>
      </c>
      <c r="E73" s="149">
        <v>0.73472222222222228</v>
      </c>
      <c r="F73" s="148">
        <v>8.43</v>
      </c>
      <c r="G73" s="148">
        <v>23.6</v>
      </c>
      <c r="H73" s="152">
        <v>45727</v>
      </c>
      <c r="I73" s="149">
        <v>0.63888888888888884</v>
      </c>
      <c r="J73" s="148">
        <v>8.34</v>
      </c>
      <c r="K73" s="144">
        <v>21</v>
      </c>
      <c r="L73" s="144">
        <f t="shared" si="2"/>
        <v>8.9999999999999858E-2</v>
      </c>
      <c r="M73" s="132" t="s">
        <v>19</v>
      </c>
      <c r="N73" s="135" t="s">
        <v>20</v>
      </c>
      <c r="O73" s="145"/>
      <c r="P73" s="16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.75" customHeight="1" x14ac:dyDescent="0.25">
      <c r="A74" s="128" t="s">
        <v>342</v>
      </c>
      <c r="B74" s="152">
        <v>45722</v>
      </c>
      <c r="C74" s="153">
        <v>0.49027777777777776</v>
      </c>
      <c r="D74" s="152">
        <v>45722</v>
      </c>
      <c r="E74" s="149">
        <v>0.73611111111111116</v>
      </c>
      <c r="F74" s="148">
        <v>8.33</v>
      </c>
      <c r="G74" s="148">
        <v>23.1</v>
      </c>
      <c r="H74" s="152">
        <v>45727</v>
      </c>
      <c r="I74" s="149">
        <v>0.64027777777777772</v>
      </c>
      <c r="J74" s="148">
        <v>8.17</v>
      </c>
      <c r="K74" s="144">
        <v>20.8</v>
      </c>
      <c r="L74" s="144">
        <f t="shared" si="2"/>
        <v>0.16000000000000014</v>
      </c>
      <c r="M74" s="132" t="s">
        <v>19</v>
      </c>
      <c r="N74" s="135" t="s">
        <v>20</v>
      </c>
      <c r="O74" s="145"/>
      <c r="P74" s="16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.75" customHeight="1" x14ac:dyDescent="0.25">
      <c r="A75" s="128" t="s">
        <v>270</v>
      </c>
      <c r="B75" s="129" t="s">
        <v>17</v>
      </c>
      <c r="C75" s="130" t="s">
        <v>17</v>
      </c>
      <c r="D75" s="131">
        <v>45728</v>
      </c>
      <c r="E75" s="130">
        <v>0.2951388888888889</v>
      </c>
      <c r="F75" s="162">
        <v>8.34</v>
      </c>
      <c r="G75" s="132">
        <v>25.4</v>
      </c>
      <c r="H75" s="152">
        <v>45733</v>
      </c>
      <c r="I75" s="149">
        <v>0.37083333333333335</v>
      </c>
      <c r="J75" s="132">
        <v>8.26</v>
      </c>
      <c r="K75" s="144">
        <v>26.7</v>
      </c>
      <c r="L75" s="130" t="s">
        <v>17</v>
      </c>
      <c r="M75" s="132" t="s">
        <v>19</v>
      </c>
      <c r="N75" s="135" t="s">
        <v>20</v>
      </c>
      <c r="O75" s="145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5.75" customHeight="1" x14ac:dyDescent="0.25">
      <c r="A76" s="147" t="s">
        <v>343</v>
      </c>
      <c r="B76" s="131">
        <v>45726</v>
      </c>
      <c r="C76" s="149">
        <v>0.3</v>
      </c>
      <c r="D76" s="131">
        <v>45728</v>
      </c>
      <c r="E76" s="149">
        <v>0.29791666666666666</v>
      </c>
      <c r="F76" s="148">
        <v>8.27</v>
      </c>
      <c r="G76" s="148">
        <v>20.3</v>
      </c>
      <c r="H76" s="152">
        <v>45733</v>
      </c>
      <c r="I76" s="149">
        <v>0.36805555555555558</v>
      </c>
      <c r="J76" s="150">
        <v>7.76</v>
      </c>
      <c r="K76" s="144">
        <v>19.2</v>
      </c>
      <c r="L76" s="144">
        <f t="shared" ref="L76:L97" si="3">F76-J76</f>
        <v>0.50999999999999979</v>
      </c>
      <c r="M76" s="132" t="s">
        <v>19</v>
      </c>
      <c r="N76" s="135" t="s">
        <v>20</v>
      </c>
      <c r="O76" s="145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 spans="1:29" ht="15.75" customHeight="1" x14ac:dyDescent="0.25">
      <c r="A77" s="147" t="s">
        <v>344</v>
      </c>
      <c r="B77" s="131">
        <v>45726</v>
      </c>
      <c r="C77" s="149">
        <v>0.3</v>
      </c>
      <c r="D77" s="131">
        <v>45728</v>
      </c>
      <c r="E77" s="149">
        <v>0.29930555555555555</v>
      </c>
      <c r="F77" s="148">
        <v>8.3000000000000007</v>
      </c>
      <c r="G77" s="148">
        <v>21.4</v>
      </c>
      <c r="H77" s="152">
        <v>45733</v>
      </c>
      <c r="I77" s="149">
        <v>0.36944444444444446</v>
      </c>
      <c r="J77" s="150">
        <v>7.85</v>
      </c>
      <c r="K77" s="144">
        <v>19.8</v>
      </c>
      <c r="L77" s="144">
        <f t="shared" si="3"/>
        <v>0.45000000000000107</v>
      </c>
      <c r="M77" s="132" t="s">
        <v>19</v>
      </c>
      <c r="N77" s="135" t="s">
        <v>20</v>
      </c>
      <c r="O77" s="145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 spans="1:29" ht="15.75" customHeight="1" x14ac:dyDescent="0.25">
      <c r="A78" s="137" t="s">
        <v>345</v>
      </c>
      <c r="B78" s="138">
        <v>45726</v>
      </c>
      <c r="C78" s="139">
        <v>0.34513888888888888</v>
      </c>
      <c r="D78" s="138">
        <v>45728</v>
      </c>
      <c r="E78" s="139">
        <v>0.31388888888888888</v>
      </c>
      <c r="F78" s="140">
        <v>8.32</v>
      </c>
      <c r="G78" s="140">
        <v>22.6</v>
      </c>
      <c r="H78" s="138">
        <v>45733</v>
      </c>
      <c r="I78" s="139">
        <v>0.37361111111111112</v>
      </c>
      <c r="J78" s="141">
        <v>6.3</v>
      </c>
      <c r="K78" s="142">
        <v>22.1</v>
      </c>
      <c r="L78" s="142">
        <f t="shared" si="3"/>
        <v>2.0200000000000005</v>
      </c>
      <c r="M78" s="132" t="s">
        <v>19</v>
      </c>
      <c r="N78" s="135" t="s">
        <v>20</v>
      </c>
      <c r="O78" s="145"/>
      <c r="P78" s="16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spans="1:29" ht="15.75" customHeight="1" x14ac:dyDescent="0.25">
      <c r="A79" s="137" t="s">
        <v>346</v>
      </c>
      <c r="B79" s="138">
        <v>45726</v>
      </c>
      <c r="C79" s="139">
        <v>0.34513888888888888</v>
      </c>
      <c r="D79" s="138">
        <v>45728</v>
      </c>
      <c r="E79" s="139">
        <v>0.3215277777777778</v>
      </c>
      <c r="F79" s="140">
        <v>8.43</v>
      </c>
      <c r="G79" s="140">
        <v>22.4</v>
      </c>
      <c r="H79" s="138">
        <v>45733</v>
      </c>
      <c r="I79" s="139">
        <v>0.37083333333333335</v>
      </c>
      <c r="J79" s="141">
        <v>8.35</v>
      </c>
      <c r="K79" s="142">
        <v>20.7</v>
      </c>
      <c r="L79" s="142">
        <f t="shared" si="3"/>
        <v>8.0000000000000071E-2</v>
      </c>
      <c r="M79" s="132" t="s">
        <v>19</v>
      </c>
      <c r="N79" s="135" t="s">
        <v>20</v>
      </c>
      <c r="O79" s="145"/>
      <c r="P79" s="16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spans="1:29" ht="15.75" customHeight="1" x14ac:dyDescent="0.25">
      <c r="A80" s="147" t="s">
        <v>347</v>
      </c>
      <c r="B80" s="131">
        <v>45726</v>
      </c>
      <c r="C80" s="149">
        <v>0.34513888888888888</v>
      </c>
      <c r="D80" s="131">
        <v>45728</v>
      </c>
      <c r="E80" s="149">
        <v>0.30902777777777779</v>
      </c>
      <c r="F80" s="148">
        <v>8.4499999999999993</v>
      </c>
      <c r="G80" s="148">
        <v>22.3</v>
      </c>
      <c r="H80" s="131">
        <v>45733</v>
      </c>
      <c r="I80" s="149">
        <v>0.37569444444444444</v>
      </c>
      <c r="J80" s="150">
        <v>7.93</v>
      </c>
      <c r="K80" s="144">
        <v>22</v>
      </c>
      <c r="L80" s="144">
        <f t="shared" si="3"/>
        <v>0.51999999999999957</v>
      </c>
      <c r="M80" s="132" t="s">
        <v>19</v>
      </c>
      <c r="N80" s="135" t="s">
        <v>20</v>
      </c>
      <c r="O80" s="145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 spans="1:29" ht="15.75" customHeight="1" x14ac:dyDescent="0.25">
      <c r="A81" s="128" t="s">
        <v>348</v>
      </c>
      <c r="B81" s="131">
        <v>45726</v>
      </c>
      <c r="C81" s="149">
        <v>0.34513888888888888</v>
      </c>
      <c r="D81" s="131">
        <v>45728</v>
      </c>
      <c r="E81" s="149">
        <v>0.31527777777777777</v>
      </c>
      <c r="F81" s="148">
        <v>8.7899999999999991</v>
      </c>
      <c r="G81" s="148">
        <v>21.4</v>
      </c>
      <c r="H81" s="131">
        <v>45733</v>
      </c>
      <c r="I81" s="149">
        <v>0.37916666666666665</v>
      </c>
      <c r="J81" s="150">
        <v>8.4499999999999993</v>
      </c>
      <c r="K81" s="144">
        <v>20.2</v>
      </c>
      <c r="L81" s="144">
        <f t="shared" si="3"/>
        <v>0.33999999999999986</v>
      </c>
      <c r="M81" s="132" t="s">
        <v>19</v>
      </c>
      <c r="N81" s="135" t="s">
        <v>20</v>
      </c>
      <c r="O81" s="145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spans="1:29" ht="15.75" customHeight="1" x14ac:dyDescent="0.25">
      <c r="A82" s="147" t="s">
        <v>349</v>
      </c>
      <c r="B82" s="131">
        <v>45726</v>
      </c>
      <c r="C82" s="149">
        <v>0.38055555555555554</v>
      </c>
      <c r="D82" s="131">
        <v>45728</v>
      </c>
      <c r="E82" s="130">
        <v>0.32222222222222224</v>
      </c>
      <c r="F82" s="132">
        <v>8.4</v>
      </c>
      <c r="G82" s="132">
        <v>22.3</v>
      </c>
      <c r="H82" s="131">
        <v>45733</v>
      </c>
      <c r="I82" s="130">
        <v>0.38055555555555554</v>
      </c>
      <c r="J82" s="129">
        <v>7.49</v>
      </c>
      <c r="K82" s="143">
        <v>21.2</v>
      </c>
      <c r="L82" s="144">
        <f t="shared" si="3"/>
        <v>0.91000000000000014</v>
      </c>
      <c r="M82" s="132" t="s">
        <v>19</v>
      </c>
      <c r="N82" s="135" t="s">
        <v>20</v>
      </c>
      <c r="O82" s="145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.75" customHeight="1" x14ac:dyDescent="0.25">
      <c r="A83" s="128" t="s">
        <v>350</v>
      </c>
      <c r="B83" s="131">
        <v>45726</v>
      </c>
      <c r="C83" s="149">
        <v>0.38055555555555554</v>
      </c>
      <c r="D83" s="131">
        <v>45728</v>
      </c>
      <c r="E83" s="130">
        <v>0.32361111111111113</v>
      </c>
      <c r="F83" s="132">
        <v>8.32</v>
      </c>
      <c r="G83" s="132">
        <v>22.5</v>
      </c>
      <c r="H83" s="131">
        <v>45733</v>
      </c>
      <c r="I83" s="130">
        <v>0.38333333333333336</v>
      </c>
      <c r="J83" s="129">
        <v>7.37</v>
      </c>
      <c r="K83" s="134">
        <v>19.100000000000001</v>
      </c>
      <c r="L83" s="144">
        <f t="shared" si="3"/>
        <v>0.95000000000000018</v>
      </c>
      <c r="M83" s="132" t="s">
        <v>19</v>
      </c>
      <c r="N83" s="135" t="s">
        <v>20</v>
      </c>
      <c r="O83" s="145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 spans="1:29" ht="15.75" customHeight="1" x14ac:dyDescent="0.25">
      <c r="A84" s="147" t="s">
        <v>351</v>
      </c>
      <c r="B84" s="131">
        <v>45726</v>
      </c>
      <c r="C84" s="149">
        <v>0.39513888888888887</v>
      </c>
      <c r="D84" s="131">
        <v>45728</v>
      </c>
      <c r="E84" s="149">
        <v>0.39305555555555555</v>
      </c>
      <c r="F84" s="132">
        <v>8.65</v>
      </c>
      <c r="G84" s="132">
        <v>18.3</v>
      </c>
      <c r="H84" s="131">
        <v>45733</v>
      </c>
      <c r="I84" s="130">
        <v>0.38541666666666669</v>
      </c>
      <c r="J84" s="133">
        <v>7.75</v>
      </c>
      <c r="K84" s="143">
        <v>21.6</v>
      </c>
      <c r="L84" s="144">
        <f t="shared" si="3"/>
        <v>0.90000000000000036</v>
      </c>
      <c r="M84" s="132" t="s">
        <v>19</v>
      </c>
      <c r="N84" s="135" t="s">
        <v>20</v>
      </c>
      <c r="O84" s="145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.75" customHeight="1" x14ac:dyDescent="0.25">
      <c r="A85" s="128" t="s">
        <v>352</v>
      </c>
      <c r="B85" s="131">
        <v>45726</v>
      </c>
      <c r="C85" s="149">
        <v>0.39513888888888887</v>
      </c>
      <c r="D85" s="131">
        <v>45728</v>
      </c>
      <c r="E85" s="149">
        <v>0.39444444444444443</v>
      </c>
      <c r="F85" s="132">
        <v>8.9</v>
      </c>
      <c r="G85" s="132">
        <v>19.2</v>
      </c>
      <c r="H85" s="131">
        <v>45733</v>
      </c>
      <c r="I85" s="130">
        <v>0.38680555555555557</v>
      </c>
      <c r="J85" s="133">
        <v>7.98</v>
      </c>
      <c r="K85" s="143">
        <v>22.2</v>
      </c>
      <c r="L85" s="144">
        <f t="shared" si="3"/>
        <v>0.91999999999999993</v>
      </c>
      <c r="M85" s="132" t="s">
        <v>19</v>
      </c>
      <c r="N85" s="135" t="s">
        <v>20</v>
      </c>
      <c r="O85" s="145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5.75" customHeight="1" x14ac:dyDescent="0.25">
      <c r="A86" s="147" t="s">
        <v>353</v>
      </c>
      <c r="B86" s="131">
        <v>45726</v>
      </c>
      <c r="C86" s="149">
        <v>0.41458333333333336</v>
      </c>
      <c r="D86" s="131">
        <v>45728</v>
      </c>
      <c r="E86" s="130">
        <v>0.40763888888888888</v>
      </c>
      <c r="F86" s="132">
        <v>8.1</v>
      </c>
      <c r="G86" s="132">
        <v>19.5</v>
      </c>
      <c r="H86" s="131">
        <v>45733</v>
      </c>
      <c r="I86" s="130">
        <v>0.375</v>
      </c>
      <c r="J86" s="133">
        <v>7.18</v>
      </c>
      <c r="K86" s="143">
        <v>22.1</v>
      </c>
      <c r="L86" s="144">
        <f t="shared" si="3"/>
        <v>0.91999999999999993</v>
      </c>
      <c r="M86" s="132" t="s">
        <v>19</v>
      </c>
      <c r="N86" s="135" t="s">
        <v>20</v>
      </c>
      <c r="O86" s="145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5.75" customHeight="1" x14ac:dyDescent="0.25">
      <c r="A87" s="128" t="s">
        <v>354</v>
      </c>
      <c r="B87" s="131">
        <v>45726</v>
      </c>
      <c r="C87" s="149">
        <v>0.41458333333333336</v>
      </c>
      <c r="D87" s="131">
        <v>45728</v>
      </c>
      <c r="E87" s="130">
        <v>0.40902777777777777</v>
      </c>
      <c r="F87" s="132">
        <v>8.52</v>
      </c>
      <c r="G87" s="132">
        <v>21.1</v>
      </c>
      <c r="H87" s="131">
        <v>45733</v>
      </c>
      <c r="I87" s="130">
        <v>0.37708333333333333</v>
      </c>
      <c r="J87" s="133">
        <v>7.65</v>
      </c>
      <c r="K87" s="143">
        <v>22.2</v>
      </c>
      <c r="L87" s="144">
        <f t="shared" si="3"/>
        <v>0.86999999999999922</v>
      </c>
      <c r="M87" s="132" t="s">
        <v>19</v>
      </c>
      <c r="N87" s="135" t="s">
        <v>20</v>
      </c>
      <c r="O87" s="145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5.75" customHeight="1" x14ac:dyDescent="0.25">
      <c r="A88" s="147" t="s">
        <v>355</v>
      </c>
      <c r="B88" s="131">
        <v>45726</v>
      </c>
      <c r="C88" s="149">
        <v>0.43402777777777779</v>
      </c>
      <c r="D88" s="131">
        <v>45728</v>
      </c>
      <c r="E88" s="130">
        <v>0.40486111111111112</v>
      </c>
      <c r="F88" s="132">
        <v>8.31</v>
      </c>
      <c r="G88" s="132">
        <v>20.5</v>
      </c>
      <c r="H88" s="131">
        <v>45733</v>
      </c>
      <c r="I88" s="130">
        <v>0.40555555555555556</v>
      </c>
      <c r="J88" s="133">
        <v>8.2799999999999994</v>
      </c>
      <c r="K88" s="143">
        <v>20.2</v>
      </c>
      <c r="L88" s="144">
        <f t="shared" si="3"/>
        <v>3.0000000000001137E-2</v>
      </c>
      <c r="M88" s="132" t="s">
        <v>19</v>
      </c>
      <c r="N88" s="135" t="s">
        <v>20</v>
      </c>
      <c r="O88" s="145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.75" customHeight="1" x14ac:dyDescent="0.25">
      <c r="A89" s="128" t="s">
        <v>356</v>
      </c>
      <c r="B89" s="131">
        <v>45726</v>
      </c>
      <c r="C89" s="149">
        <v>0.43402777777777779</v>
      </c>
      <c r="D89" s="131">
        <v>45728</v>
      </c>
      <c r="E89" s="130">
        <v>0.40833333333333333</v>
      </c>
      <c r="F89" s="132">
        <v>8.74</v>
      </c>
      <c r="G89" s="132">
        <v>20.6</v>
      </c>
      <c r="H89" s="131">
        <v>45733</v>
      </c>
      <c r="I89" s="130">
        <v>0.40694444444444444</v>
      </c>
      <c r="J89" s="133">
        <v>8.7100000000000009</v>
      </c>
      <c r="K89" s="143">
        <v>20.2</v>
      </c>
      <c r="L89" s="144">
        <f t="shared" si="3"/>
        <v>2.9999999999999361E-2</v>
      </c>
      <c r="M89" s="132" t="s">
        <v>19</v>
      </c>
      <c r="N89" s="135" t="s">
        <v>20</v>
      </c>
      <c r="O89" s="145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.75" customHeight="1" x14ac:dyDescent="0.25">
      <c r="A90" s="137" t="s">
        <v>357</v>
      </c>
      <c r="B90" s="138">
        <v>45726</v>
      </c>
      <c r="C90" s="139">
        <v>0.45</v>
      </c>
      <c r="D90" s="138">
        <v>45728</v>
      </c>
      <c r="E90" s="139">
        <v>0.4236111111111111</v>
      </c>
      <c r="F90" s="140">
        <v>8.26</v>
      </c>
      <c r="G90" s="140">
        <v>20.8</v>
      </c>
      <c r="H90" s="138">
        <v>45733</v>
      </c>
      <c r="I90" s="139">
        <v>0.40833333333333333</v>
      </c>
      <c r="J90" s="141">
        <v>6.26</v>
      </c>
      <c r="K90" s="142">
        <v>21.7</v>
      </c>
      <c r="L90" s="142">
        <f t="shared" si="3"/>
        <v>2</v>
      </c>
      <c r="M90" s="132" t="s">
        <v>19</v>
      </c>
      <c r="N90" s="135" t="s">
        <v>20</v>
      </c>
      <c r="O90" s="145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5.75" customHeight="1" x14ac:dyDescent="0.25">
      <c r="A91" s="137" t="s">
        <v>358</v>
      </c>
      <c r="B91" s="138">
        <v>45726</v>
      </c>
      <c r="C91" s="139">
        <v>0.45</v>
      </c>
      <c r="D91" s="138">
        <v>45728</v>
      </c>
      <c r="E91" s="139">
        <v>0.42638888888888887</v>
      </c>
      <c r="F91" s="140">
        <v>8.74</v>
      </c>
      <c r="G91" s="140">
        <v>20.8</v>
      </c>
      <c r="H91" s="138">
        <v>45733</v>
      </c>
      <c r="I91" s="139">
        <v>0.41041666666666665</v>
      </c>
      <c r="J91" s="141">
        <v>8.2799999999999994</v>
      </c>
      <c r="K91" s="142">
        <v>21.4</v>
      </c>
      <c r="L91" s="142">
        <f t="shared" si="3"/>
        <v>0.46000000000000085</v>
      </c>
      <c r="M91" s="132" t="s">
        <v>19</v>
      </c>
      <c r="N91" s="135" t="s">
        <v>20</v>
      </c>
      <c r="O91" s="145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5.75" customHeight="1" x14ac:dyDescent="0.25">
      <c r="A92" s="147" t="s">
        <v>359</v>
      </c>
      <c r="B92" s="131">
        <v>45726</v>
      </c>
      <c r="C92" s="130">
        <v>0.45</v>
      </c>
      <c r="D92" s="131">
        <v>45728</v>
      </c>
      <c r="E92" s="130">
        <v>0.42777777777777776</v>
      </c>
      <c r="F92" s="132">
        <v>8.35</v>
      </c>
      <c r="G92" s="132">
        <v>20.9</v>
      </c>
      <c r="H92" s="131">
        <v>45733</v>
      </c>
      <c r="I92" s="130">
        <v>0.41180555555555554</v>
      </c>
      <c r="J92" s="133">
        <v>8.33</v>
      </c>
      <c r="K92" s="143">
        <v>22.3</v>
      </c>
      <c r="L92" s="144">
        <f t="shared" si="3"/>
        <v>1.9999999999999574E-2</v>
      </c>
      <c r="M92" s="132" t="s">
        <v>19</v>
      </c>
      <c r="N92" s="135" t="s">
        <v>20</v>
      </c>
      <c r="O92" s="145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5.75" customHeight="1" x14ac:dyDescent="0.25">
      <c r="A93" s="128" t="s">
        <v>360</v>
      </c>
      <c r="B93" s="131">
        <v>45726</v>
      </c>
      <c r="C93" s="130">
        <v>0.45</v>
      </c>
      <c r="D93" s="131">
        <v>45728</v>
      </c>
      <c r="E93" s="130">
        <v>0.42986111111111114</v>
      </c>
      <c r="F93" s="132">
        <v>8.5399999999999991</v>
      </c>
      <c r="G93" s="132">
        <v>20.9</v>
      </c>
      <c r="H93" s="131">
        <v>45733</v>
      </c>
      <c r="I93" s="130">
        <v>0.41319444444444442</v>
      </c>
      <c r="J93" s="133">
        <v>8.52</v>
      </c>
      <c r="K93" s="143">
        <v>20.6</v>
      </c>
      <c r="L93" s="144">
        <f t="shared" si="3"/>
        <v>1.9999999999999574E-2</v>
      </c>
      <c r="M93" s="132" t="s">
        <v>19</v>
      </c>
      <c r="N93" s="135" t="s">
        <v>20</v>
      </c>
      <c r="O93" s="145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.75" customHeight="1" x14ac:dyDescent="0.25">
      <c r="A94" s="147" t="s">
        <v>361</v>
      </c>
      <c r="B94" s="131">
        <v>45726</v>
      </c>
      <c r="C94" s="130">
        <v>0.46944444444444444</v>
      </c>
      <c r="D94" s="131">
        <v>45728</v>
      </c>
      <c r="E94" s="130">
        <v>0.43125000000000002</v>
      </c>
      <c r="F94" s="132">
        <v>8.1300000000000008</v>
      </c>
      <c r="G94" s="132">
        <v>22.1</v>
      </c>
      <c r="H94" s="131">
        <v>45733</v>
      </c>
      <c r="I94" s="130">
        <v>0.4152777777777778</v>
      </c>
      <c r="J94" s="133">
        <v>7.99</v>
      </c>
      <c r="K94" s="143">
        <v>22</v>
      </c>
      <c r="L94" s="144">
        <f t="shared" si="3"/>
        <v>0.14000000000000057</v>
      </c>
      <c r="M94" s="132" t="s">
        <v>19</v>
      </c>
      <c r="N94" s="135" t="s">
        <v>20</v>
      </c>
      <c r="O94" s="145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5.75" customHeight="1" x14ac:dyDescent="0.25">
      <c r="A95" s="128" t="s">
        <v>362</v>
      </c>
      <c r="B95" s="131">
        <v>45726</v>
      </c>
      <c r="C95" s="130">
        <v>0.46944444444444444</v>
      </c>
      <c r="D95" s="131">
        <v>45728</v>
      </c>
      <c r="E95" s="130">
        <v>0.43333333333333335</v>
      </c>
      <c r="F95" s="132">
        <v>7.81</v>
      </c>
      <c r="G95" s="132">
        <v>23</v>
      </c>
      <c r="H95" s="131">
        <v>45733</v>
      </c>
      <c r="I95" s="130">
        <v>0.41666666666666669</v>
      </c>
      <c r="J95" s="133">
        <v>7.67</v>
      </c>
      <c r="K95" s="143">
        <v>21.4</v>
      </c>
      <c r="L95" s="144">
        <f t="shared" si="3"/>
        <v>0.13999999999999968</v>
      </c>
      <c r="M95" s="132" t="s">
        <v>19</v>
      </c>
      <c r="N95" s="135" t="s">
        <v>20</v>
      </c>
      <c r="O95" s="145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5.75" customHeight="1" x14ac:dyDescent="0.25">
      <c r="A96" s="128" t="s">
        <v>363</v>
      </c>
      <c r="B96" s="131">
        <v>45726</v>
      </c>
      <c r="C96" s="130">
        <v>0.49722222222222223</v>
      </c>
      <c r="D96" s="131">
        <v>45728</v>
      </c>
      <c r="E96" s="130">
        <v>0.43472222222222223</v>
      </c>
      <c r="F96" s="132">
        <v>7.98</v>
      </c>
      <c r="G96" s="132">
        <v>23.9</v>
      </c>
      <c r="H96" s="131">
        <v>45733</v>
      </c>
      <c r="I96" s="130">
        <v>0.41805555555555557</v>
      </c>
      <c r="J96" s="133">
        <v>7.56</v>
      </c>
      <c r="K96" s="143">
        <v>22.4</v>
      </c>
      <c r="L96" s="144">
        <f t="shared" si="3"/>
        <v>0.42000000000000082</v>
      </c>
      <c r="M96" s="132" t="s">
        <v>19</v>
      </c>
      <c r="N96" s="135" t="s">
        <v>20</v>
      </c>
      <c r="O96" s="145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.75" customHeight="1" x14ac:dyDescent="0.25">
      <c r="A97" s="147" t="s">
        <v>364</v>
      </c>
      <c r="B97" s="131">
        <v>45726</v>
      </c>
      <c r="C97" s="130">
        <v>0.49722222222222223</v>
      </c>
      <c r="D97" s="131">
        <v>45728</v>
      </c>
      <c r="E97" s="130">
        <v>0.43888888888888888</v>
      </c>
      <c r="F97" s="132">
        <v>7.7</v>
      </c>
      <c r="G97" s="132">
        <v>23.8</v>
      </c>
      <c r="H97" s="131">
        <v>45733</v>
      </c>
      <c r="I97" s="130">
        <v>0.41944444444444445</v>
      </c>
      <c r="J97" s="133">
        <v>7.61</v>
      </c>
      <c r="K97" s="143">
        <v>21.7</v>
      </c>
      <c r="L97" s="144">
        <f t="shared" si="3"/>
        <v>8.9999999999999858E-2</v>
      </c>
      <c r="M97" s="132" t="s">
        <v>19</v>
      </c>
      <c r="N97" s="135" t="s">
        <v>20</v>
      </c>
      <c r="O97" s="145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.75" customHeight="1" x14ac:dyDescent="0.25">
      <c r="A98" s="128" t="s">
        <v>270</v>
      </c>
      <c r="B98" s="129" t="s">
        <v>17</v>
      </c>
      <c r="C98" s="130" t="s">
        <v>17</v>
      </c>
      <c r="D98" s="131">
        <v>45729</v>
      </c>
      <c r="E98" s="130">
        <v>0.47708333333333336</v>
      </c>
      <c r="F98" s="162">
        <v>8.44</v>
      </c>
      <c r="G98" s="132">
        <v>26.8</v>
      </c>
      <c r="H98" s="152">
        <v>45734</v>
      </c>
      <c r="I98" s="149">
        <v>0.4284722222222222</v>
      </c>
      <c r="J98" s="132">
        <v>8.33</v>
      </c>
      <c r="K98" s="144">
        <v>22.7</v>
      </c>
      <c r="L98" s="144" t="s">
        <v>17</v>
      </c>
      <c r="M98" s="132" t="s">
        <v>19</v>
      </c>
      <c r="N98" s="135" t="s">
        <v>271</v>
      </c>
      <c r="O98" s="145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.75" customHeight="1" x14ac:dyDescent="0.25">
      <c r="A99" s="128" t="s">
        <v>365</v>
      </c>
      <c r="B99" s="131">
        <v>45728</v>
      </c>
      <c r="C99" s="130">
        <v>0.3</v>
      </c>
      <c r="D99" s="131">
        <v>45729</v>
      </c>
      <c r="E99" s="130">
        <v>0.48680555555555555</v>
      </c>
      <c r="F99" s="132">
        <v>8.49</v>
      </c>
      <c r="G99" s="132">
        <v>17</v>
      </c>
      <c r="H99" s="152">
        <v>45734</v>
      </c>
      <c r="I99" s="130">
        <v>0.42986111111111114</v>
      </c>
      <c r="J99" s="132">
        <v>8.16</v>
      </c>
      <c r="K99" s="143">
        <v>20.6</v>
      </c>
      <c r="L99" s="144">
        <f t="shared" ref="L99:L120" si="4">F99-J99</f>
        <v>0.33000000000000007</v>
      </c>
      <c r="M99" s="132" t="s">
        <v>19</v>
      </c>
      <c r="N99" s="135" t="s">
        <v>271</v>
      </c>
      <c r="O99" s="145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5.75" customHeight="1" x14ac:dyDescent="0.25">
      <c r="A100" s="147" t="s">
        <v>366</v>
      </c>
      <c r="B100" s="131">
        <v>45728</v>
      </c>
      <c r="C100" s="130">
        <v>0.3</v>
      </c>
      <c r="D100" s="131">
        <v>45729</v>
      </c>
      <c r="E100" s="130">
        <v>0.48749999999999999</v>
      </c>
      <c r="F100" s="132">
        <v>8.75</v>
      </c>
      <c r="G100" s="132">
        <v>17</v>
      </c>
      <c r="H100" s="152">
        <v>45734</v>
      </c>
      <c r="I100" s="130">
        <v>0.43194444444444446</v>
      </c>
      <c r="J100" s="133">
        <v>8.73</v>
      </c>
      <c r="K100" s="143">
        <v>20.7</v>
      </c>
      <c r="L100" s="144">
        <f t="shared" si="4"/>
        <v>1.9999999999999574E-2</v>
      </c>
      <c r="M100" s="132" t="s">
        <v>19</v>
      </c>
      <c r="N100" s="135" t="s">
        <v>271</v>
      </c>
      <c r="O100" s="145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.75" customHeight="1" x14ac:dyDescent="0.25">
      <c r="A101" s="128" t="s">
        <v>367</v>
      </c>
      <c r="B101" s="131">
        <v>45728</v>
      </c>
      <c r="C101" s="130">
        <v>0.32013888888888886</v>
      </c>
      <c r="D101" s="131">
        <v>45729</v>
      </c>
      <c r="E101" s="130">
        <v>0.48888888888888887</v>
      </c>
      <c r="F101" s="132">
        <v>8.67</v>
      </c>
      <c r="G101" s="132">
        <v>17</v>
      </c>
      <c r="H101" s="152">
        <v>45734</v>
      </c>
      <c r="I101" s="163">
        <v>0.46597222222222223</v>
      </c>
      <c r="J101" s="133">
        <v>7.7</v>
      </c>
      <c r="K101" s="143">
        <v>22.8</v>
      </c>
      <c r="L101" s="144">
        <f t="shared" si="4"/>
        <v>0.96999999999999975</v>
      </c>
      <c r="M101" s="132" t="s">
        <v>19</v>
      </c>
      <c r="N101" s="135" t="s">
        <v>271</v>
      </c>
      <c r="O101" s="145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.75" customHeight="1" x14ac:dyDescent="0.25">
      <c r="A102" s="147" t="s">
        <v>368</v>
      </c>
      <c r="B102" s="131">
        <v>45728</v>
      </c>
      <c r="C102" s="130">
        <v>0.32013888888888886</v>
      </c>
      <c r="D102" s="131">
        <v>45729</v>
      </c>
      <c r="E102" s="130">
        <v>0.49027777777777776</v>
      </c>
      <c r="F102" s="132">
        <v>8.6</v>
      </c>
      <c r="G102" s="132">
        <v>17</v>
      </c>
      <c r="H102" s="152">
        <v>45734</v>
      </c>
      <c r="I102" s="130">
        <v>0.46666666666666667</v>
      </c>
      <c r="J102" s="133">
        <v>8.44</v>
      </c>
      <c r="K102" s="134">
        <v>22.8</v>
      </c>
      <c r="L102" s="144">
        <f t="shared" si="4"/>
        <v>0.16000000000000014</v>
      </c>
      <c r="M102" s="132" t="s">
        <v>19</v>
      </c>
      <c r="N102" s="135" t="s">
        <v>271</v>
      </c>
      <c r="O102" s="145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</row>
    <row r="103" spans="1:29" ht="15.75" customHeight="1" x14ac:dyDescent="0.25">
      <c r="A103" s="137" t="s">
        <v>369</v>
      </c>
      <c r="B103" s="138">
        <v>45728</v>
      </c>
      <c r="C103" s="139">
        <v>0.34236111111111112</v>
      </c>
      <c r="D103" s="138">
        <v>45729</v>
      </c>
      <c r="E103" s="139">
        <v>0.50138888888888888</v>
      </c>
      <c r="F103" s="140">
        <v>8.76</v>
      </c>
      <c r="G103" s="140">
        <v>17.899999999999999</v>
      </c>
      <c r="H103" s="138">
        <v>45734</v>
      </c>
      <c r="I103" s="139">
        <v>0.46875</v>
      </c>
      <c r="J103" s="141">
        <v>6.75</v>
      </c>
      <c r="K103" s="142">
        <v>22.9</v>
      </c>
      <c r="L103" s="142">
        <f t="shared" si="4"/>
        <v>2.0099999999999998</v>
      </c>
      <c r="M103" s="132" t="s">
        <v>19</v>
      </c>
      <c r="N103" s="135" t="s">
        <v>271</v>
      </c>
      <c r="O103" s="145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.75" customHeight="1" x14ac:dyDescent="0.25">
      <c r="A104" s="137" t="s">
        <v>370</v>
      </c>
      <c r="B104" s="138">
        <v>45728</v>
      </c>
      <c r="C104" s="139">
        <v>0.34236111111111112</v>
      </c>
      <c r="D104" s="138">
        <v>45729</v>
      </c>
      <c r="E104" s="139">
        <v>0.54097222222222219</v>
      </c>
      <c r="F104" s="140">
        <v>8.76</v>
      </c>
      <c r="G104" s="140">
        <v>17</v>
      </c>
      <c r="H104" s="138">
        <v>45734</v>
      </c>
      <c r="I104" s="139">
        <v>0.47083333333333333</v>
      </c>
      <c r="J104" s="141">
        <v>8.6199999999999992</v>
      </c>
      <c r="K104" s="142">
        <v>22.9</v>
      </c>
      <c r="L104" s="142">
        <f t="shared" si="4"/>
        <v>0.14000000000000057</v>
      </c>
      <c r="M104" s="132" t="s">
        <v>19</v>
      </c>
      <c r="N104" s="135" t="s">
        <v>271</v>
      </c>
      <c r="O104" s="145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5.75" customHeight="1" x14ac:dyDescent="0.25">
      <c r="A105" s="147" t="s">
        <v>371</v>
      </c>
      <c r="B105" s="131">
        <v>45728</v>
      </c>
      <c r="C105" s="163">
        <v>0.34236111111111112</v>
      </c>
      <c r="D105" s="131">
        <v>45729</v>
      </c>
      <c r="E105" s="149">
        <v>0.53888888888888886</v>
      </c>
      <c r="F105" s="148">
        <v>8.74</v>
      </c>
      <c r="G105" s="148">
        <v>17.600000000000001</v>
      </c>
      <c r="H105" s="152">
        <v>45734</v>
      </c>
      <c r="I105" s="149">
        <v>0.48680555555555555</v>
      </c>
      <c r="J105" s="150">
        <v>8.6300000000000008</v>
      </c>
      <c r="K105" s="144">
        <v>22.92</v>
      </c>
      <c r="L105" s="144">
        <f t="shared" si="4"/>
        <v>0.10999999999999943</v>
      </c>
      <c r="M105" s="132" t="s">
        <v>19</v>
      </c>
      <c r="N105" s="135" t="s">
        <v>271</v>
      </c>
      <c r="O105" s="164"/>
      <c r="P105" s="16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5.75" customHeight="1" x14ac:dyDescent="0.25">
      <c r="A106" s="128" t="s">
        <v>372</v>
      </c>
      <c r="B106" s="131">
        <v>45728</v>
      </c>
      <c r="C106" s="163">
        <v>0.34236111111111112</v>
      </c>
      <c r="D106" s="131">
        <v>45729</v>
      </c>
      <c r="E106" s="149">
        <v>0.50347222222222221</v>
      </c>
      <c r="F106" s="148">
        <v>8.43</v>
      </c>
      <c r="G106" s="148">
        <v>17.3</v>
      </c>
      <c r="H106" s="152">
        <v>45734</v>
      </c>
      <c r="I106" s="149">
        <v>0.48819444444444443</v>
      </c>
      <c r="J106" s="150">
        <v>8.35</v>
      </c>
      <c r="K106" s="144">
        <v>22.92</v>
      </c>
      <c r="L106" s="144">
        <f t="shared" si="4"/>
        <v>8.0000000000000071E-2</v>
      </c>
      <c r="M106" s="132" t="s">
        <v>19</v>
      </c>
      <c r="N106" s="135" t="s">
        <v>271</v>
      </c>
      <c r="O106" s="164"/>
      <c r="P106" s="16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5.75" customHeight="1" x14ac:dyDescent="0.25">
      <c r="A107" s="128" t="s">
        <v>373</v>
      </c>
      <c r="B107" s="131">
        <v>45728</v>
      </c>
      <c r="C107" s="163">
        <v>0.35972222222222222</v>
      </c>
      <c r="D107" s="131">
        <v>45729</v>
      </c>
      <c r="E107" s="149">
        <v>0.50555555555555554</v>
      </c>
      <c r="F107" s="148">
        <v>8.34</v>
      </c>
      <c r="G107" s="148">
        <v>17</v>
      </c>
      <c r="H107" s="152">
        <v>45734</v>
      </c>
      <c r="I107" s="149">
        <v>0.44791666666666669</v>
      </c>
      <c r="J107" s="150">
        <v>8.17</v>
      </c>
      <c r="K107" s="144">
        <v>21.9</v>
      </c>
      <c r="L107" s="144">
        <f t="shared" si="4"/>
        <v>0.16999999999999993</v>
      </c>
      <c r="M107" s="132" t="s">
        <v>19</v>
      </c>
      <c r="N107" s="135" t="s">
        <v>271</v>
      </c>
      <c r="O107" s="164"/>
      <c r="P107" s="29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5.75" customHeight="1" x14ac:dyDescent="0.25">
      <c r="A108" s="147" t="s">
        <v>374</v>
      </c>
      <c r="B108" s="131">
        <v>45728</v>
      </c>
      <c r="C108" s="163">
        <v>0.35972222222222222</v>
      </c>
      <c r="D108" s="131">
        <v>45729</v>
      </c>
      <c r="E108" s="149">
        <v>0.50694444444444442</v>
      </c>
      <c r="F108" s="148">
        <v>8.65</v>
      </c>
      <c r="G108" s="148">
        <v>17.2</v>
      </c>
      <c r="H108" s="152">
        <v>45734</v>
      </c>
      <c r="I108" s="149">
        <v>0.45763888888888887</v>
      </c>
      <c r="J108" s="150">
        <v>8.33</v>
      </c>
      <c r="K108" s="144">
        <v>22.3</v>
      </c>
      <c r="L108" s="144">
        <f t="shared" si="4"/>
        <v>0.32000000000000028</v>
      </c>
      <c r="M108" s="132" t="s">
        <v>19</v>
      </c>
      <c r="N108" s="135" t="s">
        <v>271</v>
      </c>
      <c r="O108" s="164"/>
      <c r="P108" s="16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.75" customHeight="1" x14ac:dyDescent="0.25">
      <c r="A109" s="128" t="s">
        <v>375</v>
      </c>
      <c r="B109" s="131">
        <v>45728</v>
      </c>
      <c r="C109" s="165">
        <v>0.37638888888888888</v>
      </c>
      <c r="D109" s="131">
        <v>45729</v>
      </c>
      <c r="E109" s="149">
        <v>0.59791666666666665</v>
      </c>
      <c r="F109" s="148">
        <v>8.9</v>
      </c>
      <c r="G109" s="148">
        <v>18.7</v>
      </c>
      <c r="H109" s="152">
        <v>45734</v>
      </c>
      <c r="I109" s="163">
        <v>0.46388888888888891</v>
      </c>
      <c r="J109" s="166">
        <v>8.85</v>
      </c>
      <c r="K109" s="166">
        <v>23</v>
      </c>
      <c r="L109" s="144">
        <f t="shared" si="4"/>
        <v>5.0000000000000711E-2</v>
      </c>
      <c r="M109" s="132" t="s">
        <v>19</v>
      </c>
      <c r="N109" s="135" t="s">
        <v>271</v>
      </c>
      <c r="O109" s="164"/>
      <c r="P109" s="16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.75" customHeight="1" x14ac:dyDescent="0.25">
      <c r="A110" s="147" t="s">
        <v>376</v>
      </c>
      <c r="B110" s="131">
        <v>45728</v>
      </c>
      <c r="C110" s="165">
        <v>0.37638888888888888</v>
      </c>
      <c r="D110" s="131">
        <v>45729</v>
      </c>
      <c r="E110" s="149">
        <v>0.6</v>
      </c>
      <c r="F110" s="148">
        <v>8.92</v>
      </c>
      <c r="G110" s="148">
        <v>18.100000000000001</v>
      </c>
      <c r="H110" s="152">
        <v>45734</v>
      </c>
      <c r="I110" s="163">
        <v>0.46458333333333335</v>
      </c>
      <c r="J110" s="133">
        <v>8.6999999999999993</v>
      </c>
      <c r="K110" s="143">
        <v>23</v>
      </c>
      <c r="L110" s="144">
        <f t="shared" si="4"/>
        <v>0.22000000000000064</v>
      </c>
      <c r="M110" s="132" t="s">
        <v>19</v>
      </c>
      <c r="N110" s="135" t="s">
        <v>271</v>
      </c>
      <c r="O110" s="164"/>
      <c r="P110" s="16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.75" customHeight="1" x14ac:dyDescent="0.25">
      <c r="A111" s="128" t="s">
        <v>377</v>
      </c>
      <c r="B111" s="131">
        <v>45728</v>
      </c>
      <c r="C111" s="130">
        <v>0.38750000000000001</v>
      </c>
      <c r="D111" s="131">
        <v>45729</v>
      </c>
      <c r="E111" s="130">
        <v>0.6020833333333333</v>
      </c>
      <c r="F111" s="132">
        <v>8.91</v>
      </c>
      <c r="G111" s="132">
        <v>17.8</v>
      </c>
      <c r="H111" s="152">
        <v>45734</v>
      </c>
      <c r="I111" s="149">
        <v>0.46944444444444444</v>
      </c>
      <c r="J111" s="150">
        <v>8.7100000000000009</v>
      </c>
      <c r="K111" s="144">
        <v>20.9</v>
      </c>
      <c r="L111" s="144">
        <f t="shared" si="4"/>
        <v>0.19999999999999929</v>
      </c>
      <c r="M111" s="132" t="s">
        <v>19</v>
      </c>
      <c r="N111" s="135" t="s">
        <v>271</v>
      </c>
      <c r="O111" s="164"/>
      <c r="P111" s="16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.75" customHeight="1" x14ac:dyDescent="0.25">
      <c r="A112" s="147" t="s">
        <v>378</v>
      </c>
      <c r="B112" s="131">
        <v>45728</v>
      </c>
      <c r="C112" s="149">
        <v>0.38750000000000001</v>
      </c>
      <c r="D112" s="131">
        <v>45729</v>
      </c>
      <c r="E112" s="149">
        <v>0.60347222222222219</v>
      </c>
      <c r="F112" s="148">
        <v>8.7899999999999991</v>
      </c>
      <c r="G112" s="148">
        <v>18</v>
      </c>
      <c r="H112" s="152">
        <v>45734</v>
      </c>
      <c r="I112" s="149">
        <v>0.47152777777777777</v>
      </c>
      <c r="J112" s="150">
        <v>8.7200000000000006</v>
      </c>
      <c r="K112" s="144">
        <v>21.1</v>
      </c>
      <c r="L112" s="144">
        <f t="shared" si="4"/>
        <v>6.9999999999998508E-2</v>
      </c>
      <c r="M112" s="132" t="s">
        <v>19</v>
      </c>
      <c r="N112" s="135" t="s">
        <v>271</v>
      </c>
      <c r="O112" s="164"/>
      <c r="P112" s="16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5.75" customHeight="1" x14ac:dyDescent="0.25">
      <c r="A113" s="128" t="s">
        <v>379</v>
      </c>
      <c r="B113" s="131">
        <v>45728</v>
      </c>
      <c r="C113" s="163">
        <v>0.41041666666666665</v>
      </c>
      <c r="D113" s="131">
        <v>45729</v>
      </c>
      <c r="E113" s="149">
        <v>0.60624999999999996</v>
      </c>
      <c r="F113" s="148">
        <v>8.81</v>
      </c>
      <c r="G113" s="148">
        <v>18.600000000000001</v>
      </c>
      <c r="H113" s="152">
        <v>45734</v>
      </c>
      <c r="I113" s="149">
        <v>0.47291666666666665</v>
      </c>
      <c r="J113" s="150">
        <v>8.65</v>
      </c>
      <c r="K113" s="144">
        <v>21.2</v>
      </c>
      <c r="L113" s="144">
        <f t="shared" si="4"/>
        <v>0.16000000000000014</v>
      </c>
      <c r="M113" s="132" t="s">
        <v>19</v>
      </c>
      <c r="N113" s="135" t="s">
        <v>271</v>
      </c>
      <c r="O113" s="164"/>
      <c r="P113" s="16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.75" customHeight="1" x14ac:dyDescent="0.25">
      <c r="A114" s="147" t="s">
        <v>380</v>
      </c>
      <c r="B114" s="131">
        <v>45728</v>
      </c>
      <c r="C114" s="163">
        <v>0.41041666666666665</v>
      </c>
      <c r="D114" s="131">
        <v>45729</v>
      </c>
      <c r="E114" s="149">
        <v>0.60555555555555551</v>
      </c>
      <c r="F114" s="148">
        <v>8.76</v>
      </c>
      <c r="G114" s="148">
        <v>18.7</v>
      </c>
      <c r="H114" s="152">
        <v>45734</v>
      </c>
      <c r="I114" s="149">
        <v>0.47430555555555554</v>
      </c>
      <c r="J114" s="148">
        <v>8.27</v>
      </c>
      <c r="K114" s="144">
        <v>21.3</v>
      </c>
      <c r="L114" s="144">
        <f t="shared" si="4"/>
        <v>0.49000000000000021</v>
      </c>
      <c r="M114" s="132" t="s">
        <v>19</v>
      </c>
      <c r="N114" s="135" t="s">
        <v>271</v>
      </c>
      <c r="O114" s="167"/>
      <c r="P114" s="16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</row>
    <row r="115" spans="1:29" ht="15.75" customHeight="1" x14ac:dyDescent="0.25">
      <c r="A115" s="137" t="s">
        <v>381</v>
      </c>
      <c r="B115" s="138">
        <v>45728</v>
      </c>
      <c r="C115" s="139">
        <v>0.43402777777777779</v>
      </c>
      <c r="D115" s="138">
        <v>45729</v>
      </c>
      <c r="E115" s="139">
        <v>0.61388888888888893</v>
      </c>
      <c r="F115" s="140">
        <v>8.76</v>
      </c>
      <c r="G115" s="140">
        <v>19.5</v>
      </c>
      <c r="H115" s="138">
        <v>45734</v>
      </c>
      <c r="I115" s="139">
        <v>0.47847222222222224</v>
      </c>
      <c r="J115" s="141">
        <v>6.59</v>
      </c>
      <c r="K115" s="142">
        <v>21.2</v>
      </c>
      <c r="L115" s="142">
        <f t="shared" si="4"/>
        <v>2.17</v>
      </c>
      <c r="M115" s="132" t="s">
        <v>19</v>
      </c>
      <c r="N115" s="135" t="s">
        <v>271</v>
      </c>
      <c r="O115" s="167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</row>
    <row r="116" spans="1:29" ht="15.75" customHeight="1" x14ac:dyDescent="0.25">
      <c r="A116" s="137" t="s">
        <v>382</v>
      </c>
      <c r="B116" s="138">
        <v>45728</v>
      </c>
      <c r="C116" s="139">
        <v>0.43402777777777779</v>
      </c>
      <c r="D116" s="138">
        <v>45729</v>
      </c>
      <c r="E116" s="139">
        <v>0.61458333333333337</v>
      </c>
      <c r="F116" s="140">
        <v>8.7899999999999991</v>
      </c>
      <c r="G116" s="140">
        <v>19.8</v>
      </c>
      <c r="H116" s="138">
        <v>45734</v>
      </c>
      <c r="I116" s="139">
        <v>0.47708333333333336</v>
      </c>
      <c r="J116" s="141">
        <v>8.09</v>
      </c>
      <c r="K116" s="142">
        <v>21</v>
      </c>
      <c r="L116" s="142">
        <f t="shared" si="4"/>
        <v>0.69999999999999929</v>
      </c>
      <c r="M116" s="132" t="s">
        <v>19</v>
      </c>
      <c r="N116" s="135" t="s">
        <v>271</v>
      </c>
      <c r="O116" s="167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</row>
    <row r="117" spans="1:29" ht="15.75" customHeight="1" x14ac:dyDescent="0.25">
      <c r="A117" s="147" t="s">
        <v>383</v>
      </c>
      <c r="B117" s="131">
        <v>45728</v>
      </c>
      <c r="C117" s="163">
        <v>0.43402777777777779</v>
      </c>
      <c r="D117" s="131">
        <v>45729</v>
      </c>
      <c r="E117" s="149">
        <v>0.6118055555555556</v>
      </c>
      <c r="F117" s="148">
        <v>8.74</v>
      </c>
      <c r="G117" s="148">
        <v>19.2</v>
      </c>
      <c r="H117" s="152">
        <v>45734</v>
      </c>
      <c r="I117" s="149">
        <v>0.47638888888888886</v>
      </c>
      <c r="J117" s="150">
        <v>8.02</v>
      </c>
      <c r="K117" s="144">
        <v>21.3</v>
      </c>
      <c r="L117" s="144">
        <f t="shared" si="4"/>
        <v>0.72000000000000064</v>
      </c>
      <c r="M117" s="132" t="s">
        <v>19</v>
      </c>
      <c r="N117" s="135" t="s">
        <v>271</v>
      </c>
      <c r="O117" s="167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</row>
    <row r="118" spans="1:29" ht="15.75" customHeight="1" x14ac:dyDescent="0.25">
      <c r="A118" s="128" t="s">
        <v>384</v>
      </c>
      <c r="B118" s="131">
        <v>45728</v>
      </c>
      <c r="C118" s="163">
        <v>0.43402777777777779</v>
      </c>
      <c r="D118" s="131">
        <v>45729</v>
      </c>
      <c r="E118" s="149">
        <v>0.61597222222222225</v>
      </c>
      <c r="F118" s="148">
        <v>8.8800000000000008</v>
      </c>
      <c r="G118" s="148">
        <v>19</v>
      </c>
      <c r="H118" s="152">
        <v>45734</v>
      </c>
      <c r="I118" s="149">
        <v>0.47986111111111113</v>
      </c>
      <c r="J118" s="150">
        <v>8.31</v>
      </c>
      <c r="K118" s="144">
        <v>21.15</v>
      </c>
      <c r="L118" s="144">
        <f t="shared" si="4"/>
        <v>0.57000000000000028</v>
      </c>
      <c r="M118" s="132" t="s">
        <v>19</v>
      </c>
      <c r="N118" s="135" t="s">
        <v>271</v>
      </c>
      <c r="O118" s="167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</row>
    <row r="119" spans="1:29" ht="15.75" customHeight="1" x14ac:dyDescent="0.25">
      <c r="A119" s="128" t="s">
        <v>385</v>
      </c>
      <c r="B119" s="131">
        <v>45728</v>
      </c>
      <c r="C119" s="163">
        <v>0.44930555555555557</v>
      </c>
      <c r="D119" s="131">
        <v>45729</v>
      </c>
      <c r="E119" s="149">
        <v>0.62152777777777779</v>
      </c>
      <c r="F119" s="148">
        <v>8.8699999999999992</v>
      </c>
      <c r="G119" s="148">
        <v>20.100000000000001</v>
      </c>
      <c r="H119" s="152">
        <v>45734</v>
      </c>
      <c r="I119" s="163">
        <v>0.48402777777777778</v>
      </c>
      <c r="J119" s="148">
        <v>8.2899999999999991</v>
      </c>
      <c r="K119" s="144">
        <v>21.5</v>
      </c>
      <c r="L119" s="144">
        <f t="shared" si="4"/>
        <v>0.58000000000000007</v>
      </c>
      <c r="M119" s="132" t="s">
        <v>19</v>
      </c>
      <c r="N119" s="135" t="s">
        <v>271</v>
      </c>
      <c r="O119" s="167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</row>
    <row r="120" spans="1:29" ht="15.75" customHeight="1" x14ac:dyDescent="0.25">
      <c r="A120" s="147" t="s">
        <v>386</v>
      </c>
      <c r="B120" s="131">
        <v>45728</v>
      </c>
      <c r="C120" s="163">
        <v>0.44930555555555557</v>
      </c>
      <c r="D120" s="131">
        <v>45729</v>
      </c>
      <c r="E120" s="149">
        <v>0.63541666666666663</v>
      </c>
      <c r="F120" s="166">
        <v>8.85</v>
      </c>
      <c r="G120" s="166">
        <v>21.5</v>
      </c>
      <c r="H120" s="152">
        <v>45734</v>
      </c>
      <c r="I120" s="149">
        <v>0.4861111111111111</v>
      </c>
      <c r="J120" s="148">
        <v>8.39</v>
      </c>
      <c r="K120" s="144">
        <v>21.7</v>
      </c>
      <c r="L120" s="144">
        <f t="shared" si="4"/>
        <v>0.45999999999999908</v>
      </c>
      <c r="M120" s="132" t="s">
        <v>19</v>
      </c>
      <c r="N120" s="135" t="s">
        <v>271</v>
      </c>
      <c r="O120" s="167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</row>
    <row r="121" spans="1:29" ht="15.75" customHeight="1" x14ac:dyDescent="0.25">
      <c r="A121" s="128" t="s">
        <v>270</v>
      </c>
      <c r="B121" s="129" t="s">
        <v>17</v>
      </c>
      <c r="C121" s="130" t="s">
        <v>17</v>
      </c>
      <c r="D121" s="170">
        <v>45756</v>
      </c>
      <c r="E121" s="130">
        <v>0.33124999999999999</v>
      </c>
      <c r="F121" s="162">
        <v>8.23</v>
      </c>
      <c r="G121" s="132">
        <v>26.2</v>
      </c>
      <c r="H121" s="152">
        <v>45734</v>
      </c>
      <c r="I121" s="149">
        <v>0.35972222222222222</v>
      </c>
      <c r="J121" s="132">
        <v>8.33</v>
      </c>
      <c r="K121" s="144">
        <v>26.8</v>
      </c>
      <c r="L121" s="144" t="s">
        <v>17</v>
      </c>
      <c r="M121" s="132" t="s">
        <v>19</v>
      </c>
      <c r="N121" s="135" t="s">
        <v>271</v>
      </c>
      <c r="O121" s="167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</row>
    <row r="122" spans="1:29" ht="15.75" customHeight="1" x14ac:dyDescent="0.25">
      <c r="A122" s="147" t="s">
        <v>387</v>
      </c>
      <c r="B122" s="170">
        <v>45755</v>
      </c>
      <c r="C122" s="163">
        <v>0.34027777777777779</v>
      </c>
      <c r="D122" s="170">
        <v>45756</v>
      </c>
      <c r="E122" s="149">
        <v>0.33541666666666664</v>
      </c>
      <c r="F122" s="148">
        <v>8.33</v>
      </c>
      <c r="G122" s="148">
        <v>21.8</v>
      </c>
      <c r="H122" s="170">
        <v>45761</v>
      </c>
      <c r="I122" s="149">
        <v>0.36319444444444443</v>
      </c>
      <c r="J122" s="148">
        <v>8.01</v>
      </c>
      <c r="K122" s="144">
        <v>20</v>
      </c>
      <c r="L122" s="144">
        <f t="shared" ref="L122:L131" si="5">F122-J122</f>
        <v>0.32000000000000028</v>
      </c>
      <c r="M122" s="132" t="s">
        <v>19</v>
      </c>
      <c r="N122" s="135" t="s">
        <v>138</v>
      </c>
      <c r="O122" s="167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</row>
    <row r="123" spans="1:29" ht="15.75" customHeight="1" x14ac:dyDescent="0.25">
      <c r="A123" s="128" t="s">
        <v>388</v>
      </c>
      <c r="B123" s="170">
        <v>45755</v>
      </c>
      <c r="C123" s="163">
        <v>0.34027777777777779</v>
      </c>
      <c r="D123" s="170">
        <v>45756</v>
      </c>
      <c r="E123" s="149">
        <v>0.33750000000000002</v>
      </c>
      <c r="F123" s="148">
        <v>8.1999999999999993</v>
      </c>
      <c r="G123" s="148">
        <v>21.2</v>
      </c>
      <c r="H123" s="152">
        <v>45761</v>
      </c>
      <c r="I123" s="149">
        <v>0.36458333333333331</v>
      </c>
      <c r="J123" s="148">
        <v>8.02</v>
      </c>
      <c r="K123" s="144">
        <v>20.3</v>
      </c>
      <c r="L123" s="144">
        <f t="shared" si="5"/>
        <v>0.17999999999999972</v>
      </c>
      <c r="M123" s="132" t="s">
        <v>19</v>
      </c>
      <c r="N123" s="135" t="s">
        <v>138</v>
      </c>
      <c r="O123" s="167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</row>
    <row r="124" spans="1:29" ht="15.75" customHeight="1" x14ac:dyDescent="0.25">
      <c r="A124" s="147" t="s">
        <v>389</v>
      </c>
      <c r="B124" s="170">
        <v>45755</v>
      </c>
      <c r="C124" s="163">
        <v>0.35625000000000001</v>
      </c>
      <c r="D124" s="170">
        <v>45756</v>
      </c>
      <c r="E124" s="149">
        <v>0.34652777777777777</v>
      </c>
      <c r="F124" s="148">
        <v>8.64</v>
      </c>
      <c r="G124" s="148">
        <v>20.5</v>
      </c>
      <c r="H124" s="152">
        <v>45761</v>
      </c>
      <c r="I124" s="149">
        <v>0.3659722222222222</v>
      </c>
      <c r="J124" s="148">
        <v>8.18</v>
      </c>
      <c r="K124" s="144">
        <v>19.399999999999999</v>
      </c>
      <c r="L124" s="144">
        <f t="shared" si="5"/>
        <v>0.46000000000000085</v>
      </c>
      <c r="M124" s="132" t="s">
        <v>19</v>
      </c>
      <c r="N124" s="135" t="s">
        <v>138</v>
      </c>
      <c r="O124" s="167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</row>
    <row r="125" spans="1:29" ht="15.75" customHeight="1" x14ac:dyDescent="0.25">
      <c r="A125" s="128" t="s">
        <v>390</v>
      </c>
      <c r="B125" s="170">
        <v>45755</v>
      </c>
      <c r="C125" s="163">
        <v>0.35625000000000001</v>
      </c>
      <c r="D125" s="170">
        <v>45756</v>
      </c>
      <c r="E125" s="149">
        <v>0.35</v>
      </c>
      <c r="F125" s="148">
        <v>8.19</v>
      </c>
      <c r="G125" s="148">
        <v>21.7</v>
      </c>
      <c r="H125" s="152">
        <v>45761</v>
      </c>
      <c r="I125" s="149">
        <v>0.36805555555555558</v>
      </c>
      <c r="J125" s="148">
        <v>8.0299999999999994</v>
      </c>
      <c r="K125" s="144">
        <v>19.3</v>
      </c>
      <c r="L125" s="144">
        <f t="shared" si="5"/>
        <v>0.16000000000000014</v>
      </c>
      <c r="M125" s="132" t="s">
        <v>19</v>
      </c>
      <c r="N125" s="135" t="s">
        <v>138</v>
      </c>
      <c r="O125" s="167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</row>
    <row r="126" spans="1:29" ht="15.75" customHeight="1" x14ac:dyDescent="0.25">
      <c r="A126" s="147" t="s">
        <v>391</v>
      </c>
      <c r="B126" s="170">
        <v>45755</v>
      </c>
      <c r="C126" s="163">
        <v>0.48541666666666666</v>
      </c>
      <c r="D126" s="170">
        <v>45756</v>
      </c>
      <c r="E126" s="149">
        <v>0.35138888888888886</v>
      </c>
      <c r="F126" s="148">
        <v>8.82</v>
      </c>
      <c r="G126" s="148">
        <v>22</v>
      </c>
      <c r="H126" s="152">
        <v>45761</v>
      </c>
      <c r="I126" s="149">
        <v>0.375</v>
      </c>
      <c r="J126" s="148">
        <v>8.23</v>
      </c>
      <c r="K126" s="144">
        <v>18.399999999999999</v>
      </c>
      <c r="L126" s="144">
        <f t="shared" si="5"/>
        <v>0.58999999999999986</v>
      </c>
      <c r="M126" s="132" t="s">
        <v>19</v>
      </c>
      <c r="N126" s="135" t="s">
        <v>138</v>
      </c>
      <c r="O126" s="167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</row>
    <row r="127" spans="1:29" ht="15.75" customHeight="1" x14ac:dyDescent="0.25">
      <c r="A127" s="128" t="s">
        <v>392</v>
      </c>
      <c r="B127" s="170">
        <v>45755</v>
      </c>
      <c r="C127" s="163">
        <v>0.48541666666666666</v>
      </c>
      <c r="D127" s="170">
        <v>45756</v>
      </c>
      <c r="E127" s="149">
        <v>0.35208333333333336</v>
      </c>
      <c r="F127" s="148">
        <v>8.9</v>
      </c>
      <c r="G127" s="148">
        <v>21.4</v>
      </c>
      <c r="H127" s="152">
        <v>45761</v>
      </c>
      <c r="I127" s="149">
        <v>0.38055555555555554</v>
      </c>
      <c r="J127" s="148">
        <v>8.69</v>
      </c>
      <c r="K127" s="144">
        <v>20.100000000000001</v>
      </c>
      <c r="L127" s="144">
        <f t="shared" si="5"/>
        <v>0.21000000000000085</v>
      </c>
      <c r="M127" s="132" t="s">
        <v>19</v>
      </c>
      <c r="N127" s="135" t="s">
        <v>138</v>
      </c>
      <c r="O127" s="167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</row>
    <row r="128" spans="1:29" ht="15.75" customHeight="1" x14ac:dyDescent="0.25">
      <c r="A128" s="137" t="s">
        <v>393</v>
      </c>
      <c r="B128" s="138">
        <v>45755</v>
      </c>
      <c r="C128" s="139">
        <v>0.51249999999999996</v>
      </c>
      <c r="D128" s="138">
        <v>45756</v>
      </c>
      <c r="E128" s="139">
        <v>0.37569444444444444</v>
      </c>
      <c r="F128" s="140">
        <v>8.33</v>
      </c>
      <c r="G128" s="140">
        <v>22.7</v>
      </c>
      <c r="H128" s="138">
        <v>45761</v>
      </c>
      <c r="I128" s="139">
        <v>0.38819444444444445</v>
      </c>
      <c r="J128" s="141">
        <v>6.32</v>
      </c>
      <c r="K128" s="142">
        <v>20.7</v>
      </c>
      <c r="L128" s="142">
        <f t="shared" si="5"/>
        <v>2.0099999999999998</v>
      </c>
      <c r="M128" s="132" t="s">
        <v>19</v>
      </c>
      <c r="N128" s="135" t="s">
        <v>138</v>
      </c>
      <c r="O128" s="167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</row>
    <row r="129" spans="1:29" ht="15.75" customHeight="1" x14ac:dyDescent="0.25">
      <c r="A129" s="137" t="s">
        <v>394</v>
      </c>
      <c r="B129" s="138">
        <v>45755</v>
      </c>
      <c r="C129" s="139">
        <v>0.51249999999999996</v>
      </c>
      <c r="D129" s="138">
        <v>45756</v>
      </c>
      <c r="E129" s="139">
        <v>0.37291666666666667</v>
      </c>
      <c r="F129" s="140">
        <v>8.49</v>
      </c>
      <c r="G129" s="140">
        <v>22.3</v>
      </c>
      <c r="H129" s="138">
        <v>45761</v>
      </c>
      <c r="I129" s="139">
        <v>0.39027777777777778</v>
      </c>
      <c r="J129" s="141">
        <v>8.3699999999999992</v>
      </c>
      <c r="K129" s="142">
        <v>20.5</v>
      </c>
      <c r="L129" s="142">
        <f t="shared" si="5"/>
        <v>0.12000000000000099</v>
      </c>
      <c r="M129" s="132" t="s">
        <v>19</v>
      </c>
      <c r="N129" s="135" t="s">
        <v>138</v>
      </c>
      <c r="O129" s="167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</row>
    <row r="130" spans="1:29" ht="15.75" customHeight="1" x14ac:dyDescent="0.25">
      <c r="A130" s="147" t="s">
        <v>395</v>
      </c>
      <c r="B130" s="170">
        <v>45755</v>
      </c>
      <c r="C130" s="163">
        <v>0.51249999999999996</v>
      </c>
      <c r="D130" s="170">
        <v>45756</v>
      </c>
      <c r="E130" s="149">
        <v>0.35902777777777778</v>
      </c>
      <c r="F130" s="148">
        <v>8.7799999999999994</v>
      </c>
      <c r="G130" s="148">
        <v>21.5</v>
      </c>
      <c r="H130" s="152">
        <v>45761</v>
      </c>
      <c r="I130" s="149">
        <v>0.38611111111111113</v>
      </c>
      <c r="J130" s="148">
        <v>8.6</v>
      </c>
      <c r="K130" s="144">
        <v>20</v>
      </c>
      <c r="L130" s="144">
        <f t="shared" si="5"/>
        <v>0.17999999999999972</v>
      </c>
      <c r="M130" s="132" t="s">
        <v>19</v>
      </c>
      <c r="N130" s="135" t="s">
        <v>138</v>
      </c>
      <c r="O130" s="167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</row>
    <row r="131" spans="1:29" ht="15.75" customHeight="1" x14ac:dyDescent="0.25">
      <c r="A131" s="128" t="s">
        <v>396</v>
      </c>
      <c r="B131" s="170">
        <v>45755</v>
      </c>
      <c r="C131" s="163">
        <v>0.51249999999999996</v>
      </c>
      <c r="D131" s="170">
        <v>45756</v>
      </c>
      <c r="E131" s="149">
        <v>0.35694444444444445</v>
      </c>
      <c r="F131" s="148">
        <v>8.98</v>
      </c>
      <c r="G131" s="148">
        <v>21.3</v>
      </c>
      <c r="H131" s="152">
        <v>45761</v>
      </c>
      <c r="I131" s="149">
        <v>0.38472222222222224</v>
      </c>
      <c r="J131" s="148">
        <v>8.42</v>
      </c>
      <c r="K131" s="144">
        <v>21</v>
      </c>
      <c r="L131" s="144">
        <f t="shared" si="5"/>
        <v>0.5600000000000005</v>
      </c>
      <c r="M131" s="132" t="s">
        <v>19</v>
      </c>
      <c r="N131" s="135" t="s">
        <v>138</v>
      </c>
      <c r="O131" s="167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</row>
    <row r="132" spans="1:29" ht="15.75" customHeight="1" x14ac:dyDescent="0.25">
      <c r="A132" s="171"/>
      <c r="B132" s="172"/>
      <c r="C132" s="173"/>
      <c r="D132" s="172"/>
      <c r="E132" s="173"/>
      <c r="F132" s="172"/>
      <c r="G132" s="172"/>
      <c r="H132" s="172"/>
      <c r="I132" s="173"/>
      <c r="J132" s="172"/>
      <c r="K132" s="174"/>
      <c r="L132" s="172"/>
      <c r="M132" s="172"/>
      <c r="N132" s="175"/>
      <c r="O132" s="176"/>
      <c r="P132" s="177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1:29" ht="15.75" customHeight="1" x14ac:dyDescent="0.25">
      <c r="A133" s="171"/>
      <c r="B133" s="172"/>
      <c r="C133" s="173"/>
      <c r="D133" s="172"/>
      <c r="E133" s="173"/>
      <c r="F133" s="172"/>
      <c r="G133" s="172"/>
      <c r="H133" s="172"/>
      <c r="I133" s="173"/>
      <c r="J133" s="172"/>
      <c r="K133" s="174"/>
      <c r="L133" s="172"/>
      <c r="M133" s="172"/>
      <c r="N133" s="175"/>
      <c r="O133" s="178"/>
      <c r="P133" s="177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1:29" ht="15.75" customHeight="1" x14ac:dyDescent="0.25">
      <c r="A134" s="171"/>
      <c r="B134" s="172"/>
      <c r="C134" s="173"/>
      <c r="D134" s="172"/>
      <c r="E134" s="173"/>
      <c r="F134" s="172"/>
      <c r="G134" s="172"/>
      <c r="H134" s="172"/>
      <c r="I134" s="173"/>
      <c r="J134" s="172"/>
      <c r="K134" s="174"/>
      <c r="L134" s="172"/>
      <c r="M134" s="172"/>
      <c r="N134" s="175"/>
      <c r="O134" s="178"/>
      <c r="P134" s="177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1:29" ht="15.75" customHeight="1" x14ac:dyDescent="0.25">
      <c r="A135" s="179"/>
      <c r="B135" s="180"/>
      <c r="C135" s="181"/>
      <c r="D135" s="180"/>
      <c r="E135" s="181"/>
      <c r="F135" s="180"/>
      <c r="G135" s="180"/>
      <c r="H135" s="180"/>
      <c r="I135" s="181"/>
      <c r="J135" s="180"/>
      <c r="K135" s="182"/>
      <c r="L135" s="172"/>
      <c r="M135" s="180"/>
      <c r="N135" s="183"/>
      <c r="O135" s="184"/>
      <c r="P135" s="185"/>
    </row>
    <row r="136" spans="1:29" ht="15.75" customHeight="1" x14ac:dyDescent="0.25">
      <c r="A136" s="179"/>
      <c r="B136" s="180"/>
      <c r="C136" s="181"/>
      <c r="D136" s="180"/>
      <c r="E136" s="181"/>
      <c r="F136" s="180"/>
      <c r="G136" s="180"/>
      <c r="H136" s="180"/>
      <c r="I136" s="181"/>
      <c r="J136" s="180"/>
      <c r="K136" s="182"/>
      <c r="L136" s="172"/>
      <c r="M136" s="180"/>
      <c r="N136" s="183"/>
      <c r="O136" s="184"/>
      <c r="P136" s="185"/>
    </row>
    <row r="137" spans="1:29" ht="15.75" customHeight="1" x14ac:dyDescent="0.25">
      <c r="A137" s="179"/>
      <c r="B137" s="180"/>
      <c r="C137" s="181"/>
      <c r="D137" s="180"/>
      <c r="E137" s="181"/>
      <c r="F137" s="180"/>
      <c r="G137" s="180"/>
      <c r="H137" s="180"/>
      <c r="I137" s="181"/>
      <c r="J137" s="180"/>
      <c r="K137" s="182"/>
      <c r="L137" s="172"/>
      <c r="M137" s="180"/>
      <c r="N137" s="183"/>
      <c r="O137" s="184"/>
      <c r="P137" s="185"/>
    </row>
    <row r="138" spans="1:29" ht="15.75" customHeight="1" x14ac:dyDescent="0.25">
      <c r="A138" s="179"/>
      <c r="B138" s="180"/>
      <c r="C138" s="181"/>
      <c r="D138" s="180"/>
      <c r="E138" s="181"/>
      <c r="F138" s="180"/>
      <c r="G138" s="180"/>
      <c r="H138" s="180"/>
      <c r="I138" s="181"/>
      <c r="J138" s="180"/>
      <c r="K138" s="182"/>
      <c r="L138" s="172"/>
      <c r="M138" s="180"/>
      <c r="N138" s="183"/>
      <c r="O138" s="184"/>
      <c r="P138" s="185"/>
    </row>
    <row r="139" spans="1:29" ht="15.75" customHeight="1" x14ac:dyDescent="0.25">
      <c r="A139" s="179"/>
      <c r="B139" s="180"/>
      <c r="C139" s="181"/>
      <c r="D139" s="180"/>
      <c r="E139" s="181"/>
      <c r="F139" s="180"/>
      <c r="G139" s="180"/>
      <c r="H139" s="180"/>
      <c r="I139" s="181"/>
      <c r="J139" s="180"/>
      <c r="K139" s="182"/>
      <c r="L139" s="172"/>
      <c r="M139" s="180"/>
      <c r="N139" s="183"/>
      <c r="O139" s="184"/>
      <c r="P139" s="185"/>
    </row>
    <row r="140" spans="1:29" ht="15.75" customHeight="1" x14ac:dyDescent="0.25">
      <c r="A140" s="179"/>
      <c r="B140" s="180"/>
      <c r="C140" s="181"/>
      <c r="D140" s="180"/>
      <c r="E140" s="181"/>
      <c r="F140" s="180"/>
      <c r="G140" s="180"/>
      <c r="H140" s="180"/>
      <c r="I140" s="181"/>
      <c r="J140" s="180"/>
      <c r="K140" s="182"/>
      <c r="L140" s="172"/>
      <c r="M140" s="180"/>
      <c r="N140" s="183"/>
      <c r="O140" s="184"/>
      <c r="P140" s="185"/>
    </row>
    <row r="141" spans="1:29" ht="15.75" customHeight="1" x14ac:dyDescent="0.25">
      <c r="A141" s="179"/>
      <c r="B141" s="180"/>
      <c r="C141" s="181"/>
      <c r="D141" s="180"/>
      <c r="E141" s="181"/>
      <c r="F141" s="180"/>
      <c r="G141" s="180"/>
      <c r="H141" s="180"/>
      <c r="I141" s="181"/>
      <c r="J141" s="180"/>
      <c r="K141" s="182"/>
      <c r="L141" s="172"/>
      <c r="M141" s="180"/>
      <c r="N141" s="183"/>
      <c r="O141" s="184"/>
      <c r="P141" s="185"/>
    </row>
    <row r="142" spans="1:29" ht="15.75" customHeight="1" x14ac:dyDescent="0.25">
      <c r="A142" s="179"/>
      <c r="B142" s="180"/>
      <c r="C142" s="181"/>
      <c r="D142" s="180"/>
      <c r="E142" s="181"/>
      <c r="F142" s="180"/>
      <c r="G142" s="180"/>
      <c r="H142" s="180"/>
      <c r="I142" s="181"/>
      <c r="J142" s="180"/>
      <c r="K142" s="182"/>
      <c r="L142" s="172"/>
      <c r="M142" s="180"/>
      <c r="N142" s="183"/>
      <c r="O142" s="184"/>
      <c r="P142" s="185"/>
    </row>
    <row r="143" spans="1:29" ht="15.75" customHeight="1" x14ac:dyDescent="0.25">
      <c r="A143" s="179"/>
      <c r="B143" s="180"/>
      <c r="C143" s="181"/>
      <c r="D143" s="180"/>
      <c r="E143" s="181"/>
      <c r="F143" s="180"/>
      <c r="G143" s="180"/>
      <c r="H143" s="180"/>
      <c r="I143" s="181"/>
      <c r="J143" s="180"/>
      <c r="K143" s="182"/>
      <c r="L143" s="172"/>
      <c r="M143" s="180"/>
      <c r="N143" s="183"/>
      <c r="O143" s="184"/>
      <c r="P143" s="185"/>
    </row>
    <row r="144" spans="1:29" ht="15.75" customHeight="1" x14ac:dyDescent="0.25">
      <c r="A144" s="179"/>
      <c r="B144" s="180"/>
      <c r="C144" s="181"/>
      <c r="D144" s="180"/>
      <c r="E144" s="181"/>
      <c r="F144" s="180"/>
      <c r="G144" s="180"/>
      <c r="H144" s="180"/>
      <c r="I144" s="181"/>
      <c r="J144" s="180"/>
      <c r="K144" s="182"/>
      <c r="L144" s="172"/>
      <c r="M144" s="180"/>
      <c r="N144" s="183"/>
      <c r="O144" s="184"/>
      <c r="P144" s="185"/>
    </row>
    <row r="145" spans="1:16" ht="15.75" customHeight="1" x14ac:dyDescent="0.25">
      <c r="A145" s="179"/>
      <c r="B145" s="180"/>
      <c r="C145" s="181"/>
      <c r="D145" s="180"/>
      <c r="E145" s="181"/>
      <c r="F145" s="180"/>
      <c r="G145" s="180"/>
      <c r="H145" s="180"/>
      <c r="I145" s="181"/>
      <c r="J145" s="180"/>
      <c r="K145" s="182"/>
      <c r="L145" s="172"/>
      <c r="M145" s="180"/>
      <c r="N145" s="183"/>
      <c r="O145" s="184"/>
      <c r="P145" s="185"/>
    </row>
    <row r="146" spans="1:16" ht="15.75" customHeight="1" x14ac:dyDescent="0.25">
      <c r="A146" s="179"/>
      <c r="B146" s="180"/>
      <c r="C146" s="181"/>
      <c r="D146" s="180"/>
      <c r="E146" s="181"/>
      <c r="F146" s="180"/>
      <c r="G146" s="180"/>
      <c r="H146" s="180"/>
      <c r="I146" s="181"/>
      <c r="J146" s="180"/>
      <c r="K146" s="182"/>
      <c r="L146" s="172"/>
      <c r="M146" s="180"/>
      <c r="N146" s="183"/>
      <c r="O146" s="184"/>
      <c r="P146" s="185"/>
    </row>
    <row r="147" spans="1:16" ht="15.75" customHeight="1" x14ac:dyDescent="0.25">
      <c r="A147" s="179"/>
      <c r="B147" s="180"/>
      <c r="C147" s="181"/>
      <c r="D147" s="180"/>
      <c r="E147" s="181"/>
      <c r="F147" s="180"/>
      <c r="G147" s="180"/>
      <c r="H147" s="180"/>
      <c r="I147" s="181"/>
      <c r="J147" s="180"/>
      <c r="K147" s="182"/>
      <c r="L147" s="172"/>
      <c r="M147" s="180"/>
      <c r="N147" s="183"/>
      <c r="O147" s="184"/>
      <c r="P147" s="185"/>
    </row>
    <row r="148" spans="1:16" ht="15.75" customHeight="1" x14ac:dyDescent="0.25">
      <c r="A148" s="179"/>
      <c r="B148" s="180"/>
      <c r="C148" s="181"/>
      <c r="D148" s="180"/>
      <c r="E148" s="181"/>
      <c r="F148" s="180"/>
      <c r="G148" s="180"/>
      <c r="H148" s="180"/>
      <c r="I148" s="181"/>
      <c r="J148" s="180"/>
      <c r="K148" s="182"/>
      <c r="L148" s="172"/>
      <c r="M148" s="180"/>
      <c r="N148" s="183"/>
      <c r="O148" s="184"/>
      <c r="P148" s="185"/>
    </row>
    <row r="149" spans="1:16" ht="15.75" customHeight="1" x14ac:dyDescent="0.25">
      <c r="A149" s="179"/>
      <c r="B149" s="180"/>
      <c r="C149" s="181"/>
      <c r="D149" s="180"/>
      <c r="E149" s="181"/>
      <c r="F149" s="180"/>
      <c r="G149" s="180"/>
      <c r="H149" s="180"/>
      <c r="I149" s="181"/>
      <c r="J149" s="180"/>
      <c r="K149" s="182"/>
      <c r="L149" s="172"/>
      <c r="M149" s="180"/>
      <c r="N149" s="183"/>
      <c r="O149" s="184"/>
      <c r="P149" s="185"/>
    </row>
    <row r="150" spans="1:16" ht="15.75" customHeight="1" x14ac:dyDescent="0.25">
      <c r="A150" s="179"/>
      <c r="B150" s="180"/>
      <c r="C150" s="181"/>
      <c r="D150" s="180"/>
      <c r="E150" s="181"/>
      <c r="F150" s="180"/>
      <c r="G150" s="180"/>
      <c r="H150" s="180"/>
      <c r="I150" s="181"/>
      <c r="J150" s="180"/>
      <c r="K150" s="182"/>
      <c r="L150" s="172"/>
      <c r="M150" s="180"/>
      <c r="N150" s="183"/>
      <c r="O150" s="184"/>
      <c r="P150" s="185"/>
    </row>
    <row r="151" spans="1:16" ht="15.75" customHeight="1" x14ac:dyDescent="0.25">
      <c r="A151" s="179"/>
      <c r="B151" s="180"/>
      <c r="C151" s="181"/>
      <c r="D151" s="180"/>
      <c r="E151" s="181"/>
      <c r="F151" s="180"/>
      <c r="G151" s="180"/>
      <c r="H151" s="180"/>
      <c r="I151" s="181"/>
      <c r="J151" s="180"/>
      <c r="K151" s="182"/>
      <c r="L151" s="172"/>
      <c r="M151" s="180"/>
      <c r="N151" s="183"/>
      <c r="O151" s="184"/>
      <c r="P151" s="185"/>
    </row>
    <row r="152" spans="1:16" ht="15.75" customHeight="1" x14ac:dyDescent="0.25">
      <c r="A152" s="179"/>
      <c r="B152" s="180"/>
      <c r="C152" s="181"/>
      <c r="D152" s="180"/>
      <c r="E152" s="181"/>
      <c r="F152" s="180"/>
      <c r="G152" s="180"/>
      <c r="H152" s="180"/>
      <c r="I152" s="181"/>
      <c r="J152" s="180"/>
      <c r="K152" s="182"/>
      <c r="L152" s="172"/>
      <c r="M152" s="180"/>
      <c r="N152" s="183"/>
      <c r="O152" s="184"/>
      <c r="P152" s="185"/>
    </row>
    <row r="153" spans="1:16" ht="15.75" customHeight="1" x14ac:dyDescent="0.25">
      <c r="A153" s="179"/>
      <c r="B153" s="180"/>
      <c r="C153" s="181"/>
      <c r="D153" s="180"/>
      <c r="E153" s="181"/>
      <c r="F153" s="180"/>
      <c r="G153" s="180"/>
      <c r="H153" s="180"/>
      <c r="I153" s="181"/>
      <c r="J153" s="180"/>
      <c r="K153" s="182"/>
      <c r="L153" s="172"/>
      <c r="M153" s="180"/>
      <c r="N153" s="183"/>
      <c r="O153" s="184"/>
      <c r="P153" s="185"/>
    </row>
    <row r="154" spans="1:16" ht="15.75" customHeight="1" x14ac:dyDescent="0.25">
      <c r="A154" s="179"/>
      <c r="B154" s="180"/>
      <c r="C154" s="181"/>
      <c r="D154" s="180"/>
      <c r="E154" s="181"/>
      <c r="F154" s="180"/>
      <c r="G154" s="180"/>
      <c r="H154" s="180"/>
      <c r="I154" s="181"/>
      <c r="J154" s="180"/>
      <c r="K154" s="182"/>
      <c r="L154" s="172"/>
      <c r="M154" s="180"/>
      <c r="N154" s="183"/>
      <c r="O154" s="184"/>
      <c r="P154" s="185"/>
    </row>
    <row r="155" spans="1:16" ht="15.75" customHeight="1" x14ac:dyDescent="0.25">
      <c r="A155" s="179"/>
      <c r="B155" s="180"/>
      <c r="C155" s="181"/>
      <c r="D155" s="180"/>
      <c r="E155" s="181"/>
      <c r="F155" s="180"/>
      <c r="G155" s="180"/>
      <c r="H155" s="180"/>
      <c r="I155" s="181"/>
      <c r="J155" s="180"/>
      <c r="K155" s="182"/>
      <c r="L155" s="172"/>
      <c r="M155" s="180"/>
      <c r="N155" s="183"/>
      <c r="O155" s="184"/>
      <c r="P155" s="185"/>
    </row>
    <row r="156" spans="1:16" ht="15.75" customHeight="1" x14ac:dyDescent="0.25">
      <c r="A156" s="179"/>
      <c r="B156" s="180"/>
      <c r="C156" s="181"/>
      <c r="D156" s="180"/>
      <c r="E156" s="181"/>
      <c r="F156" s="180"/>
      <c r="G156" s="180"/>
      <c r="H156" s="180"/>
      <c r="I156" s="181"/>
      <c r="J156" s="180"/>
      <c r="K156" s="182"/>
      <c r="L156" s="172"/>
      <c r="M156" s="180"/>
      <c r="N156" s="183"/>
      <c r="O156" s="184"/>
      <c r="P156" s="185"/>
    </row>
    <row r="157" spans="1:16" ht="15.75" customHeight="1" x14ac:dyDescent="0.25">
      <c r="A157" s="179"/>
      <c r="B157" s="180"/>
      <c r="C157" s="181"/>
      <c r="D157" s="180"/>
      <c r="E157" s="181"/>
      <c r="F157" s="180"/>
      <c r="G157" s="180"/>
      <c r="H157" s="180"/>
      <c r="I157" s="181"/>
      <c r="J157" s="180"/>
      <c r="K157" s="182"/>
      <c r="L157" s="172"/>
      <c r="M157" s="180"/>
      <c r="N157" s="183"/>
      <c r="O157" s="184"/>
      <c r="P157" s="185"/>
    </row>
    <row r="158" spans="1:16" ht="15.75" customHeight="1" x14ac:dyDescent="0.25">
      <c r="A158" s="179"/>
      <c r="B158" s="180"/>
      <c r="C158" s="181"/>
      <c r="D158" s="180"/>
      <c r="E158" s="181"/>
      <c r="F158" s="180"/>
      <c r="G158" s="180"/>
      <c r="H158" s="180"/>
      <c r="I158" s="181"/>
      <c r="J158" s="180"/>
      <c r="K158" s="182"/>
      <c r="L158" s="172"/>
      <c r="M158" s="180"/>
      <c r="N158" s="183"/>
      <c r="O158" s="184"/>
      <c r="P158" s="185"/>
    </row>
    <row r="159" spans="1:16" ht="15.75" customHeight="1" x14ac:dyDescent="0.25">
      <c r="A159" s="179"/>
      <c r="B159" s="180"/>
      <c r="C159" s="181"/>
      <c r="D159" s="180"/>
      <c r="E159" s="181"/>
      <c r="F159" s="180"/>
      <c r="G159" s="180"/>
      <c r="H159" s="180"/>
      <c r="I159" s="181"/>
      <c r="J159" s="180"/>
      <c r="K159" s="182"/>
      <c r="L159" s="172"/>
      <c r="M159" s="180"/>
      <c r="N159" s="183"/>
      <c r="O159" s="184"/>
      <c r="P159" s="185"/>
    </row>
    <row r="160" spans="1:16" ht="15.75" customHeight="1" x14ac:dyDescent="0.25">
      <c r="A160" s="179"/>
      <c r="B160" s="180"/>
      <c r="C160" s="181"/>
      <c r="D160" s="180"/>
      <c r="E160" s="181"/>
      <c r="F160" s="180"/>
      <c r="G160" s="180"/>
      <c r="H160" s="180"/>
      <c r="I160" s="181"/>
      <c r="J160" s="180"/>
      <c r="K160" s="182"/>
      <c r="L160" s="172"/>
      <c r="M160" s="180"/>
      <c r="N160" s="183"/>
      <c r="O160" s="184"/>
      <c r="P160" s="185"/>
    </row>
    <row r="161" spans="1:16" ht="15.75" customHeight="1" x14ac:dyDescent="0.25">
      <c r="A161" s="179"/>
      <c r="B161" s="180"/>
      <c r="C161" s="181"/>
      <c r="D161" s="180"/>
      <c r="E161" s="181"/>
      <c r="F161" s="180"/>
      <c r="G161" s="180"/>
      <c r="H161" s="180"/>
      <c r="I161" s="181"/>
      <c r="J161" s="180"/>
      <c r="K161" s="182"/>
      <c r="L161" s="172"/>
      <c r="M161" s="180"/>
      <c r="N161" s="183"/>
      <c r="O161" s="184"/>
      <c r="P161" s="185"/>
    </row>
    <row r="162" spans="1:16" ht="15.75" customHeight="1" x14ac:dyDescent="0.25">
      <c r="A162" s="179"/>
      <c r="B162" s="180"/>
      <c r="C162" s="181"/>
      <c r="D162" s="180"/>
      <c r="E162" s="181"/>
      <c r="F162" s="180"/>
      <c r="G162" s="180"/>
      <c r="H162" s="180"/>
      <c r="I162" s="181"/>
      <c r="J162" s="180"/>
      <c r="K162" s="182"/>
      <c r="L162" s="172"/>
      <c r="M162" s="180"/>
      <c r="N162" s="183"/>
      <c r="O162" s="184"/>
      <c r="P162" s="185"/>
    </row>
    <row r="163" spans="1:16" ht="15.75" customHeight="1" x14ac:dyDescent="0.25">
      <c r="A163" s="179"/>
      <c r="B163" s="180"/>
      <c r="C163" s="181"/>
      <c r="D163" s="180"/>
      <c r="E163" s="181"/>
      <c r="F163" s="180"/>
      <c r="G163" s="180"/>
      <c r="H163" s="180"/>
      <c r="I163" s="181"/>
      <c r="J163" s="180"/>
      <c r="K163" s="182"/>
      <c r="L163" s="172"/>
      <c r="M163" s="180"/>
      <c r="N163" s="183"/>
      <c r="O163" s="184"/>
      <c r="P163" s="185"/>
    </row>
    <row r="164" spans="1:16" ht="15.75" customHeight="1" x14ac:dyDescent="0.25">
      <c r="A164" s="179"/>
      <c r="B164" s="180"/>
      <c r="C164" s="181"/>
      <c r="D164" s="180"/>
      <c r="E164" s="181"/>
      <c r="F164" s="180"/>
      <c r="G164" s="180"/>
      <c r="H164" s="180"/>
      <c r="I164" s="181"/>
      <c r="J164" s="180"/>
      <c r="K164" s="182"/>
      <c r="L164" s="172"/>
      <c r="M164" s="180"/>
      <c r="N164" s="183"/>
      <c r="O164" s="184"/>
      <c r="P164" s="185"/>
    </row>
    <row r="165" spans="1:16" ht="15.75" customHeight="1" x14ac:dyDescent="0.25">
      <c r="A165" s="179"/>
      <c r="B165" s="180"/>
      <c r="C165" s="181"/>
      <c r="D165" s="180"/>
      <c r="E165" s="181"/>
      <c r="F165" s="180"/>
      <c r="G165" s="180"/>
      <c r="H165" s="180"/>
      <c r="I165" s="181"/>
      <c r="J165" s="180"/>
      <c r="K165" s="182"/>
      <c r="L165" s="172"/>
      <c r="M165" s="180"/>
      <c r="N165" s="183"/>
      <c r="O165" s="184"/>
      <c r="P165" s="185"/>
    </row>
    <row r="166" spans="1:16" ht="15.75" customHeight="1" x14ac:dyDescent="0.25">
      <c r="A166" s="179"/>
      <c r="B166" s="180"/>
      <c r="C166" s="181"/>
      <c r="D166" s="180"/>
      <c r="E166" s="181"/>
      <c r="F166" s="180"/>
      <c r="G166" s="180"/>
      <c r="H166" s="180"/>
      <c r="I166" s="181"/>
      <c r="J166" s="180"/>
      <c r="K166" s="182"/>
      <c r="L166" s="172"/>
      <c r="M166" s="180"/>
      <c r="N166" s="183"/>
      <c r="O166" s="184"/>
      <c r="P166" s="185"/>
    </row>
    <row r="167" spans="1:16" ht="15.75" customHeight="1" x14ac:dyDescent="0.25">
      <c r="A167" s="179"/>
      <c r="B167" s="180"/>
      <c r="C167" s="181"/>
      <c r="D167" s="180"/>
      <c r="E167" s="181"/>
      <c r="F167" s="180"/>
      <c r="G167" s="180"/>
      <c r="H167" s="180"/>
      <c r="I167" s="181"/>
      <c r="J167" s="180"/>
      <c r="K167" s="182"/>
      <c r="L167" s="172"/>
      <c r="M167" s="180"/>
      <c r="N167" s="183"/>
      <c r="O167" s="184"/>
      <c r="P167" s="185"/>
    </row>
    <row r="168" spans="1:16" ht="15.75" customHeight="1" x14ac:dyDescent="0.25">
      <c r="A168" s="179"/>
      <c r="B168" s="180"/>
      <c r="C168" s="181"/>
      <c r="D168" s="180"/>
      <c r="E168" s="181"/>
      <c r="F168" s="180"/>
      <c r="G168" s="180"/>
      <c r="H168" s="180"/>
      <c r="I168" s="181"/>
      <c r="J168" s="180"/>
      <c r="K168" s="182"/>
      <c r="L168" s="172"/>
      <c r="M168" s="180"/>
      <c r="N168" s="183"/>
      <c r="O168" s="184"/>
      <c r="P168" s="185"/>
    </row>
    <row r="169" spans="1:16" ht="15.75" customHeight="1" x14ac:dyDescent="0.25">
      <c r="A169" s="179"/>
      <c r="B169" s="180"/>
      <c r="C169" s="181"/>
      <c r="D169" s="180"/>
      <c r="E169" s="181"/>
      <c r="F169" s="180"/>
      <c r="G169" s="180"/>
      <c r="H169" s="180"/>
      <c r="I169" s="181"/>
      <c r="J169" s="180"/>
      <c r="K169" s="182"/>
      <c r="L169" s="172"/>
      <c r="M169" s="180"/>
      <c r="N169" s="183"/>
      <c r="O169" s="184"/>
      <c r="P169" s="185"/>
    </row>
    <row r="170" spans="1:16" ht="15.75" customHeight="1" x14ac:dyDescent="0.25">
      <c r="A170" s="179"/>
      <c r="B170" s="180"/>
      <c r="C170" s="181"/>
      <c r="D170" s="180"/>
      <c r="E170" s="181"/>
      <c r="F170" s="180"/>
      <c r="G170" s="180"/>
      <c r="H170" s="180"/>
      <c r="I170" s="181"/>
      <c r="J170" s="180"/>
      <c r="K170" s="182"/>
      <c r="L170" s="172"/>
      <c r="M170" s="180"/>
      <c r="N170" s="183"/>
      <c r="O170" s="184"/>
      <c r="P170" s="185"/>
    </row>
    <row r="171" spans="1:16" ht="15.75" customHeight="1" x14ac:dyDescent="0.25">
      <c r="A171" s="179"/>
      <c r="B171" s="180"/>
      <c r="C171" s="181"/>
      <c r="D171" s="180"/>
      <c r="E171" s="181"/>
      <c r="F171" s="180"/>
      <c r="G171" s="180"/>
      <c r="H171" s="180"/>
      <c r="I171" s="181"/>
      <c r="J171" s="180"/>
      <c r="K171" s="182"/>
      <c r="L171" s="172"/>
      <c r="M171" s="180"/>
      <c r="N171" s="183"/>
      <c r="O171" s="184"/>
      <c r="P171" s="185"/>
    </row>
    <row r="172" spans="1:16" ht="15.75" customHeight="1" x14ac:dyDescent="0.25">
      <c r="A172" s="179"/>
      <c r="B172" s="180"/>
      <c r="C172" s="181"/>
      <c r="D172" s="180"/>
      <c r="E172" s="181"/>
      <c r="F172" s="180"/>
      <c r="G172" s="180"/>
      <c r="H172" s="180"/>
      <c r="I172" s="181"/>
      <c r="J172" s="180"/>
      <c r="K172" s="182"/>
      <c r="L172" s="172"/>
      <c r="M172" s="180"/>
      <c r="N172" s="183"/>
      <c r="O172" s="184"/>
      <c r="P172" s="185"/>
    </row>
    <row r="173" spans="1:16" ht="15.75" customHeight="1" x14ac:dyDescent="0.25">
      <c r="A173" s="179"/>
      <c r="B173" s="186"/>
      <c r="C173" s="187"/>
      <c r="D173" s="188"/>
      <c r="E173" s="187"/>
      <c r="F173" s="189"/>
      <c r="G173" s="189"/>
      <c r="H173" s="188"/>
      <c r="I173" s="187"/>
      <c r="J173" s="180"/>
      <c r="K173" s="182"/>
      <c r="L173" s="172"/>
      <c r="M173" s="180"/>
      <c r="N173" s="183"/>
      <c r="O173" s="184"/>
      <c r="P173" s="185"/>
    </row>
    <row r="174" spans="1:16" ht="15.75" customHeight="1" x14ac:dyDescent="0.25">
      <c r="A174" s="179"/>
      <c r="B174" s="186"/>
      <c r="C174" s="187"/>
      <c r="D174" s="188"/>
      <c r="E174" s="187"/>
      <c r="F174" s="189"/>
      <c r="G174" s="189"/>
      <c r="H174" s="188"/>
      <c r="I174" s="187"/>
      <c r="J174" s="180"/>
      <c r="K174" s="182"/>
      <c r="L174" s="172"/>
      <c r="M174" s="180"/>
      <c r="N174" s="183"/>
      <c r="O174" s="184"/>
      <c r="P174" s="185"/>
    </row>
    <row r="175" spans="1:16" ht="15.75" customHeight="1" x14ac:dyDescent="0.25">
      <c r="A175" s="179"/>
      <c r="B175" s="186"/>
      <c r="C175" s="187"/>
      <c r="D175" s="188"/>
      <c r="E175" s="187"/>
      <c r="F175" s="189"/>
      <c r="G175" s="189"/>
      <c r="H175" s="188"/>
      <c r="I175" s="187"/>
      <c r="J175" s="180"/>
      <c r="K175" s="182"/>
      <c r="L175" s="172"/>
      <c r="M175" s="180"/>
      <c r="N175" s="183"/>
      <c r="O175" s="184"/>
      <c r="P175" s="185"/>
    </row>
    <row r="176" spans="1:16" ht="15.75" customHeight="1" x14ac:dyDescent="0.25">
      <c r="A176" s="179"/>
      <c r="B176" s="186"/>
      <c r="C176" s="187"/>
      <c r="D176" s="188"/>
      <c r="E176" s="187"/>
      <c r="F176" s="189"/>
      <c r="G176" s="189"/>
      <c r="H176" s="188"/>
      <c r="I176" s="187"/>
      <c r="J176" s="180"/>
      <c r="K176" s="182"/>
      <c r="L176" s="172"/>
      <c r="M176" s="180"/>
      <c r="N176" s="183"/>
      <c r="O176" s="184"/>
      <c r="P176" s="185"/>
    </row>
    <row r="177" spans="1:16" ht="15.75" customHeight="1" x14ac:dyDescent="0.25">
      <c r="A177" s="179"/>
      <c r="B177" s="186"/>
      <c r="C177" s="187"/>
      <c r="D177" s="188"/>
      <c r="E177" s="187"/>
      <c r="F177" s="189"/>
      <c r="G177" s="189"/>
      <c r="H177" s="188"/>
      <c r="I177" s="187"/>
      <c r="J177" s="180"/>
      <c r="K177" s="182"/>
      <c r="L177" s="172"/>
      <c r="M177" s="180"/>
      <c r="N177" s="183"/>
      <c r="O177" s="184"/>
      <c r="P177" s="185"/>
    </row>
    <row r="178" spans="1:16" ht="15.75" customHeight="1" x14ac:dyDescent="0.25">
      <c r="A178" s="179"/>
      <c r="B178" s="186"/>
      <c r="C178" s="187"/>
      <c r="D178" s="188"/>
      <c r="E178" s="187"/>
      <c r="F178" s="189"/>
      <c r="G178" s="189"/>
      <c r="H178" s="188"/>
      <c r="I178" s="187"/>
      <c r="J178" s="180"/>
      <c r="K178" s="182"/>
      <c r="L178" s="172"/>
      <c r="M178" s="180"/>
      <c r="N178" s="183"/>
      <c r="O178" s="184"/>
      <c r="P178" s="185"/>
    </row>
    <row r="179" spans="1:16" ht="15.75" customHeight="1" x14ac:dyDescent="0.25">
      <c r="A179" s="179"/>
      <c r="B179" s="186"/>
      <c r="C179" s="187"/>
      <c r="D179" s="188"/>
      <c r="E179" s="187"/>
      <c r="F179" s="189"/>
      <c r="G179" s="189"/>
      <c r="H179" s="188"/>
      <c r="I179" s="187"/>
      <c r="J179" s="180"/>
      <c r="K179" s="182"/>
      <c r="L179" s="172"/>
      <c r="M179" s="180"/>
      <c r="N179" s="183"/>
      <c r="O179" s="184"/>
      <c r="P179" s="185"/>
    </row>
    <row r="180" spans="1:16" ht="15.75" customHeight="1" x14ac:dyDescent="0.25">
      <c r="A180" s="179"/>
      <c r="B180" s="186"/>
      <c r="C180" s="187"/>
      <c r="D180" s="188"/>
      <c r="E180" s="187"/>
      <c r="F180" s="189"/>
      <c r="G180" s="189"/>
      <c r="H180" s="188"/>
      <c r="I180" s="187"/>
      <c r="J180" s="180"/>
      <c r="K180" s="182"/>
      <c r="L180" s="172"/>
      <c r="M180" s="180"/>
      <c r="N180" s="183"/>
      <c r="O180" s="184"/>
      <c r="P180" s="185"/>
    </row>
    <row r="181" spans="1:16" ht="15.75" customHeight="1" x14ac:dyDescent="0.25">
      <c r="A181" s="179"/>
      <c r="B181" s="186"/>
      <c r="C181" s="187"/>
      <c r="D181" s="188"/>
      <c r="E181" s="187"/>
      <c r="F181" s="189"/>
      <c r="G181" s="189"/>
      <c r="H181" s="188"/>
      <c r="I181" s="187"/>
      <c r="J181" s="180"/>
      <c r="K181" s="182"/>
      <c r="L181" s="172"/>
      <c r="M181" s="180"/>
      <c r="N181" s="183"/>
      <c r="O181" s="184"/>
      <c r="P181" s="185"/>
    </row>
    <row r="182" spans="1:16" ht="15.75" customHeight="1" x14ac:dyDescent="0.25">
      <c r="A182" s="179"/>
      <c r="B182" s="186"/>
      <c r="C182" s="187"/>
      <c r="D182" s="188"/>
      <c r="E182" s="187"/>
      <c r="F182" s="189"/>
      <c r="G182" s="189"/>
      <c r="H182" s="188"/>
      <c r="I182" s="187"/>
      <c r="J182" s="180"/>
      <c r="K182" s="182"/>
      <c r="L182" s="172"/>
      <c r="M182" s="180"/>
      <c r="N182" s="183"/>
      <c r="O182" s="184"/>
      <c r="P182" s="185"/>
    </row>
    <row r="183" spans="1:16" ht="15.75" customHeight="1" x14ac:dyDescent="0.25">
      <c r="A183" s="179"/>
      <c r="B183" s="186"/>
      <c r="C183" s="187"/>
      <c r="D183" s="188"/>
      <c r="E183" s="187"/>
      <c r="F183" s="189"/>
      <c r="G183" s="189"/>
      <c r="H183" s="188"/>
      <c r="I183" s="187"/>
      <c r="J183" s="180"/>
      <c r="K183" s="182"/>
      <c r="L183" s="172"/>
      <c r="M183" s="180"/>
      <c r="N183" s="183"/>
      <c r="O183" s="184"/>
      <c r="P183" s="185"/>
    </row>
    <row r="184" spans="1:16" ht="15.75" customHeight="1" x14ac:dyDescent="0.25">
      <c r="A184" s="179"/>
      <c r="B184" s="186"/>
      <c r="C184" s="187"/>
      <c r="D184" s="188"/>
      <c r="E184" s="187"/>
      <c r="F184" s="189"/>
      <c r="G184" s="189"/>
      <c r="H184" s="188"/>
      <c r="I184" s="187"/>
      <c r="J184" s="180"/>
      <c r="K184" s="182"/>
      <c r="L184" s="172"/>
      <c r="M184" s="180"/>
      <c r="N184" s="183"/>
      <c r="O184" s="184"/>
      <c r="P184" s="185"/>
    </row>
    <row r="185" spans="1:16" ht="15.75" customHeight="1" x14ac:dyDescent="0.25">
      <c r="A185" s="179"/>
      <c r="B185" s="186"/>
      <c r="C185" s="187"/>
      <c r="D185" s="188"/>
      <c r="E185" s="187"/>
      <c r="F185" s="189"/>
      <c r="G185" s="189"/>
      <c r="H185" s="188"/>
      <c r="I185" s="187"/>
      <c r="J185" s="180"/>
      <c r="K185" s="182"/>
      <c r="L185" s="172"/>
      <c r="M185" s="180"/>
      <c r="N185" s="183"/>
      <c r="O185" s="184"/>
      <c r="P185" s="185"/>
    </row>
    <row r="186" spans="1:16" ht="15.75" customHeight="1" x14ac:dyDescent="0.25">
      <c r="A186" s="179"/>
      <c r="B186" s="186"/>
      <c r="C186" s="187"/>
      <c r="D186" s="188"/>
      <c r="E186" s="187"/>
      <c r="F186" s="189"/>
      <c r="G186" s="189"/>
      <c r="H186" s="188"/>
      <c r="I186" s="187"/>
      <c r="J186" s="180"/>
      <c r="K186" s="182"/>
      <c r="L186" s="172"/>
      <c r="M186" s="180"/>
      <c r="N186" s="183"/>
      <c r="O186" s="184"/>
      <c r="P186" s="185"/>
    </row>
    <row r="187" spans="1:16" ht="15.75" customHeight="1" x14ac:dyDescent="0.25">
      <c r="A187" s="179"/>
      <c r="B187" s="186"/>
      <c r="C187" s="187"/>
      <c r="D187" s="188"/>
      <c r="E187" s="187"/>
      <c r="F187" s="189"/>
      <c r="G187" s="189"/>
      <c r="H187" s="188"/>
      <c r="I187" s="187"/>
      <c r="J187" s="180"/>
      <c r="K187" s="182"/>
      <c r="L187" s="172"/>
      <c r="M187" s="180"/>
      <c r="N187" s="183"/>
      <c r="O187" s="184"/>
      <c r="P187" s="185"/>
    </row>
    <row r="188" spans="1:16" ht="15.75" customHeight="1" x14ac:dyDescent="0.25">
      <c r="A188" s="179"/>
      <c r="B188" s="186"/>
      <c r="C188" s="187"/>
      <c r="D188" s="188"/>
      <c r="E188" s="187"/>
      <c r="F188" s="189"/>
      <c r="G188" s="189"/>
      <c r="H188" s="188"/>
      <c r="I188" s="187"/>
      <c r="J188" s="180"/>
      <c r="K188" s="182"/>
      <c r="L188" s="172"/>
      <c r="M188" s="180"/>
      <c r="N188" s="183"/>
      <c r="O188" s="184"/>
      <c r="P188" s="185"/>
    </row>
    <row r="189" spans="1:16" ht="15.75" customHeight="1" x14ac:dyDescent="0.25">
      <c r="A189" s="179"/>
      <c r="B189" s="186"/>
      <c r="C189" s="187"/>
      <c r="D189" s="188"/>
      <c r="E189" s="187"/>
      <c r="F189" s="189"/>
      <c r="G189" s="189"/>
      <c r="H189" s="188"/>
      <c r="I189" s="187"/>
      <c r="J189" s="180"/>
      <c r="K189" s="182"/>
      <c r="L189" s="172"/>
      <c r="M189" s="180"/>
      <c r="N189" s="183"/>
      <c r="O189" s="184"/>
      <c r="P189" s="185"/>
    </row>
    <row r="190" spans="1:16" ht="15.75" customHeight="1" x14ac:dyDescent="0.25">
      <c r="A190" s="179"/>
      <c r="B190" s="186"/>
      <c r="C190" s="187"/>
      <c r="D190" s="188"/>
      <c r="E190" s="187"/>
      <c r="F190" s="189"/>
      <c r="G190" s="189"/>
      <c r="H190" s="188"/>
      <c r="I190" s="187"/>
      <c r="J190" s="180"/>
      <c r="K190" s="182"/>
      <c r="L190" s="172"/>
      <c r="M190" s="180"/>
      <c r="N190" s="183"/>
      <c r="O190" s="184"/>
      <c r="P190" s="185"/>
    </row>
    <row r="191" spans="1:16" ht="15.75" customHeight="1" x14ac:dyDescent="0.25">
      <c r="A191" s="179"/>
      <c r="B191" s="186"/>
      <c r="C191" s="187"/>
      <c r="D191" s="188"/>
      <c r="E191" s="187"/>
      <c r="F191" s="189"/>
      <c r="G191" s="189"/>
      <c r="H191" s="188"/>
      <c r="I191" s="187"/>
      <c r="J191" s="180"/>
      <c r="K191" s="182"/>
      <c r="L191" s="172"/>
      <c r="M191" s="180"/>
      <c r="N191" s="183"/>
      <c r="O191" s="184"/>
      <c r="P191" s="185"/>
    </row>
    <row r="192" spans="1:16" ht="15.75" customHeight="1" x14ac:dyDescent="0.25">
      <c r="A192" s="179"/>
      <c r="B192" s="186"/>
      <c r="C192" s="187"/>
      <c r="D192" s="188"/>
      <c r="E192" s="187"/>
      <c r="F192" s="189"/>
      <c r="G192" s="189"/>
      <c r="H192" s="188"/>
      <c r="I192" s="187"/>
      <c r="J192" s="180"/>
      <c r="K192" s="182"/>
      <c r="L192" s="172"/>
      <c r="M192" s="180"/>
      <c r="N192" s="183"/>
      <c r="O192" s="184"/>
      <c r="P192" s="185"/>
    </row>
    <row r="193" spans="1:16" ht="15.75" customHeight="1" x14ac:dyDescent="0.25">
      <c r="A193" s="179"/>
      <c r="B193" s="186"/>
      <c r="C193" s="187"/>
      <c r="D193" s="188"/>
      <c r="E193" s="187"/>
      <c r="F193" s="189"/>
      <c r="G193" s="189"/>
      <c r="H193" s="188"/>
      <c r="I193" s="187"/>
      <c r="J193" s="180"/>
      <c r="K193" s="182"/>
      <c r="L193" s="172"/>
      <c r="M193" s="180"/>
      <c r="N193" s="183"/>
      <c r="O193" s="184"/>
      <c r="P193" s="185"/>
    </row>
    <row r="194" spans="1:16" ht="15.75" customHeight="1" x14ac:dyDescent="0.25">
      <c r="A194" s="179"/>
      <c r="B194" s="186"/>
      <c r="C194" s="187"/>
      <c r="D194" s="188"/>
      <c r="E194" s="187"/>
      <c r="F194" s="189"/>
      <c r="G194" s="189"/>
      <c r="H194" s="188"/>
      <c r="I194" s="187"/>
      <c r="J194" s="180"/>
      <c r="K194" s="182"/>
      <c r="L194" s="172"/>
      <c r="M194" s="180"/>
      <c r="N194" s="183"/>
      <c r="O194" s="184"/>
      <c r="P194" s="185"/>
    </row>
    <row r="195" spans="1:16" ht="15.75" customHeight="1" x14ac:dyDescent="0.25">
      <c r="A195" s="179"/>
      <c r="B195" s="186"/>
      <c r="C195" s="187"/>
      <c r="D195" s="188"/>
      <c r="E195" s="187"/>
      <c r="F195" s="189"/>
      <c r="G195" s="189"/>
      <c r="H195" s="188"/>
      <c r="I195" s="187"/>
      <c r="J195" s="180"/>
      <c r="K195" s="182"/>
      <c r="L195" s="172"/>
      <c r="M195" s="180"/>
      <c r="N195" s="183"/>
      <c r="O195" s="184"/>
      <c r="P195" s="185"/>
    </row>
    <row r="196" spans="1:16" ht="15.75" customHeight="1" x14ac:dyDescent="0.25">
      <c r="A196" s="179"/>
      <c r="B196" s="186"/>
      <c r="C196" s="187"/>
      <c r="D196" s="188"/>
      <c r="E196" s="187"/>
      <c r="F196" s="189"/>
      <c r="G196" s="189"/>
      <c r="H196" s="188"/>
      <c r="I196" s="187"/>
      <c r="J196" s="180"/>
      <c r="K196" s="182"/>
      <c r="L196" s="172"/>
      <c r="M196" s="180"/>
      <c r="N196" s="183"/>
      <c r="O196" s="184"/>
      <c r="P196" s="185"/>
    </row>
    <row r="197" spans="1:16" ht="15.75" customHeight="1" x14ac:dyDescent="0.25">
      <c r="A197" s="179"/>
      <c r="B197" s="186"/>
      <c r="C197" s="187"/>
      <c r="D197" s="188"/>
      <c r="E197" s="187"/>
      <c r="F197" s="189"/>
      <c r="G197" s="189"/>
      <c r="H197" s="188"/>
      <c r="I197" s="187"/>
      <c r="J197" s="180"/>
      <c r="K197" s="182"/>
      <c r="L197" s="172"/>
      <c r="M197" s="180"/>
      <c r="N197" s="183"/>
      <c r="O197" s="184"/>
      <c r="P197" s="185"/>
    </row>
    <row r="198" spans="1:16" ht="15.75" customHeight="1" x14ac:dyDescent="0.25">
      <c r="A198" s="179"/>
      <c r="B198" s="186"/>
      <c r="C198" s="187"/>
      <c r="D198" s="188"/>
      <c r="E198" s="187"/>
      <c r="F198" s="189"/>
      <c r="G198" s="189"/>
      <c r="H198" s="188"/>
      <c r="I198" s="187"/>
      <c r="J198" s="180"/>
      <c r="K198" s="182"/>
      <c r="L198" s="172"/>
      <c r="M198" s="180"/>
      <c r="N198" s="183"/>
      <c r="O198" s="184"/>
      <c r="P198" s="185"/>
    </row>
    <row r="199" spans="1:16" ht="15.75" customHeight="1" x14ac:dyDescent="0.25">
      <c r="A199" s="179"/>
      <c r="B199" s="186"/>
      <c r="C199" s="187"/>
      <c r="D199" s="188"/>
      <c r="E199" s="187"/>
      <c r="F199" s="189"/>
      <c r="G199" s="189"/>
      <c r="H199" s="188"/>
      <c r="I199" s="187"/>
      <c r="J199" s="180"/>
      <c r="K199" s="182"/>
      <c r="L199" s="172"/>
      <c r="M199" s="180"/>
      <c r="N199" s="183"/>
      <c r="O199" s="184"/>
      <c r="P199" s="185"/>
    </row>
    <row r="200" spans="1:16" ht="15.75" customHeight="1" x14ac:dyDescent="0.25">
      <c r="A200" s="179"/>
      <c r="B200" s="186"/>
      <c r="C200" s="187"/>
      <c r="D200" s="188"/>
      <c r="E200" s="187"/>
      <c r="F200" s="189"/>
      <c r="G200" s="189"/>
      <c r="H200" s="188"/>
      <c r="I200" s="187"/>
      <c r="J200" s="180"/>
      <c r="K200" s="182"/>
      <c r="L200" s="172"/>
      <c r="M200" s="180"/>
      <c r="N200" s="183"/>
      <c r="O200" s="184"/>
      <c r="P200" s="185"/>
    </row>
    <row r="201" spans="1:16" ht="15.75" customHeight="1" x14ac:dyDescent="0.25">
      <c r="A201" s="179"/>
      <c r="B201" s="186"/>
      <c r="C201" s="187"/>
      <c r="D201" s="188"/>
      <c r="E201" s="187"/>
      <c r="F201" s="189"/>
      <c r="G201" s="189"/>
      <c r="H201" s="188"/>
      <c r="I201" s="187"/>
      <c r="J201" s="180"/>
      <c r="K201" s="182"/>
      <c r="L201" s="172"/>
      <c r="M201" s="180"/>
      <c r="N201" s="183"/>
      <c r="O201" s="184"/>
      <c r="P201" s="185"/>
    </row>
    <row r="202" spans="1:16" ht="15.75" customHeight="1" x14ac:dyDescent="0.25">
      <c r="A202" s="179"/>
      <c r="B202" s="186"/>
      <c r="C202" s="187"/>
      <c r="D202" s="188"/>
      <c r="E202" s="187"/>
      <c r="F202" s="189"/>
      <c r="G202" s="189"/>
      <c r="H202" s="188"/>
      <c r="I202" s="187"/>
      <c r="J202" s="180"/>
      <c r="K202" s="182"/>
      <c r="L202" s="172"/>
      <c r="M202" s="180"/>
      <c r="N202" s="183"/>
      <c r="O202" s="184"/>
      <c r="P202" s="185"/>
    </row>
    <row r="203" spans="1:16" ht="15.75" customHeight="1" x14ac:dyDescent="0.25">
      <c r="A203" s="179"/>
      <c r="B203" s="186"/>
      <c r="C203" s="187"/>
      <c r="D203" s="188"/>
      <c r="E203" s="187"/>
      <c r="F203" s="189"/>
      <c r="G203" s="189"/>
      <c r="H203" s="188"/>
      <c r="I203" s="187"/>
      <c r="J203" s="180"/>
      <c r="K203" s="182"/>
      <c r="L203" s="172"/>
      <c r="M203" s="180"/>
      <c r="N203" s="183"/>
      <c r="O203" s="184"/>
      <c r="P203" s="185"/>
    </row>
    <row r="204" spans="1:16" ht="15.75" customHeight="1" x14ac:dyDescent="0.25">
      <c r="A204" s="179"/>
      <c r="B204" s="186"/>
      <c r="C204" s="187"/>
      <c r="D204" s="188"/>
      <c r="E204" s="187"/>
      <c r="F204" s="189"/>
      <c r="G204" s="189"/>
      <c r="H204" s="188"/>
      <c r="I204" s="187"/>
      <c r="J204" s="180"/>
      <c r="K204" s="182"/>
      <c r="L204" s="172"/>
      <c r="M204" s="180"/>
      <c r="N204" s="183"/>
      <c r="O204" s="184"/>
      <c r="P204" s="185"/>
    </row>
    <row r="205" spans="1:16" ht="15.75" customHeight="1" x14ac:dyDescent="0.25">
      <c r="A205" s="179"/>
      <c r="B205" s="186"/>
      <c r="C205" s="187"/>
      <c r="D205" s="188"/>
      <c r="E205" s="187"/>
      <c r="F205" s="189"/>
      <c r="G205" s="189"/>
      <c r="H205" s="188"/>
      <c r="I205" s="187"/>
      <c r="J205" s="180"/>
      <c r="K205" s="182"/>
      <c r="L205" s="172"/>
      <c r="M205" s="180"/>
      <c r="N205" s="183"/>
      <c r="O205" s="184"/>
      <c r="P205" s="185"/>
    </row>
    <row r="206" spans="1:16" ht="15.75" customHeight="1" x14ac:dyDescent="0.25">
      <c r="A206" s="179"/>
      <c r="B206" s="186"/>
      <c r="C206" s="187"/>
      <c r="D206" s="188"/>
      <c r="E206" s="187"/>
      <c r="F206" s="189"/>
      <c r="G206" s="189"/>
      <c r="H206" s="188"/>
      <c r="I206" s="187"/>
      <c r="J206" s="180"/>
      <c r="K206" s="182"/>
      <c r="L206" s="172"/>
      <c r="M206" s="180"/>
      <c r="N206" s="183"/>
      <c r="O206" s="184"/>
      <c r="P206" s="185"/>
    </row>
    <row r="207" spans="1:16" ht="15.75" customHeight="1" x14ac:dyDescent="0.25">
      <c r="A207" s="179"/>
      <c r="B207" s="186"/>
      <c r="C207" s="187"/>
      <c r="D207" s="188"/>
      <c r="E207" s="187"/>
      <c r="F207" s="189"/>
      <c r="G207" s="189"/>
      <c r="H207" s="188"/>
      <c r="I207" s="187"/>
      <c r="J207" s="180"/>
      <c r="K207" s="182"/>
      <c r="L207" s="172"/>
      <c r="M207" s="180"/>
      <c r="N207" s="183"/>
      <c r="O207" s="184"/>
      <c r="P207" s="185"/>
    </row>
    <row r="208" spans="1:16" ht="15.75" customHeight="1" x14ac:dyDescent="0.25">
      <c r="A208" s="179"/>
      <c r="B208" s="186"/>
      <c r="C208" s="187"/>
      <c r="D208" s="188"/>
      <c r="E208" s="187"/>
      <c r="F208" s="189"/>
      <c r="G208" s="189"/>
      <c r="H208" s="188"/>
      <c r="I208" s="187"/>
      <c r="J208" s="180"/>
      <c r="K208" s="182"/>
      <c r="L208" s="172"/>
      <c r="M208" s="180"/>
      <c r="N208" s="183"/>
      <c r="O208" s="184"/>
      <c r="P208" s="185"/>
    </row>
    <row r="209" spans="1:16" ht="15.75" customHeight="1" x14ac:dyDescent="0.25">
      <c r="A209" s="179"/>
      <c r="B209" s="186"/>
      <c r="C209" s="187"/>
      <c r="D209" s="188"/>
      <c r="E209" s="187"/>
      <c r="F209" s="189"/>
      <c r="G209" s="189"/>
      <c r="H209" s="188"/>
      <c r="I209" s="187"/>
      <c r="J209" s="180"/>
      <c r="K209" s="182"/>
      <c r="L209" s="172"/>
      <c r="M209" s="180"/>
      <c r="N209" s="183"/>
      <c r="O209" s="184"/>
      <c r="P209" s="185"/>
    </row>
    <row r="210" spans="1:16" ht="15.75" customHeight="1" x14ac:dyDescent="0.25">
      <c r="A210" s="179"/>
      <c r="B210" s="186"/>
      <c r="C210" s="187"/>
      <c r="D210" s="188"/>
      <c r="E210" s="187"/>
      <c r="F210" s="189"/>
      <c r="G210" s="189"/>
      <c r="H210" s="188"/>
      <c r="I210" s="187"/>
      <c r="J210" s="180"/>
      <c r="K210" s="182"/>
      <c r="L210" s="172"/>
      <c r="M210" s="180"/>
      <c r="N210" s="183"/>
      <c r="O210" s="184"/>
      <c r="P210" s="185"/>
    </row>
    <row r="211" spans="1:16" ht="15.75" customHeight="1" x14ac:dyDescent="0.25">
      <c r="A211" s="179"/>
      <c r="B211" s="186"/>
      <c r="C211" s="187"/>
      <c r="D211" s="188"/>
      <c r="E211" s="187"/>
      <c r="F211" s="189"/>
      <c r="G211" s="189"/>
      <c r="H211" s="188"/>
      <c r="I211" s="187"/>
      <c r="J211" s="180"/>
      <c r="K211" s="182"/>
      <c r="L211" s="172"/>
      <c r="M211" s="180"/>
      <c r="N211" s="183"/>
      <c r="O211" s="184"/>
      <c r="P211" s="185"/>
    </row>
    <row r="212" spans="1:16" ht="15.75" customHeight="1" x14ac:dyDescent="0.25">
      <c r="A212" s="179"/>
      <c r="B212" s="186"/>
      <c r="C212" s="187"/>
      <c r="D212" s="188"/>
      <c r="E212" s="187"/>
      <c r="F212" s="189"/>
      <c r="G212" s="189"/>
      <c r="H212" s="188"/>
      <c r="I212" s="187"/>
      <c r="J212" s="180"/>
      <c r="K212" s="182"/>
      <c r="L212" s="172"/>
      <c r="M212" s="180"/>
      <c r="N212" s="183"/>
      <c r="O212" s="184"/>
      <c r="P212" s="185"/>
    </row>
    <row r="213" spans="1:16" ht="15.75" customHeight="1" x14ac:dyDescent="0.25">
      <c r="A213" s="179"/>
      <c r="B213" s="186"/>
      <c r="C213" s="187"/>
      <c r="D213" s="188"/>
      <c r="E213" s="187"/>
      <c r="F213" s="189"/>
      <c r="G213" s="189"/>
      <c r="H213" s="188"/>
      <c r="I213" s="187"/>
      <c r="J213" s="180"/>
      <c r="K213" s="182"/>
      <c r="L213" s="172"/>
      <c r="M213" s="180"/>
      <c r="N213" s="183"/>
      <c r="O213" s="184"/>
      <c r="P213" s="185"/>
    </row>
    <row r="214" spans="1:16" ht="15.75" customHeight="1" x14ac:dyDescent="0.25">
      <c r="A214" s="179"/>
      <c r="B214" s="186"/>
      <c r="C214" s="187"/>
      <c r="D214" s="188"/>
      <c r="E214" s="187"/>
      <c r="F214" s="189"/>
      <c r="G214" s="189"/>
      <c r="H214" s="188"/>
      <c r="I214" s="187"/>
      <c r="J214" s="180"/>
      <c r="K214" s="182"/>
      <c r="L214" s="172"/>
      <c r="M214" s="180"/>
      <c r="N214" s="183"/>
      <c r="O214" s="184"/>
      <c r="P214" s="185"/>
    </row>
    <row r="215" spans="1:16" ht="15.75" customHeight="1" x14ac:dyDescent="0.25">
      <c r="A215" s="179"/>
      <c r="B215" s="186"/>
      <c r="C215" s="187"/>
      <c r="D215" s="188"/>
      <c r="E215" s="187"/>
      <c r="F215" s="189"/>
      <c r="G215" s="189"/>
      <c r="H215" s="188"/>
      <c r="I215" s="187"/>
      <c r="J215" s="180"/>
      <c r="K215" s="182"/>
      <c r="L215" s="172"/>
      <c r="M215" s="180"/>
      <c r="N215" s="183"/>
      <c r="O215" s="184"/>
      <c r="P215" s="185"/>
    </row>
    <row r="216" spans="1:16" ht="15.75" customHeight="1" x14ac:dyDescent="0.25">
      <c r="A216" s="179"/>
      <c r="B216" s="186"/>
      <c r="C216" s="187"/>
      <c r="D216" s="188"/>
      <c r="E216" s="187"/>
      <c r="F216" s="189"/>
      <c r="G216" s="189"/>
      <c r="H216" s="188"/>
      <c r="I216" s="187"/>
      <c r="J216" s="180"/>
      <c r="K216" s="182"/>
      <c r="L216" s="172"/>
      <c r="M216" s="180"/>
      <c r="N216" s="183"/>
      <c r="O216" s="184"/>
      <c r="P216" s="185"/>
    </row>
    <row r="217" spans="1:16" ht="15.75" customHeight="1" x14ac:dyDescent="0.25">
      <c r="A217" s="179"/>
      <c r="B217" s="186"/>
      <c r="C217" s="187"/>
      <c r="D217" s="188"/>
      <c r="E217" s="187"/>
      <c r="F217" s="189"/>
      <c r="G217" s="189"/>
      <c r="H217" s="188"/>
      <c r="I217" s="187"/>
      <c r="J217" s="180"/>
      <c r="K217" s="182"/>
      <c r="L217" s="172"/>
      <c r="M217" s="180"/>
      <c r="N217" s="183"/>
      <c r="O217" s="184"/>
      <c r="P217" s="185"/>
    </row>
    <row r="218" spans="1:16" ht="15.75" customHeight="1" x14ac:dyDescent="0.25">
      <c r="A218" s="179"/>
      <c r="B218" s="186"/>
      <c r="C218" s="187"/>
      <c r="D218" s="188"/>
      <c r="E218" s="187"/>
      <c r="F218" s="189"/>
      <c r="G218" s="189"/>
      <c r="H218" s="188"/>
      <c r="I218" s="187"/>
      <c r="J218" s="180"/>
      <c r="K218" s="182"/>
      <c r="L218" s="172"/>
      <c r="M218" s="180"/>
      <c r="N218" s="183"/>
      <c r="O218" s="184"/>
      <c r="P218" s="185"/>
    </row>
    <row r="219" spans="1:16" ht="15.75" customHeight="1" x14ac:dyDescent="0.25">
      <c r="A219" s="179"/>
      <c r="B219" s="186"/>
      <c r="C219" s="187"/>
      <c r="D219" s="188"/>
      <c r="E219" s="187"/>
      <c r="F219" s="189"/>
      <c r="G219" s="189"/>
      <c r="H219" s="188"/>
      <c r="I219" s="187"/>
      <c r="J219" s="180"/>
      <c r="K219" s="182"/>
      <c r="L219" s="172"/>
      <c r="M219" s="180"/>
      <c r="N219" s="183"/>
      <c r="O219" s="184"/>
      <c r="P219" s="185"/>
    </row>
    <row r="220" spans="1:16" ht="15.75" customHeight="1" x14ac:dyDescent="0.25">
      <c r="A220" s="179"/>
      <c r="B220" s="186"/>
      <c r="C220" s="187"/>
      <c r="D220" s="188"/>
      <c r="E220" s="187"/>
      <c r="F220" s="189"/>
      <c r="G220" s="189"/>
      <c r="H220" s="188"/>
      <c r="I220" s="187"/>
      <c r="J220" s="180"/>
      <c r="K220" s="182"/>
      <c r="L220" s="172"/>
      <c r="M220" s="180"/>
      <c r="N220" s="183"/>
      <c r="O220" s="184"/>
      <c r="P220" s="185"/>
    </row>
    <row r="221" spans="1:16" ht="15.75" customHeight="1" x14ac:dyDescent="0.25">
      <c r="A221" s="179"/>
      <c r="B221" s="186"/>
      <c r="C221" s="187"/>
      <c r="D221" s="188"/>
      <c r="E221" s="187"/>
      <c r="F221" s="189"/>
      <c r="G221" s="189"/>
      <c r="H221" s="188"/>
      <c r="I221" s="187"/>
      <c r="J221" s="180"/>
      <c r="K221" s="182"/>
      <c r="L221" s="172"/>
      <c r="M221" s="180"/>
      <c r="N221" s="183"/>
      <c r="O221" s="184"/>
      <c r="P221" s="185"/>
    </row>
    <row r="222" spans="1:16" ht="15.75" customHeight="1" x14ac:dyDescent="0.25">
      <c r="A222" s="179"/>
      <c r="B222" s="186"/>
      <c r="C222" s="187"/>
      <c r="D222" s="188"/>
      <c r="E222" s="187"/>
      <c r="F222" s="189"/>
      <c r="G222" s="189"/>
      <c r="H222" s="188"/>
      <c r="I222" s="187"/>
      <c r="J222" s="180"/>
      <c r="K222" s="182"/>
      <c r="L222" s="172"/>
      <c r="M222" s="180"/>
      <c r="N222" s="183"/>
      <c r="O222" s="184"/>
      <c r="P222" s="185"/>
    </row>
    <row r="223" spans="1:16" ht="15.75" customHeight="1" x14ac:dyDescent="0.25">
      <c r="A223" s="179"/>
      <c r="B223" s="186"/>
      <c r="C223" s="187"/>
      <c r="D223" s="188"/>
      <c r="E223" s="187"/>
      <c r="F223" s="189"/>
      <c r="G223" s="189"/>
      <c r="H223" s="188"/>
      <c r="I223" s="187"/>
      <c r="J223" s="180"/>
      <c r="K223" s="182"/>
      <c r="L223" s="172"/>
      <c r="M223" s="180"/>
      <c r="N223" s="183"/>
      <c r="O223" s="184"/>
      <c r="P223" s="185"/>
    </row>
    <row r="224" spans="1:16" ht="15.75" customHeight="1" x14ac:dyDescent="0.25">
      <c r="A224" s="179"/>
      <c r="B224" s="186"/>
      <c r="C224" s="187"/>
      <c r="D224" s="188"/>
      <c r="E224" s="187"/>
      <c r="F224" s="189"/>
      <c r="G224" s="189"/>
      <c r="H224" s="188"/>
      <c r="I224" s="187"/>
      <c r="J224" s="180"/>
      <c r="K224" s="182"/>
      <c r="L224" s="172"/>
      <c r="M224" s="180"/>
      <c r="N224" s="183"/>
      <c r="O224" s="184"/>
      <c r="P224" s="185"/>
    </row>
    <row r="225" spans="1:16" ht="15.75" customHeight="1" x14ac:dyDescent="0.25">
      <c r="A225" s="179"/>
      <c r="B225" s="186"/>
      <c r="C225" s="187"/>
      <c r="D225" s="188"/>
      <c r="E225" s="187"/>
      <c r="F225" s="189"/>
      <c r="G225" s="189"/>
      <c r="H225" s="188"/>
      <c r="I225" s="187"/>
      <c r="J225" s="180"/>
      <c r="K225" s="182"/>
      <c r="L225" s="172"/>
      <c r="M225" s="180"/>
      <c r="N225" s="183"/>
      <c r="O225" s="184"/>
      <c r="P225" s="185"/>
    </row>
    <row r="226" spans="1:16" ht="15.75" customHeight="1" x14ac:dyDescent="0.25">
      <c r="A226" s="179"/>
      <c r="B226" s="186"/>
      <c r="C226" s="187"/>
      <c r="D226" s="188"/>
      <c r="E226" s="187"/>
      <c r="F226" s="189"/>
      <c r="G226" s="189"/>
      <c r="H226" s="188"/>
      <c r="I226" s="187"/>
      <c r="J226" s="180"/>
      <c r="K226" s="182"/>
      <c r="L226" s="172"/>
      <c r="M226" s="180"/>
      <c r="N226" s="183"/>
      <c r="O226" s="184"/>
      <c r="P226" s="185"/>
    </row>
    <row r="227" spans="1:16" ht="15.75" customHeight="1" x14ac:dyDescent="0.25">
      <c r="A227" s="179"/>
      <c r="B227" s="186"/>
      <c r="C227" s="187"/>
      <c r="D227" s="188"/>
      <c r="E227" s="187"/>
      <c r="F227" s="189"/>
      <c r="G227" s="189"/>
      <c r="H227" s="188"/>
      <c r="I227" s="187"/>
      <c r="J227" s="180"/>
      <c r="K227" s="182"/>
      <c r="L227" s="172"/>
      <c r="M227" s="180"/>
      <c r="N227" s="183"/>
      <c r="O227" s="184"/>
      <c r="P227" s="185"/>
    </row>
    <row r="228" spans="1:16" ht="15.75" customHeight="1" x14ac:dyDescent="0.25">
      <c r="A228" s="179"/>
      <c r="B228" s="186"/>
      <c r="C228" s="187"/>
      <c r="D228" s="188"/>
      <c r="E228" s="187"/>
      <c r="F228" s="189"/>
      <c r="G228" s="189"/>
      <c r="H228" s="188"/>
      <c r="I228" s="187"/>
      <c r="J228" s="180"/>
      <c r="K228" s="182"/>
      <c r="L228" s="172"/>
      <c r="M228" s="180"/>
      <c r="N228" s="183"/>
      <c r="O228" s="184"/>
      <c r="P228" s="185"/>
    </row>
    <row r="229" spans="1:16" ht="15.75" customHeight="1" x14ac:dyDescent="0.25">
      <c r="A229" s="179"/>
      <c r="B229" s="186"/>
      <c r="C229" s="187"/>
      <c r="D229" s="188"/>
      <c r="E229" s="187"/>
      <c r="F229" s="189"/>
      <c r="G229" s="189"/>
      <c r="H229" s="188"/>
      <c r="I229" s="187"/>
      <c r="J229" s="180"/>
      <c r="K229" s="182"/>
      <c r="L229" s="172"/>
      <c r="M229" s="180"/>
      <c r="N229" s="183"/>
      <c r="O229" s="184"/>
      <c r="P229" s="185"/>
    </row>
    <row r="230" spans="1:16" ht="15.75" customHeight="1" x14ac:dyDescent="0.25">
      <c r="A230" s="179"/>
      <c r="B230" s="186"/>
      <c r="C230" s="187"/>
      <c r="D230" s="188"/>
      <c r="E230" s="187"/>
      <c r="F230" s="189"/>
      <c r="G230" s="189"/>
      <c r="H230" s="188"/>
      <c r="I230" s="187"/>
      <c r="J230" s="180"/>
      <c r="K230" s="182"/>
      <c r="L230" s="172"/>
      <c r="M230" s="180"/>
      <c r="N230" s="183"/>
      <c r="O230" s="184"/>
      <c r="P230" s="185"/>
    </row>
    <row r="231" spans="1:16" ht="15.75" customHeight="1" x14ac:dyDescent="0.25">
      <c r="A231" s="179"/>
      <c r="B231" s="186"/>
      <c r="C231" s="187"/>
      <c r="D231" s="188"/>
      <c r="E231" s="187"/>
      <c r="F231" s="189"/>
      <c r="G231" s="189"/>
      <c r="H231" s="188"/>
      <c r="I231" s="187"/>
      <c r="J231" s="180"/>
      <c r="K231" s="182"/>
      <c r="L231" s="172"/>
      <c r="M231" s="180"/>
      <c r="N231" s="183"/>
      <c r="O231" s="184"/>
      <c r="P231" s="185"/>
    </row>
    <row r="232" spans="1:16" ht="15.75" customHeight="1" x14ac:dyDescent="0.25">
      <c r="A232" s="179"/>
      <c r="B232" s="186"/>
      <c r="C232" s="187"/>
      <c r="D232" s="188"/>
      <c r="E232" s="187"/>
      <c r="F232" s="189"/>
      <c r="G232" s="189"/>
      <c r="H232" s="188"/>
      <c r="I232" s="187"/>
      <c r="J232" s="180"/>
      <c r="K232" s="182"/>
      <c r="L232" s="172"/>
      <c r="M232" s="180"/>
      <c r="N232" s="183"/>
      <c r="O232" s="184"/>
      <c r="P232" s="185"/>
    </row>
    <row r="233" spans="1:16" ht="15.75" customHeight="1" x14ac:dyDescent="0.25">
      <c r="A233" s="179"/>
      <c r="B233" s="186"/>
      <c r="C233" s="187"/>
      <c r="D233" s="188"/>
      <c r="E233" s="187"/>
      <c r="F233" s="189"/>
      <c r="G233" s="189"/>
      <c r="H233" s="188"/>
      <c r="I233" s="187"/>
      <c r="J233" s="180"/>
      <c r="K233" s="182"/>
      <c r="L233" s="172"/>
      <c r="M233" s="180"/>
      <c r="N233" s="183"/>
      <c r="O233" s="184"/>
      <c r="P233" s="185"/>
    </row>
    <row r="234" spans="1:16" ht="15.75" customHeight="1" x14ac:dyDescent="0.25">
      <c r="A234" s="179"/>
      <c r="B234" s="186"/>
      <c r="C234" s="187"/>
      <c r="D234" s="188"/>
      <c r="E234" s="187"/>
      <c r="F234" s="189"/>
      <c r="G234" s="189"/>
      <c r="H234" s="188"/>
      <c r="I234" s="187"/>
      <c r="J234" s="180"/>
      <c r="K234" s="182"/>
      <c r="L234" s="172"/>
      <c r="M234" s="180"/>
      <c r="N234" s="183"/>
      <c r="O234" s="184"/>
      <c r="P234" s="185"/>
    </row>
    <row r="235" spans="1:16" ht="15.75" customHeight="1" x14ac:dyDescent="0.25">
      <c r="A235" s="179"/>
      <c r="B235" s="186"/>
      <c r="C235" s="187"/>
      <c r="D235" s="188"/>
      <c r="E235" s="187"/>
      <c r="F235" s="189"/>
      <c r="G235" s="189"/>
      <c r="H235" s="188"/>
      <c r="I235" s="187"/>
      <c r="J235" s="180"/>
      <c r="K235" s="182"/>
      <c r="L235" s="172"/>
      <c r="M235" s="180"/>
      <c r="N235" s="183"/>
      <c r="O235" s="184"/>
      <c r="P235" s="185"/>
    </row>
    <row r="236" spans="1:16" ht="15.75" customHeight="1" x14ac:dyDescent="0.25">
      <c r="A236" s="179"/>
      <c r="B236" s="186"/>
      <c r="C236" s="187"/>
      <c r="D236" s="188"/>
      <c r="E236" s="187"/>
      <c r="F236" s="189"/>
      <c r="G236" s="189"/>
      <c r="H236" s="188"/>
      <c r="I236" s="187"/>
      <c r="J236" s="180"/>
      <c r="K236" s="182"/>
      <c r="L236" s="172"/>
      <c r="M236" s="180"/>
      <c r="N236" s="183"/>
      <c r="O236" s="184"/>
      <c r="P236" s="185"/>
    </row>
    <row r="237" spans="1:16" ht="15.75" customHeight="1" x14ac:dyDescent="0.25">
      <c r="A237" s="179"/>
      <c r="B237" s="186"/>
      <c r="C237" s="187"/>
      <c r="D237" s="188"/>
      <c r="E237" s="187"/>
      <c r="F237" s="189"/>
      <c r="G237" s="189"/>
      <c r="H237" s="188"/>
      <c r="I237" s="187"/>
      <c r="J237" s="180"/>
      <c r="K237" s="182"/>
      <c r="L237" s="172"/>
      <c r="M237" s="180"/>
      <c r="N237" s="183"/>
      <c r="O237" s="184"/>
      <c r="P237" s="185"/>
    </row>
    <row r="238" spans="1:16" ht="15.75" customHeight="1" x14ac:dyDescent="0.25">
      <c r="A238" s="179"/>
      <c r="B238" s="186"/>
      <c r="C238" s="187"/>
      <c r="D238" s="188"/>
      <c r="E238" s="187"/>
      <c r="F238" s="189"/>
      <c r="G238" s="189"/>
      <c r="H238" s="188"/>
      <c r="I238" s="187"/>
      <c r="J238" s="180"/>
      <c r="K238" s="182"/>
      <c r="L238" s="172"/>
      <c r="M238" s="180"/>
      <c r="N238" s="183"/>
      <c r="O238" s="184"/>
      <c r="P238" s="185"/>
    </row>
    <row r="239" spans="1:16" ht="15.75" customHeight="1" x14ac:dyDescent="0.25">
      <c r="A239" s="179"/>
      <c r="B239" s="186"/>
      <c r="C239" s="187"/>
      <c r="D239" s="188"/>
      <c r="E239" s="187"/>
      <c r="F239" s="189"/>
      <c r="G239" s="189"/>
      <c r="H239" s="188"/>
      <c r="I239" s="187"/>
      <c r="J239" s="180"/>
      <c r="K239" s="182"/>
      <c r="L239" s="172"/>
      <c r="M239" s="180"/>
      <c r="N239" s="183"/>
      <c r="O239" s="184"/>
      <c r="P239" s="185"/>
    </row>
    <row r="240" spans="1:16" ht="15.75" customHeight="1" x14ac:dyDescent="0.25">
      <c r="A240" s="179"/>
      <c r="B240" s="186"/>
      <c r="C240" s="187"/>
      <c r="D240" s="188"/>
      <c r="E240" s="187"/>
      <c r="F240" s="189"/>
      <c r="G240" s="189"/>
      <c r="H240" s="188"/>
      <c r="I240" s="187"/>
      <c r="J240" s="180"/>
      <c r="K240" s="182"/>
      <c r="L240" s="172"/>
      <c r="M240" s="180"/>
      <c r="N240" s="183"/>
      <c r="O240" s="184"/>
      <c r="P240" s="185"/>
    </row>
    <row r="241" spans="1:16" ht="15.75" customHeight="1" x14ac:dyDescent="0.25">
      <c r="A241" s="179"/>
      <c r="B241" s="186"/>
      <c r="C241" s="187"/>
      <c r="D241" s="188"/>
      <c r="E241" s="187"/>
      <c r="F241" s="189"/>
      <c r="G241" s="189"/>
      <c r="H241" s="188"/>
      <c r="I241" s="187"/>
      <c r="J241" s="180"/>
      <c r="K241" s="182"/>
      <c r="L241" s="172"/>
      <c r="M241" s="180"/>
      <c r="N241" s="183"/>
      <c r="O241" s="184"/>
      <c r="P241" s="185"/>
    </row>
    <row r="242" spans="1:16" ht="15.75" customHeight="1" x14ac:dyDescent="0.25">
      <c r="A242" s="179"/>
      <c r="B242" s="186"/>
      <c r="C242" s="187"/>
      <c r="D242" s="188"/>
      <c r="E242" s="187"/>
      <c r="F242" s="189"/>
      <c r="G242" s="189"/>
      <c r="H242" s="188"/>
      <c r="I242" s="187"/>
      <c r="J242" s="180"/>
      <c r="K242" s="182"/>
      <c r="L242" s="172"/>
      <c r="M242" s="180"/>
      <c r="N242" s="183"/>
      <c r="O242" s="184"/>
      <c r="P242" s="185"/>
    </row>
    <row r="243" spans="1:16" ht="15.75" customHeight="1" x14ac:dyDescent="0.25">
      <c r="A243" s="179"/>
      <c r="B243" s="186"/>
      <c r="C243" s="187"/>
      <c r="D243" s="188"/>
      <c r="E243" s="187"/>
      <c r="F243" s="189"/>
      <c r="G243" s="189"/>
      <c r="H243" s="188"/>
      <c r="I243" s="187"/>
      <c r="J243" s="180"/>
      <c r="K243" s="182"/>
      <c r="L243" s="172"/>
      <c r="M243" s="180"/>
      <c r="N243" s="183"/>
      <c r="O243" s="184"/>
      <c r="P243" s="185"/>
    </row>
    <row r="244" spans="1:16" ht="15.75" customHeight="1" x14ac:dyDescent="0.25">
      <c r="A244" s="179"/>
      <c r="B244" s="186"/>
      <c r="C244" s="187"/>
      <c r="D244" s="188"/>
      <c r="E244" s="187"/>
      <c r="F244" s="189"/>
      <c r="G244" s="189"/>
      <c r="H244" s="188"/>
      <c r="I244" s="187"/>
      <c r="J244" s="180"/>
      <c r="K244" s="182"/>
      <c r="L244" s="172"/>
      <c r="M244" s="180"/>
      <c r="N244" s="183"/>
      <c r="O244" s="184"/>
      <c r="P244" s="185"/>
    </row>
    <row r="245" spans="1:16" ht="15.75" customHeight="1" x14ac:dyDescent="0.25">
      <c r="A245" s="179"/>
      <c r="B245" s="186"/>
      <c r="C245" s="187"/>
      <c r="D245" s="188"/>
      <c r="E245" s="187"/>
      <c r="F245" s="189"/>
      <c r="G245" s="189"/>
      <c r="H245" s="188"/>
      <c r="I245" s="187"/>
      <c r="J245" s="180"/>
      <c r="K245" s="182"/>
      <c r="L245" s="172"/>
      <c r="M245" s="180"/>
      <c r="N245" s="183"/>
      <c r="O245" s="184"/>
      <c r="P245" s="185"/>
    </row>
    <row r="246" spans="1:16" ht="15.75" customHeight="1" x14ac:dyDescent="0.25">
      <c r="A246" s="179"/>
      <c r="B246" s="186"/>
      <c r="C246" s="187"/>
      <c r="D246" s="188"/>
      <c r="E246" s="187"/>
      <c r="F246" s="189"/>
      <c r="G246" s="189"/>
      <c r="H246" s="188"/>
      <c r="I246" s="187"/>
      <c r="J246" s="180"/>
      <c r="K246" s="182"/>
      <c r="L246" s="172"/>
      <c r="M246" s="180"/>
      <c r="N246" s="183"/>
      <c r="O246" s="184"/>
      <c r="P246" s="185"/>
    </row>
    <row r="247" spans="1:16" ht="15.75" customHeight="1" x14ac:dyDescent="0.25">
      <c r="A247" s="179"/>
      <c r="B247" s="186"/>
      <c r="C247" s="187"/>
      <c r="D247" s="188"/>
      <c r="E247" s="187"/>
      <c r="F247" s="189"/>
      <c r="G247" s="189"/>
      <c r="H247" s="188"/>
      <c r="I247" s="187"/>
      <c r="J247" s="180"/>
      <c r="K247" s="182"/>
      <c r="L247" s="172"/>
      <c r="M247" s="180"/>
      <c r="N247" s="183"/>
      <c r="O247" s="184"/>
      <c r="P247" s="185"/>
    </row>
    <row r="248" spans="1:16" ht="15.75" customHeight="1" x14ac:dyDescent="0.25">
      <c r="A248" s="179"/>
      <c r="B248" s="186"/>
      <c r="C248" s="187"/>
      <c r="D248" s="188"/>
      <c r="E248" s="187"/>
      <c r="F248" s="189"/>
      <c r="G248" s="189"/>
      <c r="H248" s="188"/>
      <c r="I248" s="187"/>
      <c r="J248" s="180"/>
      <c r="K248" s="182"/>
      <c r="L248" s="172"/>
      <c r="M248" s="180"/>
      <c r="N248" s="183"/>
      <c r="O248" s="184"/>
      <c r="P248" s="185"/>
    </row>
    <row r="249" spans="1:16" ht="15.75" customHeight="1" x14ac:dyDescent="0.25">
      <c r="A249" s="179"/>
      <c r="B249" s="186"/>
      <c r="C249" s="187"/>
      <c r="D249" s="188"/>
      <c r="E249" s="187"/>
      <c r="F249" s="189"/>
      <c r="G249" s="189"/>
      <c r="H249" s="188"/>
      <c r="I249" s="187"/>
      <c r="J249" s="180"/>
      <c r="K249" s="182"/>
      <c r="L249" s="172"/>
      <c r="M249" s="180"/>
      <c r="N249" s="183"/>
      <c r="O249" s="184"/>
      <c r="P249" s="185"/>
    </row>
    <row r="250" spans="1:16" ht="15.75" customHeight="1" x14ac:dyDescent="0.25">
      <c r="A250" s="179"/>
      <c r="B250" s="186"/>
      <c r="C250" s="187"/>
      <c r="D250" s="188"/>
      <c r="E250" s="187"/>
      <c r="F250" s="189"/>
      <c r="G250" s="189"/>
      <c r="H250" s="188"/>
      <c r="I250" s="187"/>
      <c r="J250" s="180"/>
      <c r="K250" s="182"/>
      <c r="L250" s="172"/>
      <c r="M250" s="180"/>
      <c r="N250" s="183"/>
      <c r="O250" s="184"/>
      <c r="P250" s="185"/>
    </row>
    <row r="251" spans="1:16" ht="15.75" customHeight="1" x14ac:dyDescent="0.25">
      <c r="A251" s="179"/>
      <c r="B251" s="186"/>
      <c r="C251" s="187"/>
      <c r="D251" s="188"/>
      <c r="E251" s="187"/>
      <c r="F251" s="189"/>
      <c r="G251" s="189"/>
      <c r="H251" s="188"/>
      <c r="I251" s="187"/>
      <c r="J251" s="180"/>
      <c r="K251" s="182"/>
      <c r="L251" s="172"/>
      <c r="M251" s="180"/>
      <c r="N251" s="183"/>
      <c r="O251" s="184"/>
      <c r="P251" s="185"/>
    </row>
    <row r="252" spans="1:16" ht="15.75" customHeight="1" x14ac:dyDescent="0.25">
      <c r="A252" s="179"/>
      <c r="B252" s="186"/>
      <c r="C252" s="187"/>
      <c r="D252" s="188"/>
      <c r="E252" s="187"/>
      <c r="F252" s="189"/>
      <c r="G252" s="189"/>
      <c r="H252" s="188"/>
      <c r="I252" s="187"/>
      <c r="J252" s="180"/>
      <c r="K252" s="182"/>
      <c r="L252" s="172"/>
      <c r="M252" s="180"/>
      <c r="N252" s="183"/>
      <c r="O252" s="184"/>
      <c r="P252" s="185"/>
    </row>
    <row r="253" spans="1:16" ht="15.75" customHeight="1" x14ac:dyDescent="0.25">
      <c r="A253" s="179"/>
      <c r="B253" s="186"/>
      <c r="C253" s="187"/>
      <c r="D253" s="188"/>
      <c r="E253" s="187"/>
      <c r="F253" s="189"/>
      <c r="G253" s="189"/>
      <c r="H253" s="188"/>
      <c r="I253" s="187"/>
      <c r="J253" s="180"/>
      <c r="K253" s="182"/>
      <c r="L253" s="172"/>
      <c r="M253" s="180"/>
      <c r="N253" s="183"/>
      <c r="O253" s="184"/>
      <c r="P253" s="185"/>
    </row>
    <row r="254" spans="1:16" ht="15.75" customHeight="1" x14ac:dyDescent="0.25">
      <c r="A254" s="179"/>
      <c r="B254" s="186"/>
      <c r="C254" s="187"/>
      <c r="D254" s="188"/>
      <c r="E254" s="187"/>
      <c r="F254" s="189"/>
      <c r="G254" s="189"/>
      <c r="H254" s="188"/>
      <c r="I254" s="187"/>
      <c r="J254" s="180"/>
      <c r="K254" s="182"/>
      <c r="L254" s="172"/>
      <c r="M254" s="180"/>
      <c r="N254" s="183"/>
      <c r="O254" s="184"/>
      <c r="P254" s="185"/>
    </row>
    <row r="255" spans="1:16" ht="15.75" customHeight="1" x14ac:dyDescent="0.25">
      <c r="A255" s="179"/>
      <c r="B255" s="186"/>
      <c r="C255" s="187"/>
      <c r="D255" s="188"/>
      <c r="E255" s="187"/>
      <c r="F255" s="189"/>
      <c r="G255" s="189"/>
      <c r="H255" s="188"/>
      <c r="I255" s="187"/>
      <c r="J255" s="180"/>
      <c r="K255" s="182"/>
      <c r="L255" s="172"/>
      <c r="M255" s="180"/>
      <c r="N255" s="183"/>
      <c r="O255" s="184"/>
      <c r="P255" s="185"/>
    </row>
    <row r="256" spans="1:16" ht="15.75" customHeight="1" x14ac:dyDescent="0.25">
      <c r="A256" s="179"/>
      <c r="B256" s="186"/>
      <c r="C256" s="187"/>
      <c r="D256" s="188"/>
      <c r="E256" s="187"/>
      <c r="F256" s="189"/>
      <c r="G256" s="189"/>
      <c r="H256" s="188"/>
      <c r="I256" s="187"/>
      <c r="J256" s="180"/>
      <c r="K256" s="182"/>
      <c r="L256" s="172"/>
      <c r="M256" s="180"/>
      <c r="N256" s="183"/>
      <c r="O256" s="184"/>
      <c r="P256" s="185"/>
    </row>
    <row r="257" spans="1:16" ht="15.75" customHeight="1" x14ac:dyDescent="0.25">
      <c r="A257" s="179"/>
      <c r="B257" s="186"/>
      <c r="C257" s="187"/>
      <c r="D257" s="188"/>
      <c r="E257" s="187"/>
      <c r="F257" s="189"/>
      <c r="G257" s="189"/>
      <c r="H257" s="188"/>
      <c r="I257" s="187"/>
      <c r="J257" s="180"/>
      <c r="K257" s="182"/>
      <c r="L257" s="172"/>
      <c r="M257" s="180"/>
      <c r="N257" s="183"/>
      <c r="O257" s="184"/>
      <c r="P257" s="185"/>
    </row>
    <row r="258" spans="1:16" ht="15.75" customHeight="1" x14ac:dyDescent="0.25">
      <c r="A258" s="179"/>
      <c r="B258" s="186"/>
      <c r="C258" s="187"/>
      <c r="D258" s="188"/>
      <c r="E258" s="187"/>
      <c r="F258" s="189"/>
      <c r="G258" s="189"/>
      <c r="H258" s="188"/>
      <c r="I258" s="187"/>
      <c r="J258" s="180"/>
      <c r="K258" s="182"/>
      <c r="L258" s="172"/>
      <c r="M258" s="180"/>
      <c r="N258" s="183"/>
      <c r="O258" s="184"/>
      <c r="P258" s="185"/>
    </row>
    <row r="259" spans="1:16" ht="15.75" customHeight="1" x14ac:dyDescent="0.25">
      <c r="A259" s="179"/>
      <c r="B259" s="186"/>
      <c r="C259" s="187"/>
      <c r="D259" s="188"/>
      <c r="E259" s="187"/>
      <c r="F259" s="189"/>
      <c r="G259" s="189"/>
      <c r="H259" s="188"/>
      <c r="I259" s="187"/>
      <c r="J259" s="180"/>
      <c r="K259" s="182"/>
      <c r="L259" s="172"/>
      <c r="M259" s="180"/>
      <c r="N259" s="183"/>
      <c r="O259" s="184"/>
      <c r="P259" s="185"/>
    </row>
    <row r="260" spans="1:16" ht="15.75" customHeight="1" x14ac:dyDescent="0.25">
      <c r="A260" s="179"/>
      <c r="B260" s="186"/>
      <c r="C260" s="187"/>
      <c r="D260" s="188"/>
      <c r="E260" s="187"/>
      <c r="F260" s="189"/>
      <c r="G260" s="189"/>
      <c r="H260" s="188"/>
      <c r="I260" s="187"/>
      <c r="J260" s="180"/>
      <c r="K260" s="182"/>
      <c r="L260" s="172"/>
      <c r="M260" s="180"/>
      <c r="N260" s="183"/>
      <c r="O260" s="184"/>
      <c r="P260" s="185"/>
    </row>
    <row r="261" spans="1:16" ht="15.75" customHeight="1" x14ac:dyDescent="0.25">
      <c r="A261" s="179"/>
      <c r="B261" s="186"/>
      <c r="C261" s="187"/>
      <c r="D261" s="188"/>
      <c r="E261" s="187"/>
      <c r="F261" s="189"/>
      <c r="G261" s="189"/>
      <c r="H261" s="188"/>
      <c r="I261" s="187"/>
      <c r="J261" s="180"/>
      <c r="K261" s="182"/>
      <c r="L261" s="172"/>
      <c r="M261" s="180"/>
      <c r="N261" s="183"/>
      <c r="O261" s="184"/>
      <c r="P261" s="185"/>
    </row>
    <row r="262" spans="1:16" ht="15.75" customHeight="1" x14ac:dyDescent="0.25">
      <c r="A262" s="179"/>
      <c r="B262" s="186"/>
      <c r="C262" s="187"/>
      <c r="D262" s="188"/>
      <c r="E262" s="187"/>
      <c r="F262" s="189"/>
      <c r="G262" s="189"/>
      <c r="H262" s="188"/>
      <c r="I262" s="187"/>
      <c r="J262" s="180"/>
      <c r="K262" s="182"/>
      <c r="L262" s="172"/>
      <c r="M262" s="180"/>
      <c r="N262" s="183"/>
      <c r="O262" s="184"/>
      <c r="P262" s="185"/>
    </row>
    <row r="263" spans="1:16" ht="15.75" customHeight="1" x14ac:dyDescent="0.25">
      <c r="A263" s="179"/>
      <c r="B263" s="186"/>
      <c r="C263" s="187"/>
      <c r="D263" s="188"/>
      <c r="E263" s="187"/>
      <c r="F263" s="189"/>
      <c r="G263" s="189"/>
      <c r="H263" s="188"/>
      <c r="I263" s="187"/>
      <c r="J263" s="180"/>
      <c r="K263" s="182"/>
      <c r="L263" s="172"/>
      <c r="M263" s="180"/>
      <c r="N263" s="183"/>
      <c r="O263" s="184"/>
      <c r="P263" s="185"/>
    </row>
    <row r="264" spans="1:16" ht="15.75" customHeight="1" x14ac:dyDescent="0.25">
      <c r="A264" s="179"/>
      <c r="B264" s="186"/>
      <c r="C264" s="187"/>
      <c r="D264" s="188"/>
      <c r="E264" s="187"/>
      <c r="F264" s="189"/>
      <c r="G264" s="189"/>
      <c r="H264" s="188"/>
      <c r="I264" s="187"/>
      <c r="J264" s="180"/>
      <c r="K264" s="182"/>
      <c r="L264" s="172"/>
      <c r="M264" s="180"/>
      <c r="N264" s="183"/>
      <c r="O264" s="184"/>
      <c r="P264" s="185"/>
    </row>
    <row r="265" spans="1:16" ht="15.75" customHeight="1" x14ac:dyDescent="0.25">
      <c r="A265" s="179"/>
      <c r="B265" s="186"/>
      <c r="C265" s="187"/>
      <c r="D265" s="188"/>
      <c r="E265" s="187"/>
      <c r="F265" s="189"/>
      <c r="G265" s="189"/>
      <c r="H265" s="188"/>
      <c r="I265" s="187"/>
      <c r="J265" s="180"/>
      <c r="K265" s="182"/>
      <c r="L265" s="172"/>
      <c r="M265" s="180"/>
      <c r="N265" s="183"/>
      <c r="O265" s="184"/>
      <c r="P265" s="185"/>
    </row>
    <row r="266" spans="1:16" ht="15.75" customHeight="1" x14ac:dyDescent="0.25">
      <c r="A266" s="179"/>
      <c r="B266" s="186"/>
      <c r="C266" s="187"/>
      <c r="D266" s="188"/>
      <c r="E266" s="187"/>
      <c r="F266" s="189"/>
      <c r="G266" s="189"/>
      <c r="H266" s="188"/>
      <c r="I266" s="187"/>
      <c r="J266" s="180"/>
      <c r="K266" s="182"/>
      <c r="L266" s="172"/>
      <c r="M266" s="180"/>
      <c r="N266" s="183"/>
      <c r="O266" s="184"/>
      <c r="P266" s="185"/>
    </row>
    <row r="267" spans="1:16" ht="15.75" customHeight="1" x14ac:dyDescent="0.25">
      <c r="A267" s="179"/>
      <c r="B267" s="186"/>
      <c r="C267" s="187"/>
      <c r="D267" s="188"/>
      <c r="E267" s="187"/>
      <c r="F267" s="189"/>
      <c r="G267" s="189"/>
      <c r="H267" s="188"/>
      <c r="I267" s="187"/>
      <c r="J267" s="180"/>
      <c r="K267" s="182"/>
      <c r="L267" s="172"/>
      <c r="M267" s="180"/>
      <c r="N267" s="183"/>
      <c r="O267" s="184"/>
      <c r="P267" s="185"/>
    </row>
    <row r="268" spans="1:16" ht="15.75" customHeight="1" x14ac:dyDescent="0.25">
      <c r="A268" s="179"/>
      <c r="B268" s="186"/>
      <c r="C268" s="187"/>
      <c r="D268" s="188"/>
      <c r="E268" s="187"/>
      <c r="F268" s="189"/>
      <c r="G268" s="189"/>
      <c r="H268" s="188"/>
      <c r="I268" s="187"/>
      <c r="J268" s="180"/>
      <c r="K268" s="182"/>
      <c r="L268" s="172"/>
      <c r="M268" s="180"/>
      <c r="N268" s="183"/>
      <c r="O268" s="184"/>
      <c r="P268" s="185"/>
    </row>
    <row r="269" spans="1:16" ht="15.75" customHeight="1" x14ac:dyDescent="0.25">
      <c r="A269" s="179"/>
      <c r="B269" s="186"/>
      <c r="C269" s="187"/>
      <c r="D269" s="188"/>
      <c r="E269" s="187"/>
      <c r="F269" s="189"/>
      <c r="G269" s="189"/>
      <c r="H269" s="188"/>
      <c r="I269" s="187"/>
      <c r="J269" s="180"/>
      <c r="K269" s="182"/>
      <c r="L269" s="172"/>
      <c r="M269" s="180"/>
      <c r="N269" s="183"/>
      <c r="O269" s="184"/>
      <c r="P269" s="185"/>
    </row>
    <row r="270" spans="1:16" ht="15.75" customHeight="1" x14ac:dyDescent="0.25">
      <c r="A270" s="179"/>
      <c r="B270" s="186"/>
      <c r="C270" s="187"/>
      <c r="D270" s="188"/>
      <c r="E270" s="187"/>
      <c r="F270" s="189"/>
      <c r="G270" s="189"/>
      <c r="H270" s="188"/>
      <c r="I270" s="187"/>
      <c r="J270" s="180"/>
      <c r="K270" s="182"/>
      <c r="L270" s="172"/>
      <c r="M270" s="180"/>
      <c r="N270" s="183"/>
      <c r="O270" s="184"/>
      <c r="P270" s="185"/>
    </row>
    <row r="271" spans="1:16" ht="15.75" customHeight="1" x14ac:dyDescent="0.25">
      <c r="A271" s="179"/>
      <c r="B271" s="186"/>
      <c r="C271" s="187"/>
      <c r="D271" s="188"/>
      <c r="E271" s="187"/>
      <c r="F271" s="189"/>
      <c r="G271" s="189"/>
      <c r="H271" s="188"/>
      <c r="I271" s="187"/>
      <c r="J271" s="180"/>
      <c r="K271" s="182"/>
      <c r="L271" s="172"/>
      <c r="M271" s="180"/>
      <c r="N271" s="183"/>
      <c r="O271" s="184"/>
      <c r="P271" s="185"/>
    </row>
    <row r="272" spans="1:16" ht="15.75" customHeight="1" x14ac:dyDescent="0.25">
      <c r="A272" s="179"/>
      <c r="B272" s="186"/>
      <c r="C272" s="187"/>
      <c r="D272" s="188"/>
      <c r="E272" s="187"/>
      <c r="F272" s="189"/>
      <c r="G272" s="189"/>
      <c r="H272" s="188"/>
      <c r="I272" s="187"/>
      <c r="J272" s="180"/>
      <c r="K272" s="182"/>
      <c r="L272" s="172"/>
      <c r="M272" s="180"/>
      <c r="N272" s="183"/>
      <c r="O272" s="184"/>
      <c r="P272" s="185"/>
    </row>
    <row r="273" spans="1:16" ht="15.75" customHeight="1" x14ac:dyDescent="0.25">
      <c r="A273" s="179"/>
      <c r="B273" s="186"/>
      <c r="C273" s="187"/>
      <c r="D273" s="188"/>
      <c r="E273" s="187"/>
      <c r="F273" s="189"/>
      <c r="G273" s="189"/>
      <c r="H273" s="188"/>
      <c r="I273" s="187"/>
      <c r="J273" s="180"/>
      <c r="K273" s="182"/>
      <c r="L273" s="172"/>
      <c r="M273" s="180"/>
      <c r="N273" s="183"/>
      <c r="O273" s="184"/>
      <c r="P273" s="185"/>
    </row>
    <row r="274" spans="1:16" ht="15.75" customHeight="1" x14ac:dyDescent="0.25">
      <c r="A274" s="179"/>
      <c r="B274" s="186"/>
      <c r="C274" s="187"/>
      <c r="D274" s="188"/>
      <c r="E274" s="187"/>
      <c r="F274" s="189"/>
      <c r="G274" s="189"/>
      <c r="H274" s="188"/>
      <c r="I274" s="187"/>
      <c r="J274" s="180"/>
      <c r="K274" s="182"/>
      <c r="L274" s="172"/>
      <c r="M274" s="180"/>
      <c r="N274" s="183"/>
      <c r="O274" s="184"/>
      <c r="P274" s="185"/>
    </row>
    <row r="275" spans="1:16" ht="15.75" customHeight="1" x14ac:dyDescent="0.25">
      <c r="A275" s="179"/>
      <c r="B275" s="186"/>
      <c r="C275" s="187"/>
      <c r="D275" s="188"/>
      <c r="E275" s="187"/>
      <c r="F275" s="189"/>
      <c r="G275" s="189"/>
      <c r="H275" s="188"/>
      <c r="I275" s="187"/>
      <c r="J275" s="180"/>
      <c r="K275" s="182"/>
      <c r="L275" s="172"/>
      <c r="M275" s="180"/>
      <c r="N275" s="183"/>
      <c r="O275" s="184"/>
      <c r="P275" s="185"/>
    </row>
    <row r="276" spans="1:16" ht="15.75" customHeight="1" x14ac:dyDescent="0.25">
      <c r="A276" s="179"/>
      <c r="B276" s="186"/>
      <c r="C276" s="187"/>
      <c r="D276" s="188"/>
      <c r="E276" s="187"/>
      <c r="F276" s="189"/>
      <c r="G276" s="189"/>
      <c r="H276" s="188"/>
      <c r="I276" s="187"/>
      <c r="J276" s="180"/>
      <c r="K276" s="182"/>
      <c r="L276" s="172"/>
      <c r="M276" s="180"/>
      <c r="N276" s="183"/>
      <c r="O276" s="184"/>
      <c r="P276" s="185"/>
    </row>
    <row r="277" spans="1:16" ht="15.75" customHeight="1" x14ac:dyDescent="0.25">
      <c r="A277" s="179"/>
      <c r="B277" s="186"/>
      <c r="C277" s="187"/>
      <c r="D277" s="188"/>
      <c r="E277" s="187"/>
      <c r="F277" s="189"/>
      <c r="G277" s="189"/>
      <c r="H277" s="188"/>
      <c r="I277" s="187"/>
      <c r="J277" s="180"/>
      <c r="K277" s="182"/>
      <c r="L277" s="172"/>
      <c r="M277" s="180"/>
      <c r="N277" s="183"/>
      <c r="O277" s="184"/>
      <c r="P277" s="185"/>
    </row>
    <row r="278" spans="1:16" ht="15.75" customHeight="1" x14ac:dyDescent="0.25">
      <c r="A278" s="179"/>
      <c r="B278" s="186"/>
      <c r="C278" s="187"/>
      <c r="D278" s="188"/>
      <c r="E278" s="187"/>
      <c r="F278" s="189"/>
      <c r="G278" s="189"/>
      <c r="H278" s="188"/>
      <c r="I278" s="187"/>
      <c r="J278" s="180"/>
      <c r="K278" s="182"/>
      <c r="L278" s="172"/>
      <c r="M278" s="180"/>
      <c r="N278" s="183"/>
      <c r="O278" s="184"/>
      <c r="P278" s="185"/>
    </row>
    <row r="279" spans="1:16" ht="15.75" customHeight="1" x14ac:dyDescent="0.25">
      <c r="A279" s="179"/>
      <c r="B279" s="186"/>
      <c r="C279" s="187"/>
      <c r="D279" s="188"/>
      <c r="E279" s="187"/>
      <c r="F279" s="189"/>
      <c r="G279" s="189"/>
      <c r="H279" s="188"/>
      <c r="I279" s="187"/>
      <c r="J279" s="180"/>
      <c r="K279" s="182"/>
      <c r="L279" s="172"/>
      <c r="M279" s="180"/>
      <c r="N279" s="183"/>
      <c r="O279" s="184"/>
      <c r="P279" s="185"/>
    </row>
    <row r="280" spans="1:16" ht="15.75" customHeight="1" x14ac:dyDescent="0.25">
      <c r="A280" s="179"/>
      <c r="B280" s="186"/>
      <c r="C280" s="187"/>
      <c r="D280" s="188"/>
      <c r="E280" s="187"/>
      <c r="F280" s="189"/>
      <c r="G280" s="189"/>
      <c r="H280" s="188"/>
      <c r="I280" s="187"/>
      <c r="J280" s="180"/>
      <c r="K280" s="182"/>
      <c r="L280" s="172"/>
      <c r="M280" s="180"/>
      <c r="N280" s="183"/>
      <c r="O280" s="184"/>
      <c r="P280" s="185"/>
    </row>
    <row r="281" spans="1:16" ht="15.75" customHeight="1" x14ac:dyDescent="0.25">
      <c r="A281" s="179"/>
      <c r="B281" s="186"/>
      <c r="C281" s="187"/>
      <c r="D281" s="188"/>
      <c r="E281" s="187"/>
      <c r="F281" s="189"/>
      <c r="G281" s="189"/>
      <c r="H281" s="188"/>
      <c r="I281" s="187"/>
      <c r="J281" s="180"/>
      <c r="K281" s="182"/>
      <c r="L281" s="172"/>
      <c r="M281" s="180"/>
      <c r="N281" s="183"/>
      <c r="O281" s="184"/>
      <c r="P281" s="185"/>
    </row>
    <row r="282" spans="1:16" ht="15.75" customHeight="1" x14ac:dyDescent="0.25">
      <c r="A282" s="179"/>
      <c r="B282" s="186"/>
      <c r="C282" s="187"/>
      <c r="D282" s="188"/>
      <c r="E282" s="187"/>
      <c r="F282" s="189"/>
      <c r="G282" s="189"/>
      <c r="H282" s="188"/>
      <c r="I282" s="187"/>
      <c r="J282" s="180"/>
      <c r="K282" s="182"/>
      <c r="L282" s="172"/>
      <c r="M282" s="180"/>
      <c r="N282" s="183"/>
      <c r="O282" s="184"/>
      <c r="P282" s="185"/>
    </row>
    <row r="283" spans="1:16" ht="15.75" customHeight="1" x14ac:dyDescent="0.25">
      <c r="A283" s="179"/>
      <c r="B283" s="186"/>
      <c r="C283" s="187"/>
      <c r="D283" s="188"/>
      <c r="E283" s="187"/>
      <c r="F283" s="189"/>
      <c r="G283" s="189"/>
      <c r="H283" s="188"/>
      <c r="I283" s="187"/>
      <c r="J283" s="180"/>
      <c r="K283" s="182"/>
      <c r="L283" s="172"/>
      <c r="M283" s="180"/>
      <c r="N283" s="183"/>
      <c r="O283" s="184"/>
      <c r="P283" s="185"/>
    </row>
    <row r="284" spans="1:16" ht="15.75" customHeight="1" x14ac:dyDescent="0.25">
      <c r="A284" s="179"/>
      <c r="B284" s="186"/>
      <c r="C284" s="187"/>
      <c r="D284" s="188"/>
      <c r="E284" s="187"/>
      <c r="F284" s="189"/>
      <c r="G284" s="189"/>
      <c r="H284" s="188"/>
      <c r="I284" s="187"/>
      <c r="J284" s="180"/>
      <c r="K284" s="182"/>
      <c r="L284" s="172"/>
      <c r="M284" s="180"/>
      <c r="N284" s="183"/>
      <c r="O284" s="184"/>
      <c r="P284" s="185"/>
    </row>
    <row r="285" spans="1:16" ht="15.75" customHeight="1" x14ac:dyDescent="0.25">
      <c r="A285" s="179"/>
      <c r="B285" s="186"/>
      <c r="C285" s="187"/>
      <c r="D285" s="188"/>
      <c r="E285" s="187"/>
      <c r="F285" s="189"/>
      <c r="G285" s="189"/>
      <c r="H285" s="188"/>
      <c r="I285" s="187"/>
      <c r="J285" s="180"/>
      <c r="K285" s="182"/>
      <c r="L285" s="172"/>
      <c r="M285" s="180"/>
      <c r="N285" s="183"/>
      <c r="O285" s="184"/>
      <c r="P285" s="185"/>
    </row>
    <row r="286" spans="1:16" ht="15.75" customHeight="1" x14ac:dyDescent="0.25">
      <c r="A286" s="179"/>
      <c r="B286" s="186"/>
      <c r="C286" s="187"/>
      <c r="D286" s="188"/>
      <c r="E286" s="187"/>
      <c r="F286" s="189"/>
      <c r="G286" s="189"/>
      <c r="H286" s="188"/>
      <c r="I286" s="187"/>
      <c r="J286" s="180"/>
      <c r="K286" s="182"/>
      <c r="L286" s="172"/>
      <c r="M286" s="180"/>
      <c r="N286" s="183"/>
      <c r="O286" s="184"/>
      <c r="P286" s="185"/>
    </row>
    <row r="287" spans="1:16" ht="15.75" customHeight="1" x14ac:dyDescent="0.25">
      <c r="A287" s="179"/>
      <c r="B287" s="186"/>
      <c r="C287" s="187"/>
      <c r="D287" s="188"/>
      <c r="E287" s="187"/>
      <c r="F287" s="189"/>
      <c r="G287" s="189"/>
      <c r="H287" s="188"/>
      <c r="I287" s="187"/>
      <c r="J287" s="180"/>
      <c r="K287" s="182"/>
      <c r="L287" s="172"/>
      <c r="M287" s="180"/>
      <c r="N287" s="183"/>
      <c r="O287" s="184"/>
      <c r="P287" s="185"/>
    </row>
    <row r="288" spans="1:16" ht="15.75" customHeight="1" x14ac:dyDescent="0.25">
      <c r="A288" s="179"/>
      <c r="B288" s="186"/>
      <c r="C288" s="187"/>
      <c r="D288" s="188"/>
      <c r="E288" s="187"/>
      <c r="F288" s="189"/>
      <c r="G288" s="189"/>
      <c r="H288" s="188"/>
      <c r="I288" s="187"/>
      <c r="J288" s="180"/>
      <c r="K288" s="182"/>
      <c r="L288" s="172"/>
      <c r="M288" s="180"/>
      <c r="N288" s="183"/>
      <c r="O288" s="184"/>
      <c r="P288" s="185"/>
    </row>
    <row r="289" spans="1:16" ht="15.75" customHeight="1" x14ac:dyDescent="0.25">
      <c r="A289" s="179"/>
      <c r="B289" s="186"/>
      <c r="C289" s="187"/>
      <c r="D289" s="188"/>
      <c r="E289" s="187"/>
      <c r="F289" s="189"/>
      <c r="G289" s="189"/>
      <c r="H289" s="188"/>
      <c r="I289" s="187"/>
      <c r="J289" s="180"/>
      <c r="K289" s="182"/>
      <c r="L289" s="172"/>
      <c r="M289" s="180"/>
      <c r="N289" s="183"/>
      <c r="O289" s="184"/>
      <c r="P289" s="185"/>
    </row>
    <row r="290" spans="1:16" ht="15.75" customHeight="1" x14ac:dyDescent="0.25">
      <c r="A290" s="179"/>
      <c r="B290" s="186"/>
      <c r="C290" s="187"/>
      <c r="D290" s="188"/>
      <c r="E290" s="187"/>
      <c r="F290" s="189"/>
      <c r="G290" s="189"/>
      <c r="H290" s="188"/>
      <c r="I290" s="187"/>
      <c r="J290" s="180"/>
      <c r="K290" s="182"/>
      <c r="L290" s="172"/>
      <c r="M290" s="180"/>
      <c r="N290" s="183"/>
      <c r="O290" s="184"/>
      <c r="P290" s="185"/>
    </row>
    <row r="291" spans="1:16" ht="15.75" customHeight="1" x14ac:dyDescent="0.25">
      <c r="A291" s="179"/>
      <c r="B291" s="186"/>
      <c r="C291" s="187"/>
      <c r="D291" s="188"/>
      <c r="E291" s="187"/>
      <c r="F291" s="189"/>
      <c r="G291" s="189"/>
      <c r="H291" s="188"/>
      <c r="I291" s="187"/>
      <c r="J291" s="180"/>
      <c r="K291" s="182"/>
      <c r="L291" s="172"/>
      <c r="M291" s="180"/>
      <c r="N291" s="183"/>
      <c r="O291" s="184"/>
      <c r="P291" s="185"/>
    </row>
    <row r="292" spans="1:16" ht="15.75" customHeight="1" x14ac:dyDescent="0.25">
      <c r="A292" s="179"/>
      <c r="B292" s="186"/>
      <c r="C292" s="187"/>
      <c r="D292" s="188"/>
      <c r="E292" s="187"/>
      <c r="F292" s="189"/>
      <c r="G292" s="189"/>
      <c r="H292" s="188"/>
      <c r="I292" s="187"/>
      <c r="J292" s="180"/>
      <c r="K292" s="182"/>
      <c r="L292" s="172"/>
      <c r="M292" s="180"/>
      <c r="N292" s="183"/>
      <c r="O292" s="184"/>
      <c r="P292" s="185"/>
    </row>
    <row r="293" spans="1:16" ht="15.75" customHeight="1" x14ac:dyDescent="0.25">
      <c r="A293" s="179"/>
      <c r="B293" s="186"/>
      <c r="C293" s="187"/>
      <c r="D293" s="188"/>
      <c r="E293" s="187"/>
      <c r="F293" s="189"/>
      <c r="G293" s="189"/>
      <c r="H293" s="188"/>
      <c r="I293" s="187"/>
      <c r="J293" s="180"/>
      <c r="K293" s="182"/>
      <c r="L293" s="172"/>
      <c r="M293" s="180"/>
      <c r="N293" s="183"/>
      <c r="O293" s="184"/>
      <c r="P293" s="185"/>
    </row>
    <row r="294" spans="1:16" ht="15.75" customHeight="1" x14ac:dyDescent="0.25">
      <c r="A294" s="179"/>
      <c r="B294" s="186"/>
      <c r="C294" s="187"/>
      <c r="D294" s="188"/>
      <c r="E294" s="187"/>
      <c r="F294" s="189"/>
      <c r="G294" s="189"/>
      <c r="H294" s="188"/>
      <c r="I294" s="187"/>
      <c r="J294" s="180"/>
      <c r="K294" s="182"/>
      <c r="L294" s="172"/>
      <c r="M294" s="180"/>
      <c r="N294" s="183"/>
      <c r="O294" s="184"/>
      <c r="P294" s="185"/>
    </row>
    <row r="295" spans="1:16" ht="15.75" customHeight="1" x14ac:dyDescent="0.25">
      <c r="A295" s="179"/>
      <c r="B295" s="186"/>
      <c r="C295" s="187"/>
      <c r="D295" s="188"/>
      <c r="E295" s="187"/>
      <c r="F295" s="189"/>
      <c r="G295" s="189"/>
      <c r="H295" s="188"/>
      <c r="I295" s="187"/>
      <c r="J295" s="180"/>
      <c r="K295" s="182"/>
      <c r="L295" s="172"/>
      <c r="M295" s="180"/>
      <c r="N295" s="183"/>
      <c r="O295" s="184"/>
      <c r="P295" s="185"/>
    </row>
    <row r="296" spans="1:16" ht="15.75" customHeight="1" x14ac:dyDescent="0.25">
      <c r="A296" s="179"/>
      <c r="B296" s="186"/>
      <c r="C296" s="187"/>
      <c r="D296" s="188"/>
      <c r="E296" s="187"/>
      <c r="F296" s="189"/>
      <c r="G296" s="189"/>
      <c r="H296" s="188"/>
      <c r="I296" s="187"/>
      <c r="J296" s="180"/>
      <c r="K296" s="182"/>
      <c r="L296" s="172"/>
      <c r="M296" s="180"/>
      <c r="N296" s="183"/>
      <c r="O296" s="184"/>
      <c r="P296" s="185"/>
    </row>
    <row r="297" spans="1:16" ht="15.75" customHeight="1" x14ac:dyDescent="0.25">
      <c r="A297" s="179"/>
      <c r="B297" s="186"/>
      <c r="C297" s="187"/>
      <c r="D297" s="188"/>
      <c r="E297" s="187"/>
      <c r="F297" s="189"/>
      <c r="G297" s="189"/>
      <c r="H297" s="188"/>
      <c r="I297" s="187"/>
      <c r="J297" s="180"/>
      <c r="K297" s="182"/>
      <c r="L297" s="172"/>
      <c r="M297" s="180"/>
      <c r="N297" s="183"/>
      <c r="O297" s="184"/>
      <c r="P297" s="185"/>
    </row>
    <row r="298" spans="1:16" ht="15.75" customHeight="1" x14ac:dyDescent="0.25">
      <c r="A298" s="179"/>
      <c r="B298" s="186"/>
      <c r="C298" s="187"/>
      <c r="D298" s="188"/>
      <c r="E298" s="187"/>
      <c r="F298" s="189"/>
      <c r="G298" s="189"/>
      <c r="H298" s="188"/>
      <c r="I298" s="187"/>
      <c r="J298" s="180"/>
      <c r="K298" s="182"/>
      <c r="L298" s="172"/>
      <c r="M298" s="180"/>
      <c r="N298" s="183"/>
      <c r="O298" s="184"/>
      <c r="P298" s="185"/>
    </row>
    <row r="299" spans="1:16" ht="15.75" customHeight="1" x14ac:dyDescent="0.25">
      <c r="A299" s="179"/>
      <c r="B299" s="186"/>
      <c r="C299" s="187"/>
      <c r="D299" s="188"/>
      <c r="E299" s="187"/>
      <c r="F299" s="189"/>
      <c r="G299" s="189"/>
      <c r="H299" s="188"/>
      <c r="I299" s="187"/>
      <c r="J299" s="180"/>
      <c r="K299" s="182"/>
      <c r="L299" s="172"/>
      <c r="M299" s="180"/>
      <c r="N299" s="183"/>
      <c r="O299" s="184"/>
      <c r="P299" s="185"/>
    </row>
    <row r="300" spans="1:16" ht="15.75" customHeight="1" x14ac:dyDescent="0.25">
      <c r="A300" s="179"/>
      <c r="B300" s="186"/>
      <c r="C300" s="187"/>
      <c r="D300" s="188"/>
      <c r="E300" s="187"/>
      <c r="F300" s="189"/>
      <c r="G300" s="189"/>
      <c r="H300" s="188"/>
      <c r="I300" s="187"/>
      <c r="J300" s="180"/>
      <c r="K300" s="182"/>
      <c r="L300" s="172"/>
      <c r="M300" s="180"/>
      <c r="N300" s="183"/>
      <c r="O300" s="184"/>
      <c r="P300" s="185"/>
    </row>
    <row r="301" spans="1:16" ht="15.75" customHeight="1" x14ac:dyDescent="0.25">
      <c r="A301" s="179"/>
      <c r="B301" s="186"/>
      <c r="C301" s="187"/>
      <c r="D301" s="188"/>
      <c r="E301" s="187"/>
      <c r="F301" s="189"/>
      <c r="G301" s="189"/>
      <c r="H301" s="188"/>
      <c r="I301" s="187"/>
      <c r="J301" s="180"/>
      <c r="K301" s="182"/>
      <c r="L301" s="172"/>
      <c r="M301" s="180"/>
      <c r="N301" s="183"/>
      <c r="O301" s="184"/>
      <c r="P301" s="185"/>
    </row>
    <row r="302" spans="1:16" ht="15.75" customHeight="1" x14ac:dyDescent="0.25">
      <c r="A302" s="179"/>
      <c r="B302" s="186"/>
      <c r="C302" s="187"/>
      <c r="D302" s="188"/>
      <c r="E302" s="187"/>
      <c r="F302" s="189"/>
      <c r="G302" s="189"/>
      <c r="H302" s="188"/>
      <c r="I302" s="187"/>
      <c r="J302" s="180"/>
      <c r="K302" s="182"/>
      <c r="L302" s="172"/>
      <c r="M302" s="180"/>
      <c r="N302" s="183"/>
      <c r="O302" s="184"/>
      <c r="P302" s="185"/>
    </row>
    <row r="303" spans="1:16" ht="15.75" customHeight="1" x14ac:dyDescent="0.25">
      <c r="A303" s="179"/>
      <c r="B303" s="186"/>
      <c r="C303" s="187"/>
      <c r="D303" s="188"/>
      <c r="E303" s="187"/>
      <c r="F303" s="189"/>
      <c r="G303" s="189"/>
      <c r="H303" s="188"/>
      <c r="I303" s="187"/>
      <c r="J303" s="180"/>
      <c r="K303" s="182"/>
      <c r="L303" s="172"/>
      <c r="M303" s="180"/>
      <c r="N303" s="183"/>
      <c r="O303" s="184"/>
      <c r="P303" s="185"/>
    </row>
    <row r="304" spans="1:16" ht="15.75" customHeight="1" x14ac:dyDescent="0.25">
      <c r="A304" s="179"/>
      <c r="B304" s="186"/>
      <c r="C304" s="187"/>
      <c r="D304" s="188"/>
      <c r="E304" s="187"/>
      <c r="F304" s="189"/>
      <c r="G304" s="189"/>
      <c r="H304" s="188"/>
      <c r="I304" s="187"/>
      <c r="J304" s="180"/>
      <c r="K304" s="182"/>
      <c r="L304" s="172"/>
      <c r="M304" s="180"/>
      <c r="N304" s="183"/>
      <c r="O304" s="184"/>
      <c r="P304" s="185"/>
    </row>
    <row r="305" spans="1:16" ht="15.75" customHeight="1" x14ac:dyDescent="0.25">
      <c r="A305" s="179"/>
      <c r="B305" s="186"/>
      <c r="C305" s="187"/>
      <c r="D305" s="188"/>
      <c r="E305" s="187"/>
      <c r="F305" s="189"/>
      <c r="G305" s="189"/>
      <c r="H305" s="188"/>
      <c r="I305" s="187"/>
      <c r="J305" s="180"/>
      <c r="K305" s="182"/>
      <c r="L305" s="172"/>
      <c r="M305" s="180"/>
      <c r="N305" s="183"/>
      <c r="O305" s="184"/>
      <c r="P305" s="185"/>
    </row>
    <row r="306" spans="1:16" ht="15.75" customHeight="1" x14ac:dyDescent="0.25">
      <c r="A306" s="179"/>
      <c r="B306" s="186"/>
      <c r="C306" s="187"/>
      <c r="D306" s="188"/>
      <c r="E306" s="187"/>
      <c r="F306" s="189"/>
      <c r="G306" s="189"/>
      <c r="H306" s="188"/>
      <c r="I306" s="187"/>
      <c r="J306" s="180"/>
      <c r="K306" s="182"/>
      <c r="L306" s="172"/>
      <c r="M306" s="180"/>
      <c r="N306" s="183"/>
      <c r="O306" s="184"/>
      <c r="P306" s="185"/>
    </row>
    <row r="307" spans="1:16" ht="15.75" customHeight="1" x14ac:dyDescent="0.25">
      <c r="A307" s="179"/>
      <c r="B307" s="186"/>
      <c r="C307" s="187"/>
      <c r="D307" s="188"/>
      <c r="E307" s="187"/>
      <c r="F307" s="189"/>
      <c r="G307" s="189"/>
      <c r="H307" s="188"/>
      <c r="I307" s="187"/>
      <c r="J307" s="180"/>
      <c r="K307" s="182"/>
      <c r="L307" s="172"/>
      <c r="M307" s="180"/>
      <c r="N307" s="183"/>
      <c r="O307" s="184"/>
      <c r="P307" s="185"/>
    </row>
    <row r="308" spans="1:16" ht="15.75" customHeight="1" x14ac:dyDescent="0.25">
      <c r="A308" s="179"/>
      <c r="B308" s="186"/>
      <c r="C308" s="187"/>
      <c r="D308" s="188"/>
      <c r="E308" s="187"/>
      <c r="F308" s="189"/>
      <c r="G308" s="189"/>
      <c r="H308" s="188"/>
      <c r="I308" s="187"/>
      <c r="J308" s="180"/>
      <c r="K308" s="182"/>
      <c r="L308" s="172"/>
      <c r="M308" s="180"/>
      <c r="N308" s="183"/>
      <c r="O308" s="184"/>
      <c r="P308" s="185"/>
    </row>
    <row r="309" spans="1:16" ht="15.75" customHeight="1" x14ac:dyDescent="0.25">
      <c r="A309" s="179"/>
      <c r="B309" s="186"/>
      <c r="C309" s="187"/>
      <c r="D309" s="188"/>
      <c r="E309" s="187"/>
      <c r="F309" s="189"/>
      <c r="G309" s="189"/>
      <c r="H309" s="188"/>
      <c r="I309" s="187"/>
      <c r="J309" s="180"/>
      <c r="K309" s="182"/>
      <c r="L309" s="172"/>
      <c r="M309" s="180"/>
      <c r="N309" s="183"/>
      <c r="O309" s="184"/>
      <c r="P309" s="185"/>
    </row>
    <row r="310" spans="1:16" ht="15.75" customHeight="1" x14ac:dyDescent="0.25">
      <c r="A310" s="179"/>
      <c r="B310" s="186"/>
      <c r="C310" s="187"/>
      <c r="D310" s="188"/>
      <c r="E310" s="187"/>
      <c r="F310" s="189"/>
      <c r="G310" s="189"/>
      <c r="H310" s="188"/>
      <c r="I310" s="187"/>
      <c r="J310" s="180"/>
      <c r="K310" s="182"/>
      <c r="L310" s="172"/>
      <c r="M310" s="180"/>
      <c r="N310" s="183"/>
      <c r="O310" s="184"/>
      <c r="P310" s="185"/>
    </row>
    <row r="311" spans="1:16" ht="15.75" customHeight="1" x14ac:dyDescent="0.25">
      <c r="A311" s="179"/>
      <c r="B311" s="186"/>
      <c r="C311" s="187"/>
      <c r="D311" s="188"/>
      <c r="E311" s="187"/>
      <c r="F311" s="189"/>
      <c r="G311" s="189"/>
      <c r="H311" s="188"/>
      <c r="I311" s="187"/>
      <c r="J311" s="180"/>
      <c r="K311" s="182"/>
      <c r="L311" s="172"/>
      <c r="M311" s="180"/>
      <c r="N311" s="183"/>
      <c r="O311" s="184"/>
      <c r="P311" s="185"/>
    </row>
    <row r="312" spans="1:16" ht="15.75" customHeight="1" x14ac:dyDescent="0.25">
      <c r="A312" s="179"/>
      <c r="B312" s="186"/>
      <c r="C312" s="187"/>
      <c r="D312" s="188"/>
      <c r="E312" s="187"/>
      <c r="F312" s="189"/>
      <c r="G312" s="189"/>
      <c r="H312" s="188"/>
      <c r="I312" s="187"/>
      <c r="J312" s="180"/>
      <c r="K312" s="182"/>
      <c r="L312" s="172"/>
      <c r="M312" s="180"/>
      <c r="N312" s="183"/>
      <c r="O312" s="184"/>
      <c r="P312" s="185"/>
    </row>
    <row r="313" spans="1:16" ht="15.75" customHeight="1" x14ac:dyDescent="0.25">
      <c r="A313" s="179"/>
      <c r="B313" s="186"/>
      <c r="C313" s="187"/>
      <c r="D313" s="188"/>
      <c r="E313" s="187"/>
      <c r="F313" s="189"/>
      <c r="G313" s="189"/>
      <c r="H313" s="188"/>
      <c r="I313" s="187"/>
      <c r="J313" s="180"/>
      <c r="K313" s="182"/>
      <c r="L313" s="172"/>
      <c r="M313" s="180"/>
      <c r="N313" s="183"/>
      <c r="O313" s="184"/>
      <c r="P313" s="185"/>
    </row>
    <row r="314" spans="1:16" ht="15.75" customHeight="1" x14ac:dyDescent="0.25">
      <c r="A314" s="179"/>
      <c r="B314" s="186"/>
      <c r="C314" s="187"/>
      <c r="D314" s="188"/>
      <c r="E314" s="187"/>
      <c r="F314" s="189"/>
      <c r="G314" s="189"/>
      <c r="H314" s="188"/>
      <c r="I314" s="187"/>
      <c r="J314" s="180"/>
      <c r="K314" s="182"/>
      <c r="L314" s="172"/>
      <c r="M314" s="180"/>
      <c r="N314" s="183"/>
      <c r="O314" s="184"/>
      <c r="P314" s="185"/>
    </row>
    <row r="315" spans="1:16" ht="15.75" customHeight="1" x14ac:dyDescent="0.25">
      <c r="A315" s="179"/>
      <c r="B315" s="186"/>
      <c r="C315" s="187"/>
      <c r="D315" s="188"/>
      <c r="E315" s="187"/>
      <c r="F315" s="189"/>
      <c r="G315" s="189"/>
      <c r="H315" s="188"/>
      <c r="I315" s="187"/>
      <c r="J315" s="180"/>
      <c r="K315" s="182"/>
      <c r="L315" s="172"/>
      <c r="M315" s="180"/>
      <c r="N315" s="183"/>
      <c r="O315" s="184"/>
      <c r="P315" s="185"/>
    </row>
    <row r="316" spans="1:16" ht="15.75" customHeight="1" x14ac:dyDescent="0.25">
      <c r="A316" s="179"/>
      <c r="B316" s="186"/>
      <c r="C316" s="187"/>
      <c r="D316" s="188"/>
      <c r="E316" s="187"/>
      <c r="F316" s="189"/>
      <c r="G316" s="189"/>
      <c r="H316" s="188"/>
      <c r="I316" s="187"/>
      <c r="J316" s="180"/>
      <c r="K316" s="182"/>
      <c r="L316" s="172"/>
      <c r="M316" s="180"/>
      <c r="N316" s="183"/>
      <c r="O316" s="184"/>
      <c r="P316" s="185"/>
    </row>
    <row r="317" spans="1:16" ht="15.75" customHeight="1" x14ac:dyDescent="0.25">
      <c r="A317" s="179"/>
      <c r="B317" s="186"/>
      <c r="C317" s="187"/>
      <c r="D317" s="188"/>
      <c r="E317" s="187"/>
      <c r="F317" s="189"/>
      <c r="G317" s="189"/>
      <c r="H317" s="188"/>
      <c r="I317" s="187"/>
      <c r="J317" s="180"/>
      <c r="K317" s="182"/>
      <c r="L317" s="172"/>
      <c r="M317" s="180"/>
      <c r="N317" s="183"/>
      <c r="O317" s="184"/>
      <c r="P317" s="185"/>
    </row>
    <row r="318" spans="1:16" ht="15.75" customHeight="1" x14ac:dyDescent="0.25">
      <c r="A318" s="179"/>
      <c r="B318" s="186"/>
      <c r="C318" s="187"/>
      <c r="D318" s="188"/>
      <c r="E318" s="187"/>
      <c r="F318" s="189"/>
      <c r="G318" s="189"/>
      <c r="H318" s="188"/>
      <c r="I318" s="187"/>
      <c r="J318" s="180"/>
      <c r="K318" s="182"/>
      <c r="L318" s="172"/>
      <c r="M318" s="180"/>
      <c r="N318" s="183"/>
      <c r="O318" s="184"/>
      <c r="P318" s="185"/>
    </row>
    <row r="319" spans="1:16" ht="15.75" customHeight="1" x14ac:dyDescent="0.25">
      <c r="A319" s="179"/>
      <c r="B319" s="186"/>
      <c r="C319" s="187"/>
      <c r="D319" s="188"/>
      <c r="E319" s="187"/>
      <c r="F319" s="189"/>
      <c r="G319" s="189"/>
      <c r="H319" s="188"/>
      <c r="I319" s="187"/>
      <c r="J319" s="180"/>
      <c r="K319" s="182"/>
      <c r="L319" s="172"/>
      <c r="M319" s="180"/>
      <c r="N319" s="183"/>
      <c r="O319" s="184"/>
      <c r="P319" s="185"/>
    </row>
    <row r="320" spans="1:16" ht="15.75" customHeight="1" x14ac:dyDescent="0.25">
      <c r="A320" s="179"/>
      <c r="B320" s="186"/>
      <c r="C320" s="187"/>
      <c r="D320" s="188"/>
      <c r="E320" s="187"/>
      <c r="F320" s="189"/>
      <c r="G320" s="189"/>
      <c r="H320" s="188"/>
      <c r="I320" s="187"/>
      <c r="J320" s="180"/>
      <c r="K320" s="182"/>
      <c r="L320" s="172"/>
      <c r="M320" s="180"/>
      <c r="N320" s="183"/>
      <c r="O320" s="184"/>
      <c r="P320" s="185"/>
    </row>
    <row r="321" spans="1:16" ht="15.75" customHeight="1" x14ac:dyDescent="0.25">
      <c r="A321" s="179"/>
      <c r="B321" s="186"/>
      <c r="C321" s="187"/>
      <c r="D321" s="188"/>
      <c r="E321" s="187"/>
      <c r="F321" s="189"/>
      <c r="G321" s="189"/>
      <c r="H321" s="188"/>
      <c r="I321" s="187"/>
      <c r="J321" s="180"/>
      <c r="K321" s="182"/>
      <c r="L321" s="172"/>
      <c r="M321" s="180"/>
      <c r="N321" s="183"/>
      <c r="O321" s="184"/>
      <c r="P321" s="185"/>
    </row>
    <row r="322" spans="1:16" ht="15.75" customHeight="1" x14ac:dyDescent="0.25">
      <c r="A322" s="179"/>
      <c r="B322" s="186"/>
      <c r="C322" s="187"/>
      <c r="D322" s="188"/>
      <c r="E322" s="187"/>
      <c r="F322" s="189"/>
      <c r="G322" s="189"/>
      <c r="H322" s="188"/>
      <c r="I322" s="187"/>
      <c r="J322" s="180"/>
      <c r="K322" s="182"/>
      <c r="L322" s="172"/>
      <c r="M322" s="180"/>
      <c r="N322" s="183"/>
      <c r="O322" s="184"/>
      <c r="P322" s="185"/>
    </row>
    <row r="323" spans="1:16" ht="15.75" customHeight="1" x14ac:dyDescent="0.25">
      <c r="A323" s="179"/>
      <c r="B323" s="186"/>
      <c r="C323" s="187"/>
      <c r="D323" s="188"/>
      <c r="E323" s="187"/>
      <c r="F323" s="189"/>
      <c r="G323" s="189"/>
      <c r="H323" s="188"/>
      <c r="I323" s="187"/>
      <c r="J323" s="180"/>
      <c r="K323" s="182"/>
      <c r="L323" s="172"/>
      <c r="M323" s="180"/>
      <c r="N323" s="183"/>
      <c r="O323" s="184"/>
      <c r="P323" s="185"/>
    </row>
    <row r="324" spans="1:16" ht="15.75" customHeight="1" x14ac:dyDescent="0.25">
      <c r="A324" s="179"/>
      <c r="B324" s="186"/>
      <c r="C324" s="187"/>
      <c r="D324" s="188"/>
      <c r="E324" s="187"/>
      <c r="F324" s="189"/>
      <c r="G324" s="189"/>
      <c r="H324" s="188"/>
      <c r="I324" s="187"/>
      <c r="J324" s="180"/>
      <c r="K324" s="182"/>
      <c r="L324" s="172"/>
      <c r="M324" s="180"/>
      <c r="N324" s="183"/>
      <c r="O324" s="184"/>
      <c r="P324" s="185"/>
    </row>
    <row r="325" spans="1:16" ht="15.75" customHeight="1" x14ac:dyDescent="0.25">
      <c r="A325" s="179"/>
      <c r="B325" s="186"/>
      <c r="C325" s="187"/>
      <c r="D325" s="188"/>
      <c r="E325" s="187"/>
      <c r="F325" s="189"/>
      <c r="G325" s="189"/>
      <c r="H325" s="188"/>
      <c r="I325" s="187"/>
      <c r="J325" s="180"/>
      <c r="K325" s="182"/>
      <c r="L325" s="172"/>
      <c r="M325" s="180"/>
      <c r="N325" s="183"/>
      <c r="O325" s="184"/>
      <c r="P325" s="185"/>
    </row>
    <row r="326" spans="1:16" ht="15.75" customHeight="1" x14ac:dyDescent="0.25">
      <c r="A326" s="179"/>
      <c r="B326" s="186"/>
      <c r="C326" s="187"/>
      <c r="D326" s="188"/>
      <c r="E326" s="187"/>
      <c r="F326" s="189"/>
      <c r="G326" s="189"/>
      <c r="H326" s="188"/>
      <c r="I326" s="187"/>
      <c r="J326" s="180"/>
      <c r="K326" s="182"/>
      <c r="L326" s="172"/>
      <c r="M326" s="180"/>
      <c r="N326" s="183"/>
      <c r="O326" s="184"/>
      <c r="P326" s="185"/>
    </row>
    <row r="327" spans="1:16" ht="15.75" customHeight="1" x14ac:dyDescent="0.25">
      <c r="A327" s="179"/>
      <c r="B327" s="186"/>
      <c r="C327" s="187"/>
      <c r="D327" s="188"/>
      <c r="E327" s="187"/>
      <c r="F327" s="189"/>
      <c r="G327" s="189"/>
      <c r="H327" s="188"/>
      <c r="I327" s="187"/>
      <c r="J327" s="180"/>
      <c r="K327" s="182"/>
      <c r="L327" s="172"/>
      <c r="M327" s="180"/>
      <c r="N327" s="183"/>
      <c r="O327" s="184"/>
      <c r="P327" s="185"/>
    </row>
    <row r="328" spans="1:16" ht="15.75" customHeight="1" x14ac:dyDescent="0.25">
      <c r="A328" s="179"/>
      <c r="B328" s="186"/>
      <c r="C328" s="187"/>
      <c r="D328" s="188"/>
      <c r="E328" s="187"/>
      <c r="F328" s="189"/>
      <c r="G328" s="189"/>
      <c r="H328" s="188"/>
      <c r="I328" s="187"/>
      <c r="J328" s="180"/>
      <c r="K328" s="182"/>
      <c r="L328" s="172"/>
      <c r="M328" s="180"/>
      <c r="N328" s="183"/>
      <c r="O328" s="184"/>
      <c r="P328" s="185"/>
    </row>
    <row r="329" spans="1:16" ht="15.75" customHeight="1" x14ac:dyDescent="0.25">
      <c r="A329" s="179"/>
      <c r="B329" s="186"/>
      <c r="C329" s="187"/>
      <c r="D329" s="188"/>
      <c r="E329" s="187"/>
      <c r="F329" s="189"/>
      <c r="G329" s="189"/>
      <c r="H329" s="188"/>
      <c r="I329" s="187"/>
      <c r="J329" s="180"/>
      <c r="K329" s="182"/>
      <c r="L329" s="172"/>
      <c r="M329" s="180"/>
      <c r="N329" s="183"/>
      <c r="O329" s="184"/>
      <c r="P329" s="185"/>
    </row>
    <row r="330" spans="1:16" ht="15.75" customHeight="1" x14ac:dyDescent="0.25">
      <c r="A330" s="179"/>
      <c r="B330" s="186"/>
      <c r="C330" s="187"/>
      <c r="D330" s="188"/>
      <c r="E330" s="187"/>
      <c r="F330" s="189"/>
      <c r="G330" s="189"/>
      <c r="H330" s="188"/>
      <c r="I330" s="187"/>
      <c r="J330" s="180"/>
      <c r="K330" s="182"/>
      <c r="L330" s="172"/>
      <c r="M330" s="180"/>
      <c r="N330" s="183"/>
      <c r="O330" s="184"/>
      <c r="P330" s="185"/>
    </row>
    <row r="331" spans="1:16" ht="15.75" customHeight="1" x14ac:dyDescent="0.25">
      <c r="A331" s="179"/>
      <c r="B331" s="186"/>
      <c r="C331" s="187"/>
      <c r="D331" s="188"/>
      <c r="E331" s="187"/>
      <c r="F331" s="189"/>
      <c r="G331" s="189"/>
      <c r="H331" s="188"/>
      <c r="I331" s="187"/>
      <c r="J331" s="180"/>
      <c r="K331" s="182"/>
      <c r="L331" s="172"/>
      <c r="M331" s="180"/>
      <c r="N331" s="183"/>
      <c r="O331" s="184"/>
      <c r="P331" s="185"/>
    </row>
    <row r="332" spans="1:16" ht="15.75" customHeight="1" x14ac:dyDescent="0.25">
      <c r="A332" s="179"/>
      <c r="B332" s="186"/>
      <c r="C332" s="187"/>
      <c r="D332" s="188"/>
      <c r="E332" s="187"/>
      <c r="F332" s="189"/>
      <c r="G332" s="189"/>
      <c r="H332" s="188"/>
      <c r="I332" s="187"/>
      <c r="J332" s="180"/>
      <c r="K332" s="182"/>
      <c r="L332" s="172"/>
      <c r="M332" s="180"/>
      <c r="N332" s="183"/>
      <c r="O332" s="184"/>
      <c r="P332" s="185"/>
    </row>
    <row r="333" spans="1:16" ht="15.75" customHeight="1" x14ac:dyDescent="0.25">
      <c r="A333" s="179"/>
      <c r="B333" s="186"/>
      <c r="C333" s="187"/>
      <c r="D333" s="188"/>
      <c r="E333" s="187"/>
      <c r="F333" s="189"/>
      <c r="G333" s="189"/>
      <c r="H333" s="188"/>
      <c r="I333" s="187"/>
      <c r="J333" s="180"/>
      <c r="K333" s="182"/>
      <c r="L333" s="172"/>
      <c r="M333" s="180"/>
      <c r="N333" s="183"/>
      <c r="O333" s="184"/>
      <c r="P333" s="185"/>
    </row>
    <row r="334" spans="1:16" ht="15.75" customHeight="1" x14ac:dyDescent="0.25">
      <c r="A334" s="179"/>
      <c r="B334" s="186"/>
      <c r="C334" s="187"/>
      <c r="D334" s="188"/>
      <c r="E334" s="187"/>
      <c r="F334" s="189"/>
      <c r="G334" s="189"/>
      <c r="H334" s="188"/>
      <c r="I334" s="187"/>
      <c r="J334" s="180"/>
      <c r="K334" s="182"/>
      <c r="L334" s="172"/>
      <c r="M334" s="180"/>
      <c r="N334" s="183"/>
      <c r="O334" s="184"/>
      <c r="P334" s="185"/>
    </row>
    <row r="335" spans="1:16" ht="15.75" customHeight="1" x14ac:dyDescent="0.25">
      <c r="A335" s="179"/>
      <c r="B335" s="186"/>
      <c r="C335" s="187"/>
      <c r="D335" s="188"/>
      <c r="E335" s="187"/>
      <c r="F335" s="189"/>
      <c r="G335" s="189"/>
      <c r="H335" s="188"/>
      <c r="I335" s="187"/>
      <c r="J335" s="180"/>
      <c r="K335" s="182"/>
      <c r="L335" s="172"/>
      <c r="M335" s="180"/>
      <c r="N335" s="183"/>
      <c r="O335" s="184"/>
      <c r="P335" s="185"/>
    </row>
    <row r="336" spans="1:16" ht="15.75" customHeight="1" x14ac:dyDescent="0.25">
      <c r="A336" s="179"/>
      <c r="B336" s="186"/>
      <c r="C336" s="187"/>
      <c r="D336" s="188"/>
      <c r="E336" s="187"/>
      <c r="F336" s="189"/>
      <c r="G336" s="189"/>
      <c r="H336" s="188"/>
      <c r="I336" s="187"/>
      <c r="J336" s="180"/>
      <c r="K336" s="182"/>
      <c r="L336" s="172"/>
      <c r="M336" s="180"/>
      <c r="N336" s="183"/>
      <c r="O336" s="184"/>
      <c r="P336" s="185"/>
    </row>
    <row r="337" spans="1:16" ht="15.75" customHeight="1" x14ac:dyDescent="0.25">
      <c r="A337" s="179"/>
      <c r="B337" s="186"/>
      <c r="C337" s="187"/>
      <c r="D337" s="188"/>
      <c r="E337" s="187"/>
      <c r="F337" s="189"/>
      <c r="G337" s="189"/>
      <c r="H337" s="188"/>
      <c r="I337" s="187"/>
      <c r="J337" s="180"/>
      <c r="K337" s="182"/>
      <c r="L337" s="172"/>
      <c r="M337" s="180"/>
      <c r="N337" s="183"/>
      <c r="O337" s="184"/>
      <c r="P337" s="185"/>
    </row>
    <row r="338" spans="1:16" ht="15.75" customHeight="1" x14ac:dyDescent="0.25">
      <c r="A338" s="179"/>
      <c r="B338" s="186"/>
      <c r="C338" s="187"/>
      <c r="D338" s="188"/>
      <c r="E338" s="187"/>
      <c r="F338" s="189"/>
      <c r="G338" s="189"/>
      <c r="H338" s="188"/>
      <c r="I338" s="187"/>
      <c r="J338" s="180"/>
      <c r="K338" s="182"/>
      <c r="L338" s="172"/>
      <c r="M338" s="180"/>
      <c r="N338" s="183"/>
      <c r="O338" s="184"/>
      <c r="P338" s="185"/>
    </row>
    <row r="339" spans="1:16" ht="15.75" customHeight="1" x14ac:dyDescent="0.25">
      <c r="A339" s="179"/>
      <c r="B339" s="186"/>
      <c r="C339" s="187"/>
      <c r="D339" s="188"/>
      <c r="E339" s="187"/>
      <c r="F339" s="189"/>
      <c r="G339" s="189"/>
      <c r="H339" s="188"/>
      <c r="I339" s="187"/>
      <c r="J339" s="180"/>
      <c r="K339" s="182"/>
      <c r="L339" s="172"/>
      <c r="M339" s="180"/>
      <c r="N339" s="183"/>
      <c r="O339" s="184"/>
      <c r="P339" s="185"/>
    </row>
    <row r="340" spans="1:16" ht="15.75" customHeight="1" x14ac:dyDescent="0.25">
      <c r="A340" s="179"/>
      <c r="B340" s="186"/>
      <c r="C340" s="187"/>
      <c r="D340" s="188"/>
      <c r="E340" s="187"/>
      <c r="F340" s="189"/>
      <c r="G340" s="189"/>
      <c r="H340" s="188"/>
      <c r="I340" s="187"/>
      <c r="J340" s="180"/>
      <c r="K340" s="182"/>
      <c r="L340" s="172"/>
      <c r="M340" s="180"/>
      <c r="N340" s="183"/>
      <c r="O340" s="184"/>
      <c r="P340" s="185"/>
    </row>
    <row r="341" spans="1:16" ht="15.75" customHeight="1" x14ac:dyDescent="0.25">
      <c r="A341" s="179"/>
      <c r="B341" s="186"/>
      <c r="C341" s="187"/>
      <c r="D341" s="188"/>
      <c r="E341" s="187"/>
      <c r="F341" s="189"/>
      <c r="G341" s="189"/>
      <c r="H341" s="188"/>
      <c r="I341" s="187"/>
      <c r="J341" s="180"/>
      <c r="K341" s="182"/>
      <c r="L341" s="172"/>
      <c r="M341" s="180"/>
      <c r="N341" s="183"/>
      <c r="O341" s="184"/>
      <c r="P341" s="185"/>
    </row>
    <row r="342" spans="1:16" ht="15.75" customHeight="1" x14ac:dyDescent="0.25">
      <c r="A342" s="179"/>
      <c r="B342" s="186"/>
      <c r="C342" s="187"/>
      <c r="D342" s="188"/>
      <c r="E342" s="187"/>
      <c r="F342" s="189"/>
      <c r="G342" s="189"/>
      <c r="H342" s="188"/>
      <c r="I342" s="187"/>
      <c r="J342" s="180"/>
      <c r="K342" s="182"/>
      <c r="L342" s="172"/>
      <c r="M342" s="180"/>
      <c r="N342" s="183"/>
      <c r="O342" s="184"/>
      <c r="P342" s="185"/>
    </row>
    <row r="343" spans="1:16" ht="15.75" customHeight="1" x14ac:dyDescent="0.25">
      <c r="A343" s="179"/>
      <c r="B343" s="186"/>
      <c r="C343" s="187"/>
      <c r="D343" s="188"/>
      <c r="E343" s="187"/>
      <c r="F343" s="189"/>
      <c r="G343" s="189"/>
      <c r="H343" s="188"/>
      <c r="I343" s="187"/>
      <c r="J343" s="180"/>
      <c r="K343" s="182"/>
      <c r="L343" s="172"/>
      <c r="M343" s="180"/>
      <c r="N343" s="183"/>
      <c r="O343" s="184"/>
      <c r="P343" s="185"/>
    </row>
    <row r="344" spans="1:16" ht="15.75" customHeight="1" x14ac:dyDescent="0.25">
      <c r="A344" s="179"/>
      <c r="B344" s="186"/>
      <c r="C344" s="187"/>
      <c r="D344" s="188"/>
      <c r="E344" s="187"/>
      <c r="F344" s="189"/>
      <c r="G344" s="189"/>
      <c r="H344" s="188"/>
      <c r="I344" s="187"/>
      <c r="J344" s="180"/>
      <c r="K344" s="182"/>
      <c r="L344" s="172"/>
      <c r="M344" s="180"/>
      <c r="N344" s="183"/>
      <c r="O344" s="184"/>
      <c r="P344" s="185"/>
    </row>
    <row r="345" spans="1:16" ht="15.75" customHeight="1" x14ac:dyDescent="0.25">
      <c r="A345" s="179"/>
      <c r="B345" s="186"/>
      <c r="C345" s="187"/>
      <c r="D345" s="188"/>
      <c r="E345" s="187"/>
      <c r="F345" s="189"/>
      <c r="G345" s="189"/>
      <c r="H345" s="188"/>
      <c r="I345" s="187"/>
      <c r="J345" s="180"/>
      <c r="K345" s="182"/>
      <c r="L345" s="172"/>
      <c r="M345" s="180"/>
      <c r="N345" s="183"/>
      <c r="O345" s="184"/>
      <c r="P345" s="185"/>
    </row>
    <row r="346" spans="1:16" ht="15.75" customHeight="1" x14ac:dyDescent="0.25">
      <c r="A346" s="179"/>
      <c r="B346" s="186"/>
      <c r="C346" s="187"/>
      <c r="D346" s="188"/>
      <c r="E346" s="187"/>
      <c r="F346" s="189"/>
      <c r="G346" s="189"/>
      <c r="H346" s="188"/>
      <c r="I346" s="187"/>
      <c r="J346" s="180"/>
      <c r="K346" s="182"/>
      <c r="L346" s="172"/>
      <c r="M346" s="180"/>
      <c r="N346" s="183"/>
      <c r="O346" s="184"/>
      <c r="P346" s="185"/>
    </row>
    <row r="347" spans="1:16" ht="15.75" customHeight="1" x14ac:dyDescent="0.25">
      <c r="A347" s="179"/>
      <c r="B347" s="186"/>
      <c r="C347" s="187"/>
      <c r="D347" s="188"/>
      <c r="E347" s="187"/>
      <c r="F347" s="189"/>
      <c r="G347" s="189"/>
      <c r="H347" s="188"/>
      <c r="I347" s="187"/>
      <c r="J347" s="180"/>
      <c r="K347" s="182"/>
      <c r="L347" s="172"/>
      <c r="M347" s="180"/>
      <c r="N347" s="183"/>
      <c r="O347" s="184"/>
      <c r="P347" s="185"/>
    </row>
    <row r="348" spans="1:16" ht="15.75" customHeight="1" x14ac:dyDescent="0.25">
      <c r="A348" s="179"/>
      <c r="B348" s="186"/>
      <c r="C348" s="187"/>
      <c r="D348" s="188"/>
      <c r="E348" s="187"/>
      <c r="F348" s="189"/>
      <c r="G348" s="189"/>
      <c r="H348" s="188"/>
      <c r="I348" s="187"/>
      <c r="J348" s="180"/>
      <c r="K348" s="182"/>
      <c r="L348" s="172"/>
      <c r="M348" s="180"/>
      <c r="N348" s="183"/>
      <c r="O348" s="184"/>
      <c r="P348" s="185"/>
    </row>
    <row r="349" spans="1:16" ht="15.75" customHeight="1" x14ac:dyDescent="0.25">
      <c r="A349" s="179"/>
      <c r="B349" s="186"/>
      <c r="C349" s="187"/>
      <c r="D349" s="188"/>
      <c r="E349" s="187"/>
      <c r="F349" s="189"/>
      <c r="G349" s="189"/>
      <c r="H349" s="188"/>
      <c r="I349" s="187"/>
      <c r="J349" s="180"/>
      <c r="K349" s="182"/>
      <c r="L349" s="172"/>
      <c r="M349" s="180"/>
      <c r="N349" s="183"/>
      <c r="O349" s="184"/>
      <c r="P349" s="185"/>
    </row>
    <row r="350" spans="1:16" ht="15.75" customHeight="1" x14ac:dyDescent="0.25">
      <c r="A350" s="179"/>
      <c r="B350" s="186"/>
      <c r="C350" s="187"/>
      <c r="D350" s="188"/>
      <c r="E350" s="187"/>
      <c r="F350" s="189"/>
      <c r="G350" s="189"/>
      <c r="H350" s="188"/>
      <c r="I350" s="187"/>
      <c r="J350" s="180"/>
      <c r="K350" s="182"/>
      <c r="L350" s="172"/>
      <c r="M350" s="180"/>
      <c r="N350" s="183"/>
      <c r="O350" s="184"/>
      <c r="P350" s="185"/>
    </row>
    <row r="351" spans="1:16" ht="15.75" customHeight="1" x14ac:dyDescent="0.25">
      <c r="A351" s="179"/>
      <c r="B351" s="186"/>
      <c r="C351" s="187"/>
      <c r="D351" s="188"/>
      <c r="E351" s="187"/>
      <c r="F351" s="189"/>
      <c r="G351" s="189"/>
      <c r="H351" s="188"/>
      <c r="I351" s="187"/>
      <c r="J351" s="180"/>
      <c r="K351" s="182"/>
      <c r="L351" s="172"/>
      <c r="M351" s="180"/>
      <c r="N351" s="183"/>
      <c r="O351" s="184"/>
      <c r="P351" s="185"/>
    </row>
    <row r="352" spans="1:16" ht="15.75" customHeight="1" x14ac:dyDescent="0.25">
      <c r="A352" s="179"/>
      <c r="B352" s="186"/>
      <c r="C352" s="187"/>
      <c r="D352" s="188"/>
      <c r="E352" s="187"/>
      <c r="F352" s="189"/>
      <c r="G352" s="189"/>
      <c r="H352" s="188"/>
      <c r="I352" s="187"/>
      <c r="J352" s="180"/>
      <c r="K352" s="182"/>
      <c r="L352" s="172"/>
      <c r="M352" s="180"/>
      <c r="N352" s="183"/>
      <c r="O352" s="184"/>
      <c r="P352" s="185"/>
    </row>
    <row r="353" spans="1:16" ht="15.75" customHeight="1" x14ac:dyDescent="0.25">
      <c r="A353" s="179"/>
      <c r="B353" s="186"/>
      <c r="C353" s="187"/>
      <c r="D353" s="188"/>
      <c r="E353" s="187"/>
      <c r="F353" s="189"/>
      <c r="G353" s="189"/>
      <c r="H353" s="188"/>
      <c r="I353" s="187"/>
      <c r="J353" s="180"/>
      <c r="K353" s="182"/>
      <c r="L353" s="172"/>
      <c r="M353" s="180"/>
      <c r="N353" s="183"/>
      <c r="O353" s="184"/>
      <c r="P353" s="185"/>
    </row>
    <row r="354" spans="1:16" ht="15.75" customHeight="1" x14ac:dyDescent="0.25">
      <c r="A354" s="179"/>
      <c r="B354" s="186"/>
      <c r="C354" s="187"/>
      <c r="D354" s="188"/>
      <c r="E354" s="187"/>
      <c r="F354" s="189"/>
      <c r="G354" s="189"/>
      <c r="H354" s="188"/>
      <c r="I354" s="187"/>
      <c r="J354" s="180"/>
      <c r="K354" s="182"/>
      <c r="L354" s="172"/>
      <c r="M354" s="180"/>
      <c r="N354" s="183"/>
      <c r="O354" s="184"/>
      <c r="P354" s="185"/>
    </row>
    <row r="355" spans="1:16" ht="15.75" customHeight="1" x14ac:dyDescent="0.25">
      <c r="A355" s="179"/>
      <c r="B355" s="186"/>
      <c r="C355" s="187"/>
      <c r="D355" s="188"/>
      <c r="E355" s="187"/>
      <c r="F355" s="189"/>
      <c r="G355" s="189"/>
      <c r="H355" s="188"/>
      <c r="I355" s="187"/>
      <c r="J355" s="180"/>
      <c r="K355" s="182"/>
      <c r="L355" s="172"/>
      <c r="M355" s="180"/>
      <c r="N355" s="183"/>
      <c r="O355" s="184"/>
      <c r="P355" s="185"/>
    </row>
    <row r="356" spans="1:16" ht="15.75" customHeight="1" x14ac:dyDescent="0.25">
      <c r="A356" s="179"/>
      <c r="B356" s="186"/>
      <c r="C356" s="187"/>
      <c r="D356" s="188"/>
      <c r="E356" s="187"/>
      <c r="F356" s="189"/>
      <c r="G356" s="189"/>
      <c r="H356" s="188"/>
      <c r="I356" s="187"/>
      <c r="J356" s="180"/>
      <c r="K356" s="182"/>
      <c r="L356" s="172"/>
      <c r="M356" s="180"/>
      <c r="N356" s="183"/>
      <c r="O356" s="184"/>
      <c r="P356" s="185"/>
    </row>
    <row r="357" spans="1:16" ht="15.75" customHeight="1" x14ac:dyDescent="0.25">
      <c r="A357" s="179"/>
      <c r="B357" s="186"/>
      <c r="C357" s="187"/>
      <c r="D357" s="188"/>
      <c r="E357" s="187"/>
      <c r="F357" s="189"/>
      <c r="G357" s="189"/>
      <c r="H357" s="188"/>
      <c r="I357" s="187"/>
      <c r="J357" s="180"/>
      <c r="K357" s="182"/>
      <c r="L357" s="172"/>
      <c r="M357" s="180"/>
      <c r="N357" s="183"/>
      <c r="O357" s="184"/>
      <c r="P357" s="185"/>
    </row>
    <row r="358" spans="1:16" ht="15.75" customHeight="1" x14ac:dyDescent="0.25">
      <c r="A358" s="179"/>
      <c r="B358" s="186"/>
      <c r="C358" s="187"/>
      <c r="D358" s="188"/>
      <c r="E358" s="187"/>
      <c r="F358" s="189"/>
      <c r="G358" s="189"/>
      <c r="H358" s="188"/>
      <c r="I358" s="187"/>
      <c r="J358" s="180"/>
      <c r="K358" s="182"/>
      <c r="L358" s="172"/>
      <c r="M358" s="180"/>
      <c r="N358" s="183"/>
      <c r="O358" s="184"/>
      <c r="P358" s="185"/>
    </row>
    <row r="359" spans="1:16" ht="15.75" customHeight="1" x14ac:dyDescent="0.25">
      <c r="A359" s="179"/>
      <c r="B359" s="186"/>
      <c r="C359" s="187"/>
      <c r="D359" s="188"/>
      <c r="E359" s="187"/>
      <c r="F359" s="189"/>
      <c r="G359" s="189"/>
      <c r="H359" s="188"/>
      <c r="I359" s="187"/>
      <c r="J359" s="180"/>
      <c r="K359" s="182"/>
      <c r="L359" s="172"/>
      <c r="M359" s="180"/>
      <c r="N359" s="183"/>
      <c r="O359" s="184"/>
      <c r="P359" s="185"/>
    </row>
    <row r="360" spans="1:16" ht="15.75" customHeight="1" x14ac:dyDescent="0.25">
      <c r="A360" s="179"/>
      <c r="B360" s="186"/>
      <c r="C360" s="187"/>
      <c r="D360" s="188"/>
      <c r="E360" s="187"/>
      <c r="F360" s="189"/>
      <c r="G360" s="189"/>
      <c r="H360" s="188"/>
      <c r="I360" s="187"/>
      <c r="J360" s="180"/>
      <c r="K360" s="182"/>
      <c r="L360" s="172"/>
      <c r="M360" s="180"/>
      <c r="N360" s="183"/>
      <c r="O360" s="184"/>
      <c r="P360" s="185"/>
    </row>
    <row r="361" spans="1:16" ht="15.75" customHeight="1" x14ac:dyDescent="0.25">
      <c r="A361" s="179"/>
      <c r="B361" s="186"/>
      <c r="C361" s="187"/>
      <c r="D361" s="188"/>
      <c r="E361" s="187"/>
      <c r="F361" s="189"/>
      <c r="G361" s="189"/>
      <c r="H361" s="188"/>
      <c r="I361" s="187"/>
      <c r="J361" s="180"/>
      <c r="K361" s="182"/>
      <c r="L361" s="172"/>
      <c r="M361" s="180"/>
      <c r="N361" s="183"/>
      <c r="O361" s="184"/>
      <c r="P361" s="185"/>
    </row>
    <row r="362" spans="1:16" ht="15.75" customHeight="1" x14ac:dyDescent="0.25">
      <c r="A362" s="179"/>
      <c r="B362" s="186"/>
      <c r="C362" s="187"/>
      <c r="D362" s="188"/>
      <c r="E362" s="187"/>
      <c r="F362" s="189"/>
      <c r="G362" s="189"/>
      <c r="H362" s="188"/>
      <c r="I362" s="187"/>
      <c r="J362" s="180"/>
      <c r="K362" s="182"/>
      <c r="L362" s="172"/>
      <c r="M362" s="180"/>
      <c r="N362" s="183"/>
      <c r="O362" s="184"/>
      <c r="P362" s="185"/>
    </row>
    <row r="363" spans="1:16" ht="15.75" customHeight="1" x14ac:dyDescent="0.25">
      <c r="A363" s="179"/>
      <c r="B363" s="186"/>
      <c r="C363" s="187"/>
      <c r="D363" s="188"/>
      <c r="E363" s="187"/>
      <c r="F363" s="189"/>
      <c r="G363" s="189"/>
      <c r="H363" s="188"/>
      <c r="I363" s="187"/>
      <c r="J363" s="180"/>
      <c r="K363" s="182"/>
      <c r="L363" s="172"/>
      <c r="M363" s="180"/>
      <c r="N363" s="183"/>
      <c r="O363" s="184"/>
      <c r="P363" s="185"/>
    </row>
    <row r="364" spans="1:16" ht="15.75" customHeight="1" x14ac:dyDescent="0.25">
      <c r="A364" s="179"/>
      <c r="B364" s="186"/>
      <c r="C364" s="187"/>
      <c r="D364" s="188"/>
      <c r="E364" s="187"/>
      <c r="F364" s="189"/>
      <c r="G364" s="189"/>
      <c r="H364" s="188"/>
      <c r="I364" s="187"/>
      <c r="J364" s="180"/>
      <c r="K364" s="182"/>
      <c r="L364" s="172"/>
      <c r="M364" s="180"/>
      <c r="N364" s="183"/>
      <c r="O364" s="184"/>
      <c r="P364" s="185"/>
    </row>
    <row r="365" spans="1:16" ht="15.75" customHeight="1" x14ac:dyDescent="0.25">
      <c r="A365" s="179"/>
      <c r="B365" s="186"/>
      <c r="C365" s="187"/>
      <c r="D365" s="188"/>
      <c r="E365" s="187"/>
      <c r="F365" s="189"/>
      <c r="G365" s="189"/>
      <c r="H365" s="188"/>
      <c r="I365" s="187"/>
      <c r="J365" s="180"/>
      <c r="K365" s="182"/>
      <c r="L365" s="172"/>
      <c r="M365" s="180"/>
      <c r="N365" s="183"/>
      <c r="O365" s="184"/>
      <c r="P365" s="185"/>
    </row>
    <row r="366" spans="1:16" ht="15.75" customHeight="1" x14ac:dyDescent="0.25">
      <c r="A366" s="179"/>
      <c r="B366" s="186"/>
      <c r="C366" s="187"/>
      <c r="D366" s="188"/>
      <c r="E366" s="187"/>
      <c r="F366" s="189"/>
      <c r="G366" s="189"/>
      <c r="H366" s="188"/>
      <c r="I366" s="187"/>
      <c r="J366" s="180"/>
      <c r="K366" s="182"/>
      <c r="L366" s="172"/>
      <c r="M366" s="180"/>
      <c r="N366" s="183"/>
      <c r="O366" s="184"/>
      <c r="P366" s="185"/>
    </row>
    <row r="367" spans="1:16" ht="15.75" customHeight="1" x14ac:dyDescent="0.25">
      <c r="A367" s="179"/>
      <c r="B367" s="186"/>
      <c r="C367" s="187"/>
      <c r="D367" s="188"/>
      <c r="E367" s="187"/>
      <c r="F367" s="189"/>
      <c r="G367" s="189"/>
      <c r="H367" s="188"/>
      <c r="I367" s="187"/>
      <c r="J367" s="180"/>
      <c r="K367" s="182"/>
      <c r="L367" s="172"/>
      <c r="M367" s="180"/>
      <c r="N367" s="183"/>
      <c r="O367" s="184"/>
      <c r="P367" s="185"/>
    </row>
    <row r="368" spans="1:16" ht="15.75" customHeight="1" x14ac:dyDescent="0.25">
      <c r="A368" s="179"/>
      <c r="B368" s="186"/>
      <c r="C368" s="187"/>
      <c r="D368" s="188"/>
      <c r="E368" s="187"/>
      <c r="F368" s="189"/>
      <c r="G368" s="189"/>
      <c r="H368" s="188"/>
      <c r="I368" s="187"/>
      <c r="J368" s="180"/>
      <c r="K368" s="182"/>
      <c r="L368" s="172"/>
      <c r="M368" s="180"/>
      <c r="N368" s="183"/>
      <c r="O368" s="184"/>
      <c r="P368" s="185"/>
    </row>
    <row r="369" spans="1:16" ht="15.75" customHeight="1" x14ac:dyDescent="0.25">
      <c r="A369" s="179"/>
      <c r="B369" s="186"/>
      <c r="C369" s="187"/>
      <c r="D369" s="188"/>
      <c r="E369" s="187"/>
      <c r="F369" s="189"/>
      <c r="G369" s="189"/>
      <c r="H369" s="188"/>
      <c r="I369" s="187"/>
      <c r="J369" s="180"/>
      <c r="K369" s="182"/>
      <c r="L369" s="172"/>
      <c r="M369" s="180"/>
      <c r="N369" s="183"/>
      <c r="O369" s="184"/>
      <c r="P369" s="185"/>
    </row>
    <row r="370" spans="1:16" ht="15.75" customHeight="1" x14ac:dyDescent="0.25">
      <c r="A370" s="179"/>
      <c r="B370" s="186"/>
      <c r="C370" s="187"/>
      <c r="D370" s="188"/>
      <c r="E370" s="187"/>
      <c r="F370" s="189"/>
      <c r="G370" s="189"/>
      <c r="H370" s="188"/>
      <c r="I370" s="187"/>
      <c r="J370" s="180"/>
      <c r="K370" s="182"/>
      <c r="L370" s="172"/>
      <c r="M370" s="180"/>
      <c r="N370" s="183"/>
      <c r="O370" s="184"/>
      <c r="P370" s="185"/>
    </row>
    <row r="371" spans="1:16" ht="15.75" customHeight="1" x14ac:dyDescent="0.25">
      <c r="A371" s="179"/>
      <c r="B371" s="186"/>
      <c r="C371" s="187"/>
      <c r="D371" s="188"/>
      <c r="E371" s="187"/>
      <c r="F371" s="189"/>
      <c r="G371" s="189"/>
      <c r="H371" s="188"/>
      <c r="I371" s="187"/>
      <c r="J371" s="180"/>
      <c r="K371" s="182"/>
      <c r="L371" s="172"/>
      <c r="M371" s="180"/>
      <c r="N371" s="183"/>
      <c r="O371" s="184"/>
      <c r="P371" s="185"/>
    </row>
    <row r="372" spans="1:16" ht="15.75" customHeight="1" x14ac:dyDescent="0.25">
      <c r="A372" s="179"/>
      <c r="B372" s="186"/>
      <c r="C372" s="187"/>
      <c r="D372" s="188"/>
      <c r="E372" s="187"/>
      <c r="F372" s="189"/>
      <c r="G372" s="189"/>
      <c r="H372" s="188"/>
      <c r="I372" s="187"/>
      <c r="J372" s="180"/>
      <c r="K372" s="182"/>
      <c r="L372" s="172"/>
      <c r="M372" s="180"/>
      <c r="N372" s="183"/>
      <c r="O372" s="184"/>
      <c r="P372" s="185"/>
    </row>
    <row r="373" spans="1:16" ht="15.75" customHeight="1" x14ac:dyDescent="0.25">
      <c r="A373" s="179"/>
      <c r="B373" s="186"/>
      <c r="C373" s="187"/>
      <c r="D373" s="188"/>
      <c r="E373" s="187"/>
      <c r="F373" s="189"/>
      <c r="G373" s="189"/>
      <c r="H373" s="188"/>
      <c r="I373" s="187"/>
      <c r="J373" s="180"/>
      <c r="K373" s="182"/>
      <c r="L373" s="172"/>
      <c r="M373" s="180"/>
      <c r="N373" s="183"/>
      <c r="O373" s="184"/>
      <c r="P373" s="185"/>
    </row>
    <row r="374" spans="1:16" ht="15.75" customHeight="1" x14ac:dyDescent="0.25">
      <c r="A374" s="179"/>
      <c r="B374" s="186"/>
      <c r="C374" s="187"/>
      <c r="D374" s="188"/>
      <c r="E374" s="187"/>
      <c r="F374" s="189"/>
      <c r="G374" s="189"/>
      <c r="H374" s="188"/>
      <c r="I374" s="187"/>
      <c r="J374" s="180"/>
      <c r="K374" s="182"/>
      <c r="L374" s="172"/>
      <c r="M374" s="180"/>
      <c r="N374" s="183"/>
      <c r="O374" s="184"/>
      <c r="P374" s="185"/>
    </row>
    <row r="375" spans="1:16" ht="15.75" customHeight="1" x14ac:dyDescent="0.25">
      <c r="A375" s="179"/>
      <c r="B375" s="186"/>
      <c r="C375" s="187"/>
      <c r="D375" s="188"/>
      <c r="E375" s="187"/>
      <c r="F375" s="189"/>
      <c r="G375" s="189"/>
      <c r="H375" s="188"/>
      <c r="I375" s="187"/>
      <c r="J375" s="180"/>
      <c r="K375" s="182"/>
      <c r="L375" s="172"/>
      <c r="M375" s="180"/>
      <c r="N375" s="183"/>
      <c r="O375" s="184"/>
      <c r="P375" s="185"/>
    </row>
    <row r="376" spans="1:16" ht="15.75" customHeight="1" x14ac:dyDescent="0.25">
      <c r="A376" s="179"/>
      <c r="B376" s="186"/>
      <c r="C376" s="187"/>
      <c r="D376" s="188"/>
      <c r="E376" s="187"/>
      <c r="F376" s="189"/>
      <c r="G376" s="189"/>
      <c r="H376" s="188"/>
      <c r="I376" s="187"/>
      <c r="J376" s="180"/>
      <c r="K376" s="182"/>
      <c r="L376" s="172"/>
      <c r="M376" s="180"/>
      <c r="N376" s="183"/>
      <c r="O376" s="184"/>
      <c r="P376" s="185"/>
    </row>
    <row r="377" spans="1:16" ht="15.75" customHeight="1" x14ac:dyDescent="0.25">
      <c r="A377" s="179"/>
      <c r="B377" s="186"/>
      <c r="C377" s="187"/>
      <c r="D377" s="188"/>
      <c r="E377" s="187"/>
      <c r="F377" s="189"/>
      <c r="G377" s="189"/>
      <c r="H377" s="188"/>
      <c r="I377" s="187"/>
      <c r="J377" s="180"/>
      <c r="K377" s="182"/>
      <c r="L377" s="172"/>
      <c r="M377" s="180"/>
      <c r="N377" s="183"/>
      <c r="O377" s="184"/>
      <c r="P377" s="185"/>
    </row>
    <row r="378" spans="1:16" ht="15.75" customHeight="1" x14ac:dyDescent="0.25">
      <c r="A378" s="179"/>
      <c r="B378" s="186"/>
      <c r="C378" s="187"/>
      <c r="D378" s="188"/>
      <c r="E378" s="187"/>
      <c r="F378" s="189"/>
      <c r="G378" s="189"/>
      <c r="H378" s="188"/>
      <c r="I378" s="187"/>
      <c r="J378" s="180"/>
      <c r="K378" s="182"/>
      <c r="L378" s="172"/>
      <c r="M378" s="180"/>
      <c r="N378" s="183"/>
      <c r="O378" s="184"/>
      <c r="P378" s="185"/>
    </row>
    <row r="379" spans="1:16" ht="15.75" customHeight="1" x14ac:dyDescent="0.25">
      <c r="A379" s="179"/>
      <c r="B379" s="186"/>
      <c r="C379" s="187"/>
      <c r="D379" s="188"/>
      <c r="E379" s="187"/>
      <c r="F379" s="189"/>
      <c r="G379" s="189"/>
      <c r="H379" s="188"/>
      <c r="I379" s="187"/>
      <c r="J379" s="180"/>
      <c r="K379" s="182"/>
      <c r="L379" s="172"/>
      <c r="M379" s="180"/>
      <c r="N379" s="183"/>
      <c r="O379" s="184"/>
      <c r="P379" s="185"/>
    </row>
    <row r="380" spans="1:16" ht="15.75" customHeight="1" x14ac:dyDescent="0.25">
      <c r="A380" s="179"/>
      <c r="B380" s="186"/>
      <c r="C380" s="187"/>
      <c r="D380" s="188"/>
      <c r="E380" s="187"/>
      <c r="F380" s="189"/>
      <c r="G380" s="189"/>
      <c r="H380" s="188"/>
      <c r="I380" s="187"/>
      <c r="J380" s="180"/>
      <c r="K380" s="182"/>
      <c r="L380" s="172"/>
      <c r="M380" s="180"/>
      <c r="N380" s="183"/>
      <c r="O380" s="184"/>
      <c r="P380" s="185"/>
    </row>
    <row r="381" spans="1:16" ht="15.75" customHeight="1" x14ac:dyDescent="0.25">
      <c r="A381" s="179"/>
      <c r="B381" s="186"/>
      <c r="C381" s="187"/>
      <c r="D381" s="188"/>
      <c r="E381" s="187"/>
      <c r="F381" s="189"/>
      <c r="G381" s="189"/>
      <c r="H381" s="188"/>
      <c r="I381" s="187"/>
      <c r="J381" s="180"/>
      <c r="K381" s="182"/>
      <c r="L381" s="172"/>
      <c r="M381" s="180"/>
      <c r="N381" s="183"/>
      <c r="O381" s="184"/>
      <c r="P381" s="185"/>
    </row>
    <row r="382" spans="1:16" ht="15.75" customHeight="1" x14ac:dyDescent="0.25">
      <c r="A382" s="179"/>
      <c r="B382" s="186"/>
      <c r="C382" s="187"/>
      <c r="D382" s="188"/>
      <c r="E382" s="187"/>
      <c r="F382" s="189"/>
      <c r="G382" s="189"/>
      <c r="H382" s="188"/>
      <c r="I382" s="187"/>
      <c r="J382" s="180"/>
      <c r="K382" s="182"/>
      <c r="L382" s="172"/>
      <c r="M382" s="180"/>
      <c r="N382" s="183"/>
      <c r="O382" s="184"/>
      <c r="P382" s="185"/>
    </row>
    <row r="383" spans="1:16" ht="15.75" customHeight="1" x14ac:dyDescent="0.25">
      <c r="A383" s="179"/>
      <c r="B383" s="186"/>
      <c r="C383" s="187"/>
      <c r="D383" s="188"/>
      <c r="E383" s="187"/>
      <c r="F383" s="189"/>
      <c r="G383" s="189"/>
      <c r="H383" s="188"/>
      <c r="I383" s="187"/>
      <c r="J383" s="180"/>
      <c r="K383" s="182"/>
      <c r="L383" s="172"/>
      <c r="M383" s="180"/>
      <c r="N383" s="183"/>
      <c r="O383" s="184"/>
      <c r="P383" s="185"/>
    </row>
    <row r="384" spans="1:16" ht="15.75" customHeight="1" x14ac:dyDescent="0.25">
      <c r="A384" s="179"/>
      <c r="B384" s="186"/>
      <c r="C384" s="187"/>
      <c r="D384" s="188"/>
      <c r="E384" s="187"/>
      <c r="F384" s="189"/>
      <c r="G384" s="189"/>
      <c r="H384" s="188"/>
      <c r="I384" s="187"/>
      <c r="J384" s="180"/>
      <c r="K384" s="182"/>
      <c r="L384" s="172"/>
      <c r="M384" s="180"/>
      <c r="N384" s="183"/>
      <c r="O384" s="184"/>
      <c r="P384" s="185"/>
    </row>
    <row r="385" spans="1:16" ht="15.75" customHeight="1" x14ac:dyDescent="0.25">
      <c r="A385" s="179"/>
      <c r="B385" s="186"/>
      <c r="C385" s="187"/>
      <c r="D385" s="188"/>
      <c r="E385" s="187"/>
      <c r="F385" s="189"/>
      <c r="G385" s="189"/>
      <c r="H385" s="188"/>
      <c r="I385" s="187"/>
      <c r="J385" s="180"/>
      <c r="K385" s="182"/>
      <c r="L385" s="172"/>
      <c r="M385" s="180"/>
      <c r="N385" s="183"/>
      <c r="O385" s="184"/>
      <c r="P385" s="185"/>
    </row>
    <row r="386" spans="1:16" ht="15.75" customHeight="1" x14ac:dyDescent="0.25">
      <c r="A386" s="179"/>
      <c r="B386" s="186"/>
      <c r="C386" s="187"/>
      <c r="D386" s="188"/>
      <c r="E386" s="187"/>
      <c r="F386" s="189"/>
      <c r="G386" s="189"/>
      <c r="H386" s="188"/>
      <c r="I386" s="187"/>
      <c r="J386" s="180"/>
      <c r="K386" s="182"/>
      <c r="L386" s="172"/>
      <c r="M386" s="180"/>
      <c r="N386" s="183"/>
      <c r="O386" s="184"/>
      <c r="P386" s="185"/>
    </row>
    <row r="387" spans="1:16" ht="15.75" customHeight="1" x14ac:dyDescent="0.25">
      <c r="A387" s="179"/>
      <c r="B387" s="186"/>
      <c r="C387" s="187"/>
      <c r="D387" s="188"/>
      <c r="E387" s="187"/>
      <c r="F387" s="189"/>
      <c r="G387" s="189"/>
      <c r="H387" s="188"/>
      <c r="I387" s="187"/>
      <c r="J387" s="180"/>
      <c r="K387" s="182"/>
      <c r="L387" s="172"/>
      <c r="M387" s="180"/>
      <c r="N387" s="183"/>
      <c r="O387" s="184"/>
      <c r="P387" s="185"/>
    </row>
    <row r="388" spans="1:16" ht="15.75" customHeight="1" x14ac:dyDescent="0.25">
      <c r="A388" s="179"/>
      <c r="B388" s="186"/>
      <c r="C388" s="187"/>
      <c r="D388" s="188"/>
      <c r="E388" s="187"/>
      <c r="F388" s="189"/>
      <c r="G388" s="189"/>
      <c r="H388" s="188"/>
      <c r="I388" s="187"/>
      <c r="J388" s="180"/>
      <c r="K388" s="182"/>
      <c r="L388" s="172"/>
      <c r="M388" s="180"/>
      <c r="N388" s="183"/>
      <c r="O388" s="184"/>
      <c r="P388" s="185"/>
    </row>
    <row r="389" spans="1:16" ht="15.75" customHeight="1" x14ac:dyDescent="0.25">
      <c r="A389" s="179"/>
      <c r="B389" s="186"/>
      <c r="C389" s="187"/>
      <c r="D389" s="188"/>
      <c r="E389" s="187"/>
      <c r="F389" s="189"/>
      <c r="G389" s="189"/>
      <c r="H389" s="188"/>
      <c r="I389" s="187"/>
      <c r="J389" s="180"/>
      <c r="K389" s="182"/>
      <c r="L389" s="172"/>
      <c r="M389" s="180"/>
      <c r="N389" s="183"/>
      <c r="O389" s="184"/>
      <c r="P389" s="185"/>
    </row>
    <row r="390" spans="1:16" ht="15.75" customHeight="1" x14ac:dyDescent="0.25">
      <c r="A390" s="179"/>
      <c r="B390" s="186"/>
      <c r="C390" s="187"/>
      <c r="D390" s="188"/>
      <c r="E390" s="187"/>
      <c r="F390" s="189"/>
      <c r="G390" s="189"/>
      <c r="H390" s="188"/>
      <c r="I390" s="187"/>
      <c r="J390" s="180"/>
      <c r="K390" s="182"/>
      <c r="L390" s="172"/>
      <c r="M390" s="180"/>
      <c r="N390" s="183"/>
      <c r="O390" s="184"/>
      <c r="P390" s="185"/>
    </row>
    <row r="391" spans="1:16" ht="15.75" customHeight="1" x14ac:dyDescent="0.25">
      <c r="A391" s="179"/>
      <c r="B391" s="186"/>
      <c r="C391" s="187"/>
      <c r="D391" s="188"/>
      <c r="E391" s="187"/>
      <c r="F391" s="189"/>
      <c r="G391" s="189"/>
      <c r="H391" s="188"/>
      <c r="I391" s="187"/>
      <c r="J391" s="180"/>
      <c r="K391" s="182"/>
      <c r="L391" s="172"/>
      <c r="M391" s="180"/>
      <c r="N391" s="183"/>
      <c r="O391" s="184"/>
      <c r="P391" s="185"/>
    </row>
    <row r="392" spans="1:16" ht="15.75" customHeight="1" x14ac:dyDescent="0.25">
      <c r="A392" s="179"/>
      <c r="B392" s="186"/>
      <c r="C392" s="187"/>
      <c r="D392" s="188"/>
      <c r="E392" s="187"/>
      <c r="F392" s="189"/>
      <c r="G392" s="189"/>
      <c r="H392" s="188"/>
      <c r="I392" s="187"/>
      <c r="J392" s="180"/>
      <c r="K392" s="182"/>
      <c r="L392" s="172"/>
      <c r="M392" s="180"/>
      <c r="N392" s="183"/>
      <c r="O392" s="184"/>
      <c r="P392" s="185"/>
    </row>
    <row r="393" spans="1:16" ht="15.75" customHeight="1" x14ac:dyDescent="0.25">
      <c r="A393" s="179"/>
      <c r="B393" s="186"/>
      <c r="C393" s="187"/>
      <c r="D393" s="188"/>
      <c r="E393" s="187"/>
      <c r="F393" s="189"/>
      <c r="G393" s="189"/>
      <c r="H393" s="188"/>
      <c r="I393" s="187"/>
      <c r="J393" s="180"/>
      <c r="K393" s="182"/>
      <c r="L393" s="172"/>
      <c r="M393" s="180"/>
      <c r="N393" s="183"/>
      <c r="O393" s="184"/>
      <c r="P393" s="185"/>
    </row>
    <row r="394" spans="1:16" ht="15.75" customHeight="1" x14ac:dyDescent="0.25">
      <c r="A394" s="179"/>
      <c r="B394" s="186"/>
      <c r="C394" s="187"/>
      <c r="D394" s="188"/>
      <c r="E394" s="187"/>
      <c r="F394" s="189"/>
      <c r="G394" s="189"/>
      <c r="H394" s="188"/>
      <c r="I394" s="187"/>
      <c r="J394" s="180"/>
      <c r="K394" s="182"/>
      <c r="L394" s="172"/>
      <c r="M394" s="180"/>
      <c r="N394" s="183"/>
      <c r="O394" s="184"/>
      <c r="P394" s="185"/>
    </row>
    <row r="395" spans="1:16" ht="15.75" customHeight="1" x14ac:dyDescent="0.25">
      <c r="A395" s="179"/>
      <c r="B395" s="186"/>
      <c r="C395" s="187"/>
      <c r="D395" s="188"/>
      <c r="E395" s="187"/>
      <c r="F395" s="189"/>
      <c r="G395" s="189"/>
      <c r="H395" s="188"/>
      <c r="I395" s="187"/>
      <c r="J395" s="180"/>
      <c r="K395" s="182"/>
      <c r="L395" s="172"/>
      <c r="M395" s="180"/>
      <c r="N395" s="183"/>
      <c r="O395" s="184"/>
      <c r="P395" s="185"/>
    </row>
    <row r="396" spans="1:16" ht="15.75" customHeight="1" x14ac:dyDescent="0.25">
      <c r="A396" s="179"/>
      <c r="B396" s="186"/>
      <c r="C396" s="187"/>
      <c r="D396" s="188"/>
      <c r="E396" s="187"/>
      <c r="F396" s="189"/>
      <c r="G396" s="189"/>
      <c r="H396" s="188"/>
      <c r="I396" s="187"/>
      <c r="J396" s="180"/>
      <c r="K396" s="182"/>
      <c r="L396" s="172"/>
      <c r="M396" s="180"/>
      <c r="N396" s="183"/>
      <c r="O396" s="184"/>
      <c r="P396" s="185"/>
    </row>
    <row r="397" spans="1:16" ht="15.75" customHeight="1" x14ac:dyDescent="0.25">
      <c r="A397" s="179"/>
      <c r="B397" s="186"/>
      <c r="C397" s="187"/>
      <c r="D397" s="188"/>
      <c r="E397" s="187"/>
      <c r="F397" s="189"/>
      <c r="G397" s="189"/>
      <c r="H397" s="188"/>
      <c r="I397" s="187"/>
      <c r="J397" s="180"/>
      <c r="K397" s="182"/>
      <c r="L397" s="172"/>
      <c r="M397" s="180"/>
      <c r="N397" s="183"/>
      <c r="O397" s="184"/>
      <c r="P397" s="185"/>
    </row>
    <row r="398" spans="1:16" ht="15.75" customHeight="1" x14ac:dyDescent="0.25">
      <c r="A398" s="179"/>
      <c r="B398" s="186"/>
      <c r="C398" s="187"/>
      <c r="D398" s="188"/>
      <c r="E398" s="187"/>
      <c r="F398" s="189"/>
      <c r="G398" s="189"/>
      <c r="H398" s="188"/>
      <c r="I398" s="187"/>
      <c r="J398" s="180"/>
      <c r="K398" s="182"/>
      <c r="L398" s="172"/>
      <c r="M398" s="180"/>
      <c r="N398" s="183"/>
      <c r="O398" s="184"/>
      <c r="P398" s="185"/>
    </row>
    <row r="399" spans="1:16" ht="15.75" customHeight="1" x14ac:dyDescent="0.25">
      <c r="A399" s="179"/>
      <c r="B399" s="186"/>
      <c r="C399" s="187"/>
      <c r="D399" s="188"/>
      <c r="E399" s="187"/>
      <c r="F399" s="189"/>
      <c r="G399" s="189"/>
      <c r="H399" s="188"/>
      <c r="I399" s="187"/>
      <c r="J399" s="180"/>
      <c r="K399" s="182"/>
      <c r="L399" s="172"/>
      <c r="M399" s="180"/>
      <c r="N399" s="183"/>
      <c r="O399" s="184"/>
      <c r="P399" s="185"/>
    </row>
    <row r="400" spans="1:16" ht="15.75" customHeight="1" x14ac:dyDescent="0.25">
      <c r="A400" s="179"/>
      <c r="B400" s="186"/>
      <c r="C400" s="187"/>
      <c r="D400" s="188"/>
      <c r="E400" s="187"/>
      <c r="F400" s="189"/>
      <c r="G400" s="189"/>
      <c r="H400" s="188"/>
      <c r="I400" s="187"/>
      <c r="J400" s="180"/>
      <c r="K400" s="182"/>
      <c r="L400" s="172"/>
      <c r="M400" s="180"/>
      <c r="N400" s="183"/>
      <c r="O400" s="184"/>
      <c r="P400" s="185"/>
    </row>
    <row r="401" spans="1:16" ht="15.75" customHeight="1" x14ac:dyDescent="0.25">
      <c r="A401" s="179"/>
      <c r="B401" s="186"/>
      <c r="C401" s="187"/>
      <c r="D401" s="188"/>
      <c r="E401" s="187"/>
      <c r="F401" s="189"/>
      <c r="G401" s="189"/>
      <c r="H401" s="188"/>
      <c r="I401" s="187"/>
      <c r="J401" s="180"/>
      <c r="K401" s="182"/>
      <c r="L401" s="172"/>
      <c r="M401" s="180"/>
      <c r="N401" s="183"/>
      <c r="O401" s="184"/>
      <c r="P401" s="185"/>
    </row>
    <row r="402" spans="1:16" ht="15.75" customHeight="1" x14ac:dyDescent="0.25">
      <c r="A402" s="179"/>
      <c r="B402" s="186"/>
      <c r="C402" s="187"/>
      <c r="D402" s="188"/>
      <c r="E402" s="187"/>
      <c r="F402" s="189"/>
      <c r="G402" s="189"/>
      <c r="H402" s="188"/>
      <c r="I402" s="187"/>
      <c r="J402" s="180"/>
      <c r="K402" s="182"/>
      <c r="L402" s="172"/>
      <c r="M402" s="180"/>
      <c r="N402" s="183"/>
      <c r="O402" s="184"/>
      <c r="P402" s="185"/>
    </row>
    <row r="403" spans="1:16" ht="15.75" customHeight="1" x14ac:dyDescent="0.25">
      <c r="A403" s="179"/>
      <c r="B403" s="186"/>
      <c r="C403" s="187"/>
      <c r="D403" s="188"/>
      <c r="E403" s="187"/>
      <c r="F403" s="189"/>
      <c r="G403" s="189"/>
      <c r="H403" s="188"/>
      <c r="I403" s="187"/>
      <c r="J403" s="180"/>
      <c r="K403" s="182"/>
      <c r="L403" s="172"/>
      <c r="M403" s="180"/>
      <c r="N403" s="183"/>
      <c r="O403" s="184"/>
      <c r="P403" s="185"/>
    </row>
    <row r="404" spans="1:16" ht="15.75" customHeight="1" x14ac:dyDescent="0.25">
      <c r="A404" s="179"/>
      <c r="B404" s="186"/>
      <c r="C404" s="187"/>
      <c r="D404" s="188"/>
      <c r="E404" s="187"/>
      <c r="F404" s="189"/>
      <c r="G404" s="189"/>
      <c r="H404" s="188"/>
      <c r="I404" s="187"/>
      <c r="J404" s="180"/>
      <c r="K404" s="182"/>
      <c r="L404" s="172"/>
      <c r="M404" s="180"/>
      <c r="N404" s="183"/>
      <c r="O404" s="184"/>
      <c r="P404" s="185"/>
    </row>
    <row r="405" spans="1:16" ht="15.75" customHeight="1" x14ac:dyDescent="0.25">
      <c r="A405" s="179"/>
      <c r="B405" s="186"/>
      <c r="C405" s="187"/>
      <c r="D405" s="188"/>
      <c r="E405" s="187"/>
      <c r="F405" s="189"/>
      <c r="G405" s="189"/>
      <c r="H405" s="188"/>
      <c r="I405" s="187"/>
      <c r="J405" s="180"/>
      <c r="K405" s="182"/>
      <c r="L405" s="172"/>
      <c r="M405" s="180"/>
      <c r="N405" s="183"/>
      <c r="O405" s="184"/>
      <c r="P405" s="185"/>
    </row>
    <row r="406" spans="1:16" ht="15.75" customHeight="1" x14ac:dyDescent="0.25">
      <c r="A406" s="179"/>
      <c r="B406" s="186"/>
      <c r="C406" s="187"/>
      <c r="D406" s="188"/>
      <c r="E406" s="187"/>
      <c r="F406" s="189"/>
      <c r="G406" s="189"/>
      <c r="H406" s="188"/>
      <c r="I406" s="187"/>
      <c r="J406" s="180"/>
      <c r="K406" s="182"/>
      <c r="L406" s="172"/>
      <c r="M406" s="180"/>
      <c r="N406" s="183"/>
      <c r="O406" s="184"/>
      <c r="P406" s="185"/>
    </row>
    <row r="407" spans="1:16" ht="15.75" customHeight="1" x14ac:dyDescent="0.25">
      <c r="A407" s="179"/>
      <c r="B407" s="186"/>
      <c r="C407" s="187"/>
      <c r="D407" s="188"/>
      <c r="E407" s="187"/>
      <c r="F407" s="189"/>
      <c r="G407" s="189"/>
      <c r="H407" s="188"/>
      <c r="I407" s="187"/>
      <c r="J407" s="180"/>
      <c r="K407" s="182"/>
      <c r="L407" s="172"/>
      <c r="M407" s="180"/>
      <c r="N407" s="183"/>
      <c r="O407" s="184"/>
      <c r="P407" s="185"/>
    </row>
    <row r="408" spans="1:16" ht="15.75" customHeight="1" x14ac:dyDescent="0.25">
      <c r="A408" s="179"/>
      <c r="B408" s="186"/>
      <c r="C408" s="187"/>
      <c r="D408" s="188"/>
      <c r="E408" s="187"/>
      <c r="F408" s="189"/>
      <c r="G408" s="189"/>
      <c r="H408" s="188"/>
      <c r="I408" s="187"/>
      <c r="J408" s="180"/>
      <c r="K408" s="182"/>
      <c r="L408" s="172"/>
      <c r="M408" s="180"/>
      <c r="N408" s="183"/>
      <c r="O408" s="184"/>
      <c r="P408" s="185"/>
    </row>
    <row r="409" spans="1:16" ht="15.75" customHeight="1" x14ac:dyDescent="0.25">
      <c r="A409" s="179"/>
      <c r="B409" s="186"/>
      <c r="C409" s="187"/>
      <c r="D409" s="188"/>
      <c r="E409" s="187"/>
      <c r="F409" s="189"/>
      <c r="G409" s="189"/>
      <c r="H409" s="188"/>
      <c r="I409" s="187"/>
      <c r="J409" s="180"/>
      <c r="K409" s="182"/>
      <c r="L409" s="172"/>
      <c r="M409" s="180"/>
      <c r="N409" s="183"/>
      <c r="O409" s="184"/>
      <c r="P409" s="185"/>
    </row>
    <row r="410" spans="1:16" ht="15.75" customHeight="1" x14ac:dyDescent="0.25">
      <c r="A410" s="179"/>
      <c r="B410" s="186"/>
      <c r="C410" s="187"/>
      <c r="D410" s="188"/>
      <c r="E410" s="187"/>
      <c r="F410" s="189"/>
      <c r="G410" s="189"/>
      <c r="H410" s="188"/>
      <c r="I410" s="187"/>
      <c r="J410" s="180"/>
      <c r="K410" s="182"/>
      <c r="L410" s="172"/>
      <c r="M410" s="180"/>
      <c r="N410" s="183"/>
      <c r="O410" s="184"/>
      <c r="P410" s="185"/>
    </row>
    <row r="411" spans="1:16" ht="15.75" customHeight="1" x14ac:dyDescent="0.25">
      <c r="A411" s="179"/>
      <c r="B411" s="186"/>
      <c r="C411" s="187"/>
      <c r="D411" s="188"/>
      <c r="E411" s="187"/>
      <c r="F411" s="189"/>
      <c r="G411" s="189"/>
      <c r="H411" s="188"/>
      <c r="I411" s="187"/>
      <c r="J411" s="180"/>
      <c r="K411" s="182"/>
      <c r="L411" s="172"/>
      <c r="M411" s="180"/>
      <c r="N411" s="183"/>
      <c r="O411" s="184"/>
      <c r="P411" s="185"/>
    </row>
    <row r="412" spans="1:16" ht="15.75" customHeight="1" x14ac:dyDescent="0.25">
      <c r="A412" s="179"/>
      <c r="B412" s="186"/>
      <c r="C412" s="187"/>
      <c r="D412" s="188"/>
      <c r="E412" s="187"/>
      <c r="F412" s="189"/>
      <c r="G412" s="189"/>
      <c r="H412" s="188"/>
      <c r="I412" s="187"/>
      <c r="J412" s="180"/>
      <c r="K412" s="182"/>
      <c r="L412" s="172"/>
      <c r="M412" s="180"/>
      <c r="N412" s="183"/>
      <c r="O412" s="184"/>
      <c r="P412" s="185"/>
    </row>
    <row r="413" spans="1:16" ht="15.75" customHeight="1" x14ac:dyDescent="0.25">
      <c r="A413" s="179"/>
      <c r="B413" s="186"/>
      <c r="C413" s="187"/>
      <c r="D413" s="188"/>
      <c r="E413" s="187"/>
      <c r="F413" s="189"/>
      <c r="G413" s="189"/>
      <c r="H413" s="188"/>
      <c r="I413" s="187"/>
      <c r="J413" s="180"/>
      <c r="K413" s="182"/>
      <c r="L413" s="172"/>
      <c r="M413" s="180"/>
      <c r="N413" s="183"/>
      <c r="O413" s="184"/>
      <c r="P413" s="185"/>
    </row>
    <row r="414" spans="1:16" ht="15.75" customHeight="1" x14ac:dyDescent="0.25">
      <c r="A414" s="179"/>
      <c r="B414" s="186"/>
      <c r="C414" s="187"/>
      <c r="D414" s="188"/>
      <c r="E414" s="187"/>
      <c r="F414" s="189"/>
      <c r="G414" s="189"/>
      <c r="H414" s="188"/>
      <c r="I414" s="187"/>
      <c r="J414" s="180"/>
      <c r="K414" s="182"/>
      <c r="L414" s="172"/>
      <c r="M414" s="180"/>
      <c r="N414" s="183"/>
      <c r="O414" s="184"/>
      <c r="P414" s="185"/>
    </row>
    <row r="415" spans="1:16" ht="15.75" customHeight="1" x14ac:dyDescent="0.25">
      <c r="A415" s="179"/>
      <c r="B415" s="186"/>
      <c r="C415" s="187"/>
      <c r="D415" s="188"/>
      <c r="E415" s="187"/>
      <c r="F415" s="189"/>
      <c r="G415" s="189"/>
      <c r="H415" s="188"/>
      <c r="I415" s="187"/>
      <c r="J415" s="180"/>
      <c r="K415" s="182"/>
      <c r="L415" s="172"/>
      <c r="M415" s="180"/>
      <c r="N415" s="183"/>
      <c r="O415" s="184"/>
      <c r="P415" s="185"/>
    </row>
    <row r="416" spans="1:16" ht="15.75" customHeight="1" x14ac:dyDescent="0.25">
      <c r="A416" s="179"/>
      <c r="B416" s="186"/>
      <c r="C416" s="187"/>
      <c r="D416" s="188"/>
      <c r="E416" s="187"/>
      <c r="F416" s="189"/>
      <c r="G416" s="189"/>
      <c r="H416" s="188"/>
      <c r="I416" s="187"/>
      <c r="J416" s="180"/>
      <c r="K416" s="182"/>
      <c r="L416" s="172"/>
      <c r="M416" s="180"/>
      <c r="N416" s="183"/>
      <c r="O416" s="184"/>
      <c r="P416" s="185"/>
    </row>
    <row r="417" spans="1:16" ht="15.75" customHeight="1" x14ac:dyDescent="0.25">
      <c r="A417" s="179"/>
      <c r="B417" s="186"/>
      <c r="C417" s="187"/>
      <c r="D417" s="188"/>
      <c r="E417" s="187"/>
      <c r="F417" s="189"/>
      <c r="G417" s="189"/>
      <c r="H417" s="188"/>
      <c r="I417" s="187"/>
      <c r="J417" s="180"/>
      <c r="K417" s="182"/>
      <c r="L417" s="172"/>
      <c r="M417" s="180"/>
      <c r="N417" s="183"/>
      <c r="O417" s="184"/>
      <c r="P417" s="185"/>
    </row>
    <row r="418" spans="1:16" ht="15.75" customHeight="1" x14ac:dyDescent="0.25">
      <c r="A418" s="179"/>
      <c r="B418" s="186"/>
      <c r="C418" s="187"/>
      <c r="D418" s="188"/>
      <c r="E418" s="187"/>
      <c r="F418" s="189"/>
      <c r="G418" s="189"/>
      <c r="H418" s="188"/>
      <c r="I418" s="187"/>
      <c r="J418" s="180"/>
      <c r="K418" s="182"/>
      <c r="L418" s="172"/>
      <c r="M418" s="180"/>
      <c r="N418" s="183"/>
      <c r="O418" s="184"/>
      <c r="P418" s="185"/>
    </row>
    <row r="419" spans="1:16" ht="15.75" customHeight="1" x14ac:dyDescent="0.25">
      <c r="A419" s="179"/>
      <c r="B419" s="186"/>
      <c r="C419" s="187"/>
      <c r="D419" s="188"/>
      <c r="E419" s="187"/>
      <c r="F419" s="189"/>
      <c r="G419" s="189"/>
      <c r="H419" s="188"/>
      <c r="I419" s="187"/>
      <c r="J419" s="180"/>
      <c r="K419" s="182"/>
      <c r="L419" s="172"/>
      <c r="M419" s="180"/>
      <c r="N419" s="183"/>
      <c r="O419" s="184"/>
      <c r="P419" s="185"/>
    </row>
    <row r="420" spans="1:16" ht="15.75" customHeight="1" x14ac:dyDescent="0.25">
      <c r="A420" s="179"/>
      <c r="B420" s="186"/>
      <c r="C420" s="187"/>
      <c r="D420" s="188"/>
      <c r="E420" s="187"/>
      <c r="F420" s="189"/>
      <c r="G420" s="189"/>
      <c r="H420" s="188"/>
      <c r="I420" s="187"/>
      <c r="J420" s="180"/>
      <c r="K420" s="182"/>
      <c r="L420" s="172"/>
      <c r="M420" s="180"/>
      <c r="N420" s="183"/>
      <c r="O420" s="184"/>
      <c r="P420" s="185"/>
    </row>
    <row r="421" spans="1:16" ht="15.75" customHeight="1" x14ac:dyDescent="0.25">
      <c r="A421" s="179"/>
      <c r="B421" s="186"/>
      <c r="C421" s="187"/>
      <c r="D421" s="188"/>
      <c r="E421" s="187"/>
      <c r="F421" s="189"/>
      <c r="G421" s="189"/>
      <c r="H421" s="188"/>
      <c r="I421" s="187"/>
      <c r="J421" s="180"/>
      <c r="K421" s="182"/>
      <c r="L421" s="172"/>
      <c r="M421" s="180"/>
      <c r="N421" s="183"/>
      <c r="O421" s="184"/>
      <c r="P421" s="185"/>
    </row>
    <row r="422" spans="1:16" ht="15.75" customHeight="1" x14ac:dyDescent="0.25">
      <c r="A422" s="179"/>
      <c r="B422" s="186"/>
      <c r="C422" s="187"/>
      <c r="D422" s="188"/>
      <c r="E422" s="187"/>
      <c r="F422" s="189"/>
      <c r="G422" s="189"/>
      <c r="H422" s="188"/>
      <c r="I422" s="187"/>
      <c r="J422" s="180"/>
      <c r="K422" s="182"/>
      <c r="L422" s="172"/>
      <c r="M422" s="180"/>
      <c r="N422" s="183"/>
      <c r="O422" s="184"/>
      <c r="P422" s="185"/>
    </row>
    <row r="423" spans="1:16" ht="15.75" customHeight="1" x14ac:dyDescent="0.25">
      <c r="A423" s="179"/>
      <c r="B423" s="186"/>
      <c r="C423" s="187"/>
      <c r="D423" s="188"/>
      <c r="E423" s="187"/>
      <c r="F423" s="189"/>
      <c r="G423" s="189"/>
      <c r="H423" s="188"/>
      <c r="I423" s="187"/>
      <c r="J423" s="180"/>
      <c r="K423" s="182"/>
      <c r="L423" s="172"/>
      <c r="M423" s="180"/>
      <c r="N423" s="183"/>
      <c r="O423" s="184"/>
      <c r="P423" s="185"/>
    </row>
    <row r="424" spans="1:16" ht="15.75" customHeight="1" x14ac:dyDescent="0.25">
      <c r="A424" s="179"/>
      <c r="B424" s="186"/>
      <c r="C424" s="187"/>
      <c r="D424" s="188"/>
      <c r="E424" s="187"/>
      <c r="F424" s="189"/>
      <c r="G424" s="189"/>
      <c r="H424" s="188"/>
      <c r="I424" s="187"/>
      <c r="J424" s="180"/>
      <c r="K424" s="182"/>
      <c r="L424" s="172"/>
      <c r="M424" s="180"/>
      <c r="N424" s="183"/>
      <c r="O424" s="184"/>
      <c r="P424" s="185"/>
    </row>
    <row r="425" spans="1:16" ht="15.75" customHeight="1" x14ac:dyDescent="0.25">
      <c r="A425" s="179"/>
      <c r="B425" s="186"/>
      <c r="C425" s="187"/>
      <c r="D425" s="188"/>
      <c r="E425" s="187"/>
      <c r="F425" s="189"/>
      <c r="G425" s="189"/>
      <c r="H425" s="188"/>
      <c r="I425" s="187"/>
      <c r="J425" s="180"/>
      <c r="K425" s="182"/>
      <c r="L425" s="172"/>
      <c r="M425" s="180"/>
      <c r="N425" s="183"/>
      <c r="O425" s="184"/>
      <c r="P425" s="185"/>
    </row>
    <row r="426" spans="1:16" ht="15.75" customHeight="1" x14ac:dyDescent="0.25">
      <c r="A426" s="179"/>
      <c r="B426" s="186"/>
      <c r="C426" s="187"/>
      <c r="D426" s="188"/>
      <c r="E426" s="187"/>
      <c r="F426" s="189"/>
      <c r="G426" s="189"/>
      <c r="H426" s="188"/>
      <c r="I426" s="187"/>
      <c r="J426" s="180"/>
      <c r="K426" s="182"/>
      <c r="L426" s="172"/>
      <c r="M426" s="180"/>
      <c r="N426" s="183"/>
      <c r="O426" s="184"/>
      <c r="P426" s="185"/>
    </row>
    <row r="427" spans="1:16" ht="15.75" customHeight="1" x14ac:dyDescent="0.25">
      <c r="A427" s="179"/>
      <c r="B427" s="186"/>
      <c r="C427" s="187"/>
      <c r="D427" s="188"/>
      <c r="E427" s="187"/>
      <c r="F427" s="189"/>
      <c r="G427" s="189"/>
      <c r="H427" s="188"/>
      <c r="I427" s="187"/>
      <c r="J427" s="180"/>
      <c r="K427" s="182"/>
      <c r="L427" s="172"/>
      <c r="M427" s="180"/>
      <c r="N427" s="183"/>
      <c r="O427" s="184"/>
      <c r="P427" s="185"/>
    </row>
    <row r="428" spans="1:16" ht="15.75" customHeight="1" x14ac:dyDescent="0.25">
      <c r="A428" s="179"/>
      <c r="B428" s="186"/>
      <c r="C428" s="187"/>
      <c r="D428" s="188"/>
      <c r="E428" s="187"/>
      <c r="F428" s="189"/>
      <c r="G428" s="189"/>
      <c r="H428" s="188"/>
      <c r="I428" s="187"/>
      <c r="J428" s="180"/>
      <c r="K428" s="182"/>
      <c r="L428" s="172"/>
      <c r="M428" s="180"/>
      <c r="N428" s="183"/>
      <c r="O428" s="184"/>
      <c r="P428" s="185"/>
    </row>
    <row r="429" spans="1:16" ht="15.75" customHeight="1" x14ac:dyDescent="0.25">
      <c r="A429" s="179"/>
      <c r="B429" s="186"/>
      <c r="C429" s="187"/>
      <c r="D429" s="188"/>
      <c r="E429" s="187"/>
      <c r="F429" s="189"/>
      <c r="G429" s="189"/>
      <c r="H429" s="188"/>
      <c r="I429" s="187"/>
      <c r="J429" s="180"/>
      <c r="K429" s="182"/>
      <c r="L429" s="172"/>
      <c r="M429" s="180"/>
      <c r="N429" s="183"/>
      <c r="O429" s="184"/>
      <c r="P429" s="185"/>
    </row>
    <row r="430" spans="1:16" ht="15.75" customHeight="1" x14ac:dyDescent="0.25">
      <c r="A430" s="179"/>
      <c r="B430" s="186"/>
      <c r="C430" s="187"/>
      <c r="D430" s="188"/>
      <c r="E430" s="187"/>
      <c r="F430" s="189"/>
      <c r="G430" s="189"/>
      <c r="H430" s="188"/>
      <c r="I430" s="187"/>
      <c r="J430" s="180"/>
      <c r="K430" s="182"/>
      <c r="L430" s="172"/>
      <c r="M430" s="180"/>
      <c r="N430" s="183"/>
      <c r="O430" s="184"/>
      <c r="P430" s="185"/>
    </row>
    <row r="431" spans="1:16" ht="15.75" customHeight="1" x14ac:dyDescent="0.25">
      <c r="A431" s="179"/>
      <c r="B431" s="186"/>
      <c r="C431" s="187"/>
      <c r="D431" s="188"/>
      <c r="E431" s="187"/>
      <c r="F431" s="189"/>
      <c r="G431" s="189"/>
      <c r="H431" s="188"/>
      <c r="I431" s="187"/>
      <c r="J431" s="180"/>
      <c r="K431" s="182"/>
      <c r="L431" s="172"/>
      <c r="M431" s="180"/>
      <c r="N431" s="183"/>
      <c r="O431" s="184"/>
      <c r="P431" s="185"/>
    </row>
    <row r="432" spans="1:16" ht="15.75" customHeight="1" x14ac:dyDescent="0.25">
      <c r="A432" s="179"/>
      <c r="B432" s="186"/>
      <c r="C432" s="187"/>
      <c r="D432" s="188"/>
      <c r="E432" s="187"/>
      <c r="F432" s="189"/>
      <c r="G432" s="189"/>
      <c r="H432" s="188"/>
      <c r="I432" s="187"/>
      <c r="J432" s="180"/>
      <c r="K432" s="182"/>
      <c r="L432" s="172"/>
      <c r="M432" s="180"/>
      <c r="N432" s="183"/>
      <c r="O432" s="184"/>
      <c r="P432" s="185"/>
    </row>
    <row r="433" spans="1:16" ht="15.75" customHeight="1" x14ac:dyDescent="0.25">
      <c r="A433" s="179"/>
      <c r="B433" s="186"/>
      <c r="C433" s="187"/>
      <c r="D433" s="188"/>
      <c r="E433" s="187"/>
      <c r="F433" s="189"/>
      <c r="G433" s="189"/>
      <c r="H433" s="188"/>
      <c r="I433" s="187"/>
      <c r="J433" s="180"/>
      <c r="K433" s="182"/>
      <c r="L433" s="172"/>
      <c r="M433" s="180"/>
      <c r="N433" s="183"/>
      <c r="O433" s="184"/>
      <c r="P433" s="185"/>
    </row>
    <row r="434" spans="1:16" ht="15.75" customHeight="1" x14ac:dyDescent="0.25">
      <c r="A434" s="179"/>
      <c r="B434" s="186"/>
      <c r="C434" s="187"/>
      <c r="D434" s="188"/>
      <c r="E434" s="187"/>
      <c r="F434" s="189"/>
      <c r="G434" s="189"/>
      <c r="H434" s="188"/>
      <c r="I434" s="187"/>
      <c r="J434" s="180"/>
      <c r="K434" s="182"/>
      <c r="L434" s="172"/>
      <c r="M434" s="180"/>
      <c r="N434" s="183"/>
      <c r="O434" s="184"/>
      <c r="P434" s="185"/>
    </row>
    <row r="435" spans="1:16" ht="15.75" customHeight="1" x14ac:dyDescent="0.25">
      <c r="A435" s="179"/>
      <c r="B435" s="186"/>
      <c r="C435" s="187"/>
      <c r="D435" s="188"/>
      <c r="E435" s="187"/>
      <c r="F435" s="189"/>
      <c r="G435" s="189"/>
      <c r="H435" s="188"/>
      <c r="I435" s="187"/>
      <c r="J435" s="180"/>
      <c r="K435" s="182"/>
      <c r="L435" s="172"/>
      <c r="M435" s="180"/>
      <c r="N435" s="183"/>
      <c r="O435" s="184"/>
      <c r="P435" s="185"/>
    </row>
    <row r="436" spans="1:16" ht="15.75" customHeight="1" x14ac:dyDescent="0.25">
      <c r="A436" s="179"/>
      <c r="B436" s="186"/>
      <c r="C436" s="187"/>
      <c r="D436" s="188"/>
      <c r="E436" s="187"/>
      <c r="F436" s="189"/>
      <c r="G436" s="189"/>
      <c r="H436" s="188"/>
      <c r="I436" s="187"/>
      <c r="J436" s="180"/>
      <c r="K436" s="182"/>
      <c r="L436" s="172"/>
      <c r="M436" s="180"/>
      <c r="N436" s="183"/>
      <c r="O436" s="184"/>
      <c r="P436" s="185"/>
    </row>
    <row r="437" spans="1:16" ht="15.75" customHeight="1" x14ac:dyDescent="0.25">
      <c r="A437" s="179"/>
      <c r="B437" s="186"/>
      <c r="C437" s="187"/>
      <c r="D437" s="188"/>
      <c r="E437" s="187"/>
      <c r="F437" s="189"/>
      <c r="G437" s="189"/>
      <c r="H437" s="188"/>
      <c r="I437" s="187"/>
      <c r="J437" s="180"/>
      <c r="K437" s="182"/>
      <c r="L437" s="172"/>
      <c r="M437" s="180"/>
      <c r="N437" s="183"/>
      <c r="O437" s="184"/>
      <c r="P437" s="185"/>
    </row>
    <row r="438" spans="1:16" ht="15.75" customHeight="1" x14ac:dyDescent="0.25">
      <c r="A438" s="179"/>
      <c r="B438" s="186"/>
      <c r="C438" s="187"/>
      <c r="D438" s="188"/>
      <c r="E438" s="187"/>
      <c r="F438" s="189"/>
      <c r="G438" s="189"/>
      <c r="H438" s="188"/>
      <c r="I438" s="187"/>
      <c r="J438" s="180"/>
      <c r="K438" s="182"/>
      <c r="L438" s="172"/>
      <c r="M438" s="180"/>
      <c r="N438" s="183"/>
      <c r="O438" s="184"/>
      <c r="P438" s="185"/>
    </row>
    <row r="439" spans="1:16" ht="15.75" customHeight="1" x14ac:dyDescent="0.25">
      <c r="A439" s="179"/>
      <c r="B439" s="186"/>
      <c r="C439" s="187"/>
      <c r="D439" s="188"/>
      <c r="E439" s="187"/>
      <c r="F439" s="189"/>
      <c r="G439" s="189"/>
      <c r="H439" s="188"/>
      <c r="I439" s="187"/>
      <c r="J439" s="180"/>
      <c r="K439" s="182"/>
      <c r="L439" s="172"/>
      <c r="M439" s="180"/>
      <c r="N439" s="183"/>
      <c r="O439" s="184"/>
      <c r="P439" s="185"/>
    </row>
    <row r="440" spans="1:16" ht="15.75" customHeight="1" x14ac:dyDescent="0.25">
      <c r="A440" s="179"/>
      <c r="B440" s="186"/>
      <c r="C440" s="187"/>
      <c r="D440" s="188"/>
      <c r="E440" s="187"/>
      <c r="F440" s="189"/>
      <c r="G440" s="189"/>
      <c r="H440" s="188"/>
      <c r="I440" s="187"/>
      <c r="J440" s="180"/>
      <c r="K440" s="182"/>
      <c r="L440" s="172"/>
      <c r="M440" s="180"/>
      <c r="N440" s="183"/>
      <c r="O440" s="184"/>
      <c r="P440" s="185"/>
    </row>
    <row r="441" spans="1:16" ht="15.75" customHeight="1" x14ac:dyDescent="0.25">
      <c r="A441" s="179"/>
      <c r="B441" s="186"/>
      <c r="C441" s="187"/>
      <c r="D441" s="188"/>
      <c r="E441" s="187"/>
      <c r="F441" s="189"/>
      <c r="G441" s="189"/>
      <c r="H441" s="188"/>
      <c r="I441" s="187"/>
      <c r="J441" s="180"/>
      <c r="K441" s="182"/>
      <c r="L441" s="172"/>
      <c r="M441" s="180"/>
      <c r="N441" s="183"/>
      <c r="O441" s="184"/>
      <c r="P441" s="185"/>
    </row>
    <row r="442" spans="1:16" ht="15.75" customHeight="1" x14ac:dyDescent="0.25">
      <c r="A442" s="179"/>
      <c r="B442" s="186"/>
      <c r="C442" s="187"/>
      <c r="D442" s="188"/>
      <c r="E442" s="187"/>
      <c r="F442" s="189"/>
      <c r="G442" s="189"/>
      <c r="H442" s="188"/>
      <c r="I442" s="187"/>
      <c r="J442" s="180"/>
      <c r="K442" s="182"/>
      <c r="L442" s="172"/>
      <c r="M442" s="180"/>
      <c r="N442" s="183"/>
      <c r="O442" s="184"/>
      <c r="P442" s="185"/>
    </row>
    <row r="443" spans="1:16" ht="15.75" customHeight="1" x14ac:dyDescent="0.25">
      <c r="A443" s="179"/>
      <c r="B443" s="186"/>
      <c r="C443" s="187"/>
      <c r="D443" s="188"/>
      <c r="E443" s="187"/>
      <c r="F443" s="189"/>
      <c r="G443" s="189"/>
      <c r="H443" s="188"/>
      <c r="I443" s="187"/>
      <c r="J443" s="180"/>
      <c r="K443" s="182"/>
      <c r="L443" s="172"/>
      <c r="M443" s="180"/>
      <c r="N443" s="183"/>
      <c r="O443" s="184"/>
      <c r="P443" s="185"/>
    </row>
    <row r="444" spans="1:16" ht="15.75" customHeight="1" x14ac:dyDescent="0.25">
      <c r="A444" s="179"/>
      <c r="B444" s="186"/>
      <c r="C444" s="187"/>
      <c r="D444" s="188"/>
      <c r="E444" s="187"/>
      <c r="F444" s="189"/>
      <c r="G444" s="189"/>
      <c r="H444" s="188"/>
      <c r="I444" s="187"/>
      <c r="J444" s="180"/>
      <c r="K444" s="182"/>
      <c r="L444" s="172"/>
      <c r="M444" s="180"/>
      <c r="N444" s="183"/>
      <c r="O444" s="184"/>
      <c r="P444" s="185"/>
    </row>
    <row r="445" spans="1:16" ht="15.75" customHeight="1" x14ac:dyDescent="0.25">
      <c r="A445" s="179"/>
      <c r="B445" s="186"/>
      <c r="C445" s="187"/>
      <c r="D445" s="188"/>
      <c r="E445" s="187"/>
      <c r="F445" s="189"/>
      <c r="G445" s="189"/>
      <c r="H445" s="188"/>
      <c r="I445" s="187"/>
      <c r="J445" s="180"/>
      <c r="K445" s="182"/>
      <c r="L445" s="172"/>
      <c r="M445" s="180"/>
      <c r="N445" s="183"/>
      <c r="O445" s="184"/>
      <c r="P445" s="185"/>
    </row>
    <row r="446" spans="1:16" ht="15.75" customHeight="1" x14ac:dyDescent="0.25">
      <c r="A446" s="179"/>
      <c r="B446" s="186"/>
      <c r="C446" s="187"/>
      <c r="D446" s="188"/>
      <c r="E446" s="187"/>
      <c r="F446" s="189"/>
      <c r="G446" s="189"/>
      <c r="H446" s="188"/>
      <c r="I446" s="187"/>
      <c r="J446" s="180"/>
      <c r="K446" s="182"/>
      <c r="L446" s="172"/>
      <c r="M446" s="180"/>
      <c r="N446" s="183"/>
      <c r="O446" s="184"/>
      <c r="P446" s="185"/>
    </row>
    <row r="447" spans="1:16" ht="15.75" customHeight="1" x14ac:dyDescent="0.25">
      <c r="A447" s="179"/>
      <c r="B447" s="186"/>
      <c r="C447" s="187"/>
      <c r="D447" s="188"/>
      <c r="E447" s="187"/>
      <c r="F447" s="189"/>
      <c r="G447" s="189"/>
      <c r="H447" s="188"/>
      <c r="I447" s="187"/>
      <c r="J447" s="180"/>
      <c r="K447" s="182"/>
      <c r="L447" s="172"/>
      <c r="M447" s="180"/>
      <c r="N447" s="183"/>
      <c r="O447" s="184"/>
      <c r="P447" s="185"/>
    </row>
    <row r="448" spans="1:16" ht="15.75" customHeight="1" x14ac:dyDescent="0.25">
      <c r="A448" s="179"/>
      <c r="B448" s="186"/>
      <c r="C448" s="187"/>
      <c r="D448" s="188"/>
      <c r="E448" s="187"/>
      <c r="F448" s="189"/>
      <c r="G448" s="189"/>
      <c r="H448" s="188"/>
      <c r="I448" s="187"/>
      <c r="J448" s="180"/>
      <c r="K448" s="182"/>
      <c r="L448" s="172"/>
      <c r="M448" s="180"/>
      <c r="N448" s="183"/>
      <c r="O448" s="184"/>
      <c r="P448" s="185"/>
    </row>
    <row r="449" spans="1:16" ht="15.75" customHeight="1" x14ac:dyDescent="0.25">
      <c r="A449" s="179"/>
      <c r="B449" s="186"/>
      <c r="C449" s="187"/>
      <c r="D449" s="188"/>
      <c r="E449" s="187"/>
      <c r="F449" s="189"/>
      <c r="G449" s="189"/>
      <c r="H449" s="188"/>
      <c r="I449" s="187"/>
      <c r="J449" s="180"/>
      <c r="K449" s="182"/>
      <c r="L449" s="172"/>
      <c r="M449" s="180"/>
      <c r="N449" s="183"/>
      <c r="O449" s="184"/>
      <c r="P449" s="185"/>
    </row>
    <row r="450" spans="1:16" ht="15.75" customHeight="1" x14ac:dyDescent="0.25">
      <c r="A450" s="179"/>
      <c r="B450" s="186"/>
      <c r="C450" s="187"/>
      <c r="D450" s="188"/>
      <c r="E450" s="187"/>
      <c r="F450" s="189"/>
      <c r="G450" s="189"/>
      <c r="H450" s="188"/>
      <c r="I450" s="187"/>
      <c r="J450" s="180"/>
      <c r="K450" s="182"/>
      <c r="L450" s="172"/>
      <c r="M450" s="180"/>
      <c r="N450" s="183"/>
      <c r="O450" s="184"/>
      <c r="P450" s="185"/>
    </row>
    <row r="451" spans="1:16" ht="15.75" customHeight="1" x14ac:dyDescent="0.25">
      <c r="A451" s="179"/>
      <c r="B451" s="186"/>
      <c r="C451" s="187"/>
      <c r="D451" s="188"/>
      <c r="E451" s="187"/>
      <c r="F451" s="189"/>
      <c r="G451" s="189"/>
      <c r="H451" s="188"/>
      <c r="I451" s="187"/>
      <c r="J451" s="180"/>
      <c r="K451" s="182"/>
      <c r="L451" s="172"/>
      <c r="M451" s="180"/>
      <c r="N451" s="183"/>
      <c r="O451" s="184"/>
      <c r="P451" s="185"/>
    </row>
    <row r="452" spans="1:16" ht="15.75" customHeight="1" x14ac:dyDescent="0.25">
      <c r="A452" s="179"/>
      <c r="B452" s="186"/>
      <c r="C452" s="187"/>
      <c r="D452" s="188"/>
      <c r="E452" s="187"/>
      <c r="F452" s="189"/>
      <c r="G452" s="189"/>
      <c r="H452" s="188"/>
      <c r="I452" s="187"/>
      <c r="J452" s="180"/>
      <c r="K452" s="182"/>
      <c r="L452" s="172"/>
      <c r="M452" s="180"/>
      <c r="N452" s="183"/>
      <c r="O452" s="184"/>
      <c r="P452" s="185"/>
    </row>
    <row r="453" spans="1:16" ht="15.75" customHeight="1" x14ac:dyDescent="0.25">
      <c r="A453" s="179"/>
      <c r="B453" s="186"/>
      <c r="C453" s="187"/>
      <c r="D453" s="188"/>
      <c r="E453" s="187"/>
      <c r="F453" s="189"/>
      <c r="G453" s="189"/>
      <c r="H453" s="188"/>
      <c r="I453" s="187"/>
      <c r="J453" s="180"/>
      <c r="K453" s="182"/>
      <c r="L453" s="172"/>
      <c r="M453" s="180"/>
      <c r="N453" s="183"/>
      <c r="O453" s="184"/>
      <c r="P453" s="185"/>
    </row>
    <row r="454" spans="1:16" ht="15.75" customHeight="1" x14ac:dyDescent="0.25">
      <c r="A454" s="179"/>
      <c r="B454" s="186"/>
      <c r="C454" s="187"/>
      <c r="D454" s="188"/>
      <c r="E454" s="187"/>
      <c r="F454" s="189"/>
      <c r="G454" s="189"/>
      <c r="H454" s="188"/>
      <c r="I454" s="187"/>
      <c r="J454" s="180"/>
      <c r="K454" s="182"/>
      <c r="L454" s="172"/>
      <c r="M454" s="180"/>
      <c r="N454" s="183"/>
      <c r="O454" s="184"/>
      <c r="P454" s="185"/>
    </row>
    <row r="455" spans="1:16" ht="15.75" customHeight="1" x14ac:dyDescent="0.25">
      <c r="A455" s="179"/>
      <c r="B455" s="186"/>
      <c r="C455" s="187"/>
      <c r="D455" s="188"/>
      <c r="E455" s="187"/>
      <c r="F455" s="189"/>
      <c r="G455" s="189"/>
      <c r="H455" s="188"/>
      <c r="I455" s="187"/>
      <c r="J455" s="180"/>
      <c r="K455" s="182"/>
      <c r="L455" s="172"/>
      <c r="M455" s="180"/>
      <c r="N455" s="183"/>
      <c r="O455" s="184"/>
      <c r="P455" s="185"/>
    </row>
    <row r="456" spans="1:16" ht="15.75" customHeight="1" x14ac:dyDescent="0.25">
      <c r="A456" s="179"/>
      <c r="B456" s="186"/>
      <c r="C456" s="187"/>
      <c r="D456" s="188"/>
      <c r="E456" s="187"/>
      <c r="F456" s="189"/>
      <c r="G456" s="189"/>
      <c r="H456" s="188"/>
      <c r="I456" s="187"/>
      <c r="J456" s="180"/>
      <c r="K456" s="182"/>
      <c r="L456" s="172"/>
      <c r="M456" s="180"/>
      <c r="N456" s="183"/>
      <c r="O456" s="184"/>
      <c r="P456" s="185"/>
    </row>
    <row r="457" spans="1:16" ht="15.75" customHeight="1" x14ac:dyDescent="0.25">
      <c r="A457" s="179"/>
      <c r="B457" s="186"/>
      <c r="C457" s="187"/>
      <c r="D457" s="188"/>
      <c r="E457" s="187"/>
      <c r="F457" s="189"/>
      <c r="G457" s="189"/>
      <c r="H457" s="188"/>
      <c r="I457" s="187"/>
      <c r="J457" s="180"/>
      <c r="K457" s="182"/>
      <c r="L457" s="172"/>
      <c r="M457" s="180"/>
      <c r="N457" s="183"/>
      <c r="O457" s="184"/>
      <c r="P457" s="185"/>
    </row>
    <row r="458" spans="1:16" ht="15.75" customHeight="1" x14ac:dyDescent="0.25">
      <c r="A458" s="179"/>
      <c r="B458" s="186"/>
      <c r="C458" s="187"/>
      <c r="D458" s="188"/>
      <c r="E458" s="187"/>
      <c r="F458" s="189"/>
      <c r="G458" s="189"/>
      <c r="H458" s="188"/>
      <c r="I458" s="187"/>
      <c r="J458" s="180"/>
      <c r="K458" s="182"/>
      <c r="L458" s="172"/>
      <c r="M458" s="180"/>
      <c r="N458" s="183"/>
      <c r="O458" s="184"/>
      <c r="P458" s="185"/>
    </row>
    <row r="459" spans="1:16" ht="15.75" customHeight="1" x14ac:dyDescent="0.25">
      <c r="A459" s="179"/>
      <c r="B459" s="186"/>
      <c r="C459" s="187"/>
      <c r="D459" s="188"/>
      <c r="E459" s="187"/>
      <c r="F459" s="189"/>
      <c r="G459" s="189"/>
      <c r="H459" s="188"/>
      <c r="I459" s="187"/>
      <c r="J459" s="180"/>
      <c r="K459" s="182"/>
      <c r="L459" s="172"/>
      <c r="M459" s="180"/>
      <c r="N459" s="183"/>
      <c r="O459" s="184"/>
      <c r="P459" s="185"/>
    </row>
    <row r="460" spans="1:16" ht="15.75" customHeight="1" x14ac:dyDescent="0.25">
      <c r="A460" s="179"/>
      <c r="B460" s="186"/>
      <c r="C460" s="187"/>
      <c r="D460" s="188"/>
      <c r="E460" s="187"/>
      <c r="F460" s="189"/>
      <c r="G460" s="189"/>
      <c r="H460" s="188"/>
      <c r="I460" s="187"/>
      <c r="J460" s="180"/>
      <c r="K460" s="182"/>
      <c r="L460" s="172"/>
      <c r="M460" s="180"/>
      <c r="N460" s="183"/>
      <c r="O460" s="184"/>
      <c r="P460" s="185"/>
    </row>
    <row r="461" spans="1:16" ht="15.75" customHeight="1" x14ac:dyDescent="0.25">
      <c r="A461" s="179"/>
      <c r="B461" s="186"/>
      <c r="C461" s="187"/>
      <c r="D461" s="188"/>
      <c r="E461" s="187"/>
      <c r="F461" s="189"/>
      <c r="G461" s="189"/>
      <c r="H461" s="188"/>
      <c r="I461" s="187"/>
      <c r="J461" s="180"/>
      <c r="K461" s="182"/>
      <c r="L461" s="172"/>
      <c r="M461" s="180"/>
      <c r="N461" s="183"/>
      <c r="O461" s="184"/>
      <c r="P461" s="185"/>
    </row>
    <row r="462" spans="1:16" ht="15.75" customHeight="1" x14ac:dyDescent="0.25">
      <c r="A462" s="179"/>
      <c r="B462" s="186"/>
      <c r="C462" s="187"/>
      <c r="D462" s="188"/>
      <c r="E462" s="187"/>
      <c r="F462" s="189"/>
      <c r="G462" s="189"/>
      <c r="H462" s="188"/>
      <c r="I462" s="187"/>
      <c r="J462" s="180"/>
      <c r="K462" s="182"/>
      <c r="L462" s="172"/>
      <c r="M462" s="180"/>
      <c r="N462" s="183"/>
      <c r="O462" s="184"/>
      <c r="P462" s="185"/>
    </row>
    <row r="463" spans="1:16" ht="15.75" customHeight="1" x14ac:dyDescent="0.25">
      <c r="A463" s="179"/>
      <c r="B463" s="186"/>
      <c r="C463" s="187"/>
      <c r="D463" s="188"/>
      <c r="E463" s="187"/>
      <c r="F463" s="189"/>
      <c r="G463" s="189"/>
      <c r="H463" s="188"/>
      <c r="I463" s="187"/>
      <c r="J463" s="180"/>
      <c r="K463" s="182"/>
      <c r="L463" s="172"/>
      <c r="M463" s="180"/>
      <c r="N463" s="183"/>
      <c r="O463" s="184"/>
      <c r="P463" s="185"/>
    </row>
    <row r="464" spans="1:16" ht="15.75" customHeight="1" x14ac:dyDescent="0.25">
      <c r="A464" s="179"/>
      <c r="B464" s="186"/>
      <c r="C464" s="187"/>
      <c r="D464" s="188"/>
      <c r="E464" s="187"/>
      <c r="F464" s="189"/>
      <c r="G464" s="189"/>
      <c r="H464" s="188"/>
      <c r="I464" s="187"/>
      <c r="J464" s="180"/>
      <c r="K464" s="182"/>
      <c r="L464" s="172"/>
      <c r="M464" s="180"/>
      <c r="N464" s="183"/>
      <c r="O464" s="184"/>
      <c r="P464" s="185"/>
    </row>
    <row r="465" spans="1:16" ht="15.75" customHeight="1" x14ac:dyDescent="0.25">
      <c r="A465" s="179"/>
      <c r="B465" s="186"/>
      <c r="C465" s="187"/>
      <c r="D465" s="188"/>
      <c r="E465" s="187"/>
      <c r="F465" s="189"/>
      <c r="G465" s="189"/>
      <c r="H465" s="188"/>
      <c r="I465" s="187"/>
      <c r="J465" s="180"/>
      <c r="K465" s="182"/>
      <c r="L465" s="172"/>
      <c r="M465" s="180"/>
      <c r="N465" s="183"/>
      <c r="O465" s="184"/>
      <c r="P465" s="185"/>
    </row>
    <row r="466" spans="1:16" ht="15.75" customHeight="1" x14ac:dyDescent="0.25">
      <c r="A466" s="179"/>
      <c r="B466" s="186"/>
      <c r="C466" s="187"/>
      <c r="D466" s="188"/>
      <c r="E466" s="187"/>
      <c r="F466" s="189"/>
      <c r="G466" s="189"/>
      <c r="H466" s="188"/>
      <c r="I466" s="187"/>
      <c r="J466" s="180"/>
      <c r="K466" s="182"/>
      <c r="L466" s="172"/>
      <c r="M466" s="180"/>
      <c r="N466" s="183"/>
      <c r="O466" s="184"/>
      <c r="P466" s="185"/>
    </row>
    <row r="467" spans="1:16" ht="15.75" customHeight="1" x14ac:dyDescent="0.25">
      <c r="A467" s="179"/>
      <c r="B467" s="186"/>
      <c r="C467" s="187"/>
      <c r="D467" s="188"/>
      <c r="E467" s="187"/>
      <c r="F467" s="189"/>
      <c r="G467" s="189"/>
      <c r="H467" s="188"/>
      <c r="I467" s="187"/>
      <c r="J467" s="180"/>
      <c r="K467" s="182"/>
      <c r="L467" s="172"/>
      <c r="M467" s="180"/>
      <c r="N467" s="183"/>
      <c r="O467" s="184"/>
      <c r="P467" s="185"/>
    </row>
    <row r="468" spans="1:16" ht="15.75" customHeight="1" x14ac:dyDescent="0.25">
      <c r="A468" s="179"/>
      <c r="B468" s="186"/>
      <c r="C468" s="187"/>
      <c r="D468" s="188"/>
      <c r="E468" s="187"/>
      <c r="F468" s="189"/>
      <c r="G468" s="189"/>
      <c r="H468" s="188"/>
      <c r="I468" s="187"/>
      <c r="J468" s="180"/>
      <c r="K468" s="182"/>
      <c r="L468" s="172"/>
      <c r="M468" s="180"/>
      <c r="N468" s="183"/>
      <c r="O468" s="184"/>
      <c r="P468" s="185"/>
    </row>
    <row r="469" spans="1:16" ht="15.75" customHeight="1" x14ac:dyDescent="0.25">
      <c r="A469" s="179"/>
      <c r="B469" s="186"/>
      <c r="C469" s="187"/>
      <c r="D469" s="188"/>
      <c r="E469" s="187"/>
      <c r="F469" s="189"/>
      <c r="G469" s="189"/>
      <c r="H469" s="188"/>
      <c r="I469" s="187"/>
      <c r="J469" s="180"/>
      <c r="K469" s="182"/>
      <c r="L469" s="172"/>
      <c r="M469" s="180"/>
      <c r="N469" s="183"/>
      <c r="O469" s="184"/>
      <c r="P469" s="185"/>
    </row>
    <row r="470" spans="1:16" ht="15.75" customHeight="1" x14ac:dyDescent="0.25">
      <c r="A470" s="179"/>
      <c r="B470" s="186"/>
      <c r="C470" s="187"/>
      <c r="D470" s="188"/>
      <c r="E470" s="187"/>
      <c r="F470" s="189"/>
      <c r="G470" s="189"/>
      <c r="H470" s="188"/>
      <c r="I470" s="187"/>
      <c r="J470" s="180"/>
      <c r="K470" s="182"/>
      <c r="L470" s="172"/>
      <c r="M470" s="180"/>
      <c r="N470" s="183"/>
      <c r="O470" s="184"/>
      <c r="P470" s="185"/>
    </row>
    <row r="471" spans="1:16" ht="15.75" customHeight="1" x14ac:dyDescent="0.25">
      <c r="A471" s="179"/>
      <c r="B471" s="186"/>
      <c r="C471" s="187"/>
      <c r="D471" s="188"/>
      <c r="E471" s="187"/>
      <c r="F471" s="189"/>
      <c r="G471" s="189"/>
      <c r="H471" s="188"/>
      <c r="I471" s="187"/>
      <c r="J471" s="180"/>
      <c r="K471" s="182"/>
      <c r="L471" s="172"/>
      <c r="M471" s="180"/>
      <c r="N471" s="183"/>
      <c r="O471" s="184"/>
      <c r="P471" s="185"/>
    </row>
    <row r="472" spans="1:16" ht="15.75" customHeight="1" x14ac:dyDescent="0.25">
      <c r="A472" s="179"/>
      <c r="B472" s="186"/>
      <c r="C472" s="187"/>
      <c r="D472" s="188"/>
      <c r="E472" s="187"/>
      <c r="F472" s="189"/>
      <c r="G472" s="189"/>
      <c r="H472" s="188"/>
      <c r="I472" s="187"/>
      <c r="J472" s="180"/>
      <c r="K472" s="182"/>
      <c r="L472" s="172"/>
      <c r="M472" s="180"/>
      <c r="N472" s="183"/>
      <c r="O472" s="184"/>
      <c r="P472" s="185"/>
    </row>
    <row r="473" spans="1:16" ht="15.75" customHeight="1" x14ac:dyDescent="0.25">
      <c r="A473" s="179"/>
      <c r="B473" s="186"/>
      <c r="C473" s="187"/>
      <c r="D473" s="188"/>
      <c r="E473" s="187"/>
      <c r="F473" s="189"/>
      <c r="G473" s="189"/>
      <c r="H473" s="188"/>
      <c r="I473" s="187"/>
      <c r="J473" s="180"/>
      <c r="K473" s="182"/>
      <c r="L473" s="172"/>
      <c r="M473" s="180"/>
      <c r="N473" s="183"/>
      <c r="O473" s="184"/>
      <c r="P473" s="185"/>
    </row>
    <row r="474" spans="1:16" ht="15.75" customHeight="1" x14ac:dyDescent="0.25">
      <c r="A474" s="179"/>
      <c r="B474" s="186"/>
      <c r="C474" s="187"/>
      <c r="D474" s="188"/>
      <c r="E474" s="187"/>
      <c r="F474" s="189"/>
      <c r="G474" s="189"/>
      <c r="H474" s="188"/>
      <c r="I474" s="187"/>
      <c r="J474" s="180"/>
      <c r="K474" s="182"/>
      <c r="L474" s="172"/>
      <c r="M474" s="180"/>
      <c r="N474" s="183"/>
      <c r="O474" s="184"/>
      <c r="P474" s="185"/>
    </row>
    <row r="475" spans="1:16" ht="15.75" customHeight="1" x14ac:dyDescent="0.25">
      <c r="A475" s="179"/>
      <c r="B475" s="186"/>
      <c r="C475" s="187"/>
      <c r="D475" s="188"/>
      <c r="E475" s="187"/>
      <c r="F475" s="189"/>
      <c r="G475" s="189"/>
      <c r="H475" s="188"/>
      <c r="I475" s="187"/>
      <c r="J475" s="180"/>
      <c r="K475" s="182"/>
      <c r="L475" s="172"/>
      <c r="M475" s="180"/>
      <c r="N475" s="183"/>
      <c r="O475" s="184"/>
      <c r="P475" s="185"/>
    </row>
    <row r="476" spans="1:16" ht="15.75" customHeight="1" x14ac:dyDescent="0.25">
      <c r="A476" s="179"/>
      <c r="B476" s="186"/>
      <c r="C476" s="187"/>
      <c r="D476" s="188"/>
      <c r="E476" s="187"/>
      <c r="F476" s="189"/>
      <c r="G476" s="189"/>
      <c r="H476" s="188"/>
      <c r="I476" s="187"/>
      <c r="J476" s="180"/>
      <c r="K476" s="182"/>
      <c r="L476" s="172"/>
      <c r="M476" s="180"/>
      <c r="N476" s="183"/>
      <c r="O476" s="184"/>
      <c r="P476" s="185"/>
    </row>
    <row r="477" spans="1:16" ht="15.75" customHeight="1" x14ac:dyDescent="0.25">
      <c r="A477" s="179"/>
      <c r="B477" s="186"/>
      <c r="C477" s="187"/>
      <c r="D477" s="188"/>
      <c r="E477" s="187"/>
      <c r="F477" s="189"/>
      <c r="G477" s="189"/>
      <c r="H477" s="188"/>
      <c r="I477" s="187"/>
      <c r="J477" s="180"/>
      <c r="K477" s="182"/>
      <c r="L477" s="172"/>
      <c r="M477" s="180"/>
      <c r="N477" s="183"/>
      <c r="O477" s="184"/>
      <c r="P477" s="185"/>
    </row>
    <row r="478" spans="1:16" ht="15.75" customHeight="1" x14ac:dyDescent="0.25">
      <c r="A478" s="179"/>
      <c r="B478" s="186"/>
      <c r="C478" s="187"/>
      <c r="D478" s="188"/>
      <c r="E478" s="187"/>
      <c r="F478" s="189"/>
      <c r="G478" s="189"/>
      <c r="H478" s="188"/>
      <c r="I478" s="187"/>
      <c r="J478" s="180"/>
      <c r="K478" s="182"/>
      <c r="L478" s="172"/>
      <c r="M478" s="180"/>
      <c r="N478" s="183"/>
      <c r="O478" s="184"/>
      <c r="P478" s="185"/>
    </row>
    <row r="479" spans="1:16" ht="15.75" customHeight="1" x14ac:dyDescent="0.25">
      <c r="A479" s="179"/>
      <c r="B479" s="186"/>
      <c r="C479" s="187"/>
      <c r="D479" s="188"/>
      <c r="E479" s="187"/>
      <c r="F479" s="189"/>
      <c r="G479" s="189"/>
      <c r="H479" s="188"/>
      <c r="I479" s="187"/>
      <c r="J479" s="180"/>
      <c r="K479" s="182"/>
      <c r="L479" s="172"/>
      <c r="M479" s="180"/>
      <c r="N479" s="183"/>
      <c r="O479" s="184"/>
      <c r="P479" s="185"/>
    </row>
    <row r="480" spans="1:16" ht="15.75" customHeight="1" x14ac:dyDescent="0.25">
      <c r="A480" s="179"/>
      <c r="B480" s="186"/>
      <c r="C480" s="187"/>
      <c r="D480" s="188"/>
      <c r="E480" s="187"/>
      <c r="F480" s="189"/>
      <c r="G480" s="189"/>
      <c r="H480" s="188"/>
      <c r="I480" s="187"/>
      <c r="J480" s="180"/>
      <c r="K480" s="182"/>
      <c r="L480" s="172"/>
      <c r="M480" s="180"/>
      <c r="N480" s="183"/>
      <c r="O480" s="184"/>
      <c r="P480" s="185"/>
    </row>
    <row r="481" spans="1:16" ht="15.75" customHeight="1" x14ac:dyDescent="0.25">
      <c r="A481" s="179"/>
      <c r="B481" s="186"/>
      <c r="C481" s="187"/>
      <c r="D481" s="188"/>
      <c r="E481" s="187"/>
      <c r="F481" s="189"/>
      <c r="G481" s="189"/>
      <c r="H481" s="188"/>
      <c r="I481" s="187"/>
      <c r="J481" s="180"/>
      <c r="K481" s="182"/>
      <c r="L481" s="172"/>
      <c r="M481" s="180"/>
      <c r="N481" s="183"/>
      <c r="O481" s="184"/>
      <c r="P481" s="185"/>
    </row>
    <row r="482" spans="1:16" ht="15.75" customHeight="1" x14ac:dyDescent="0.25">
      <c r="A482" s="179"/>
      <c r="B482" s="186"/>
      <c r="C482" s="187"/>
      <c r="D482" s="188"/>
      <c r="E482" s="187"/>
      <c r="F482" s="189"/>
      <c r="G482" s="189"/>
      <c r="H482" s="188"/>
      <c r="I482" s="187"/>
      <c r="J482" s="180"/>
      <c r="K482" s="182"/>
      <c r="L482" s="172"/>
      <c r="M482" s="180"/>
      <c r="N482" s="183"/>
      <c r="O482" s="184"/>
      <c r="P482" s="185"/>
    </row>
    <row r="483" spans="1:16" ht="15.75" customHeight="1" x14ac:dyDescent="0.25">
      <c r="A483" s="179"/>
      <c r="B483" s="186"/>
      <c r="C483" s="187"/>
      <c r="D483" s="188"/>
      <c r="E483" s="187"/>
      <c r="F483" s="189"/>
      <c r="G483" s="189"/>
      <c r="H483" s="188"/>
      <c r="I483" s="187"/>
      <c r="J483" s="180"/>
      <c r="K483" s="182"/>
      <c r="L483" s="172"/>
      <c r="M483" s="180"/>
      <c r="N483" s="183"/>
      <c r="O483" s="184"/>
      <c r="P483" s="185"/>
    </row>
    <row r="484" spans="1:16" ht="15.75" customHeight="1" x14ac:dyDescent="0.25">
      <c r="A484" s="179"/>
      <c r="B484" s="186"/>
      <c r="C484" s="187"/>
      <c r="D484" s="188"/>
      <c r="E484" s="187"/>
      <c r="F484" s="189"/>
      <c r="G484" s="189"/>
      <c r="H484" s="188"/>
      <c r="I484" s="187"/>
      <c r="J484" s="180"/>
      <c r="K484" s="182"/>
      <c r="L484" s="172"/>
      <c r="M484" s="180"/>
      <c r="N484" s="183"/>
      <c r="O484" s="184"/>
      <c r="P484" s="185"/>
    </row>
    <row r="485" spans="1:16" ht="15.75" customHeight="1" x14ac:dyDescent="0.25">
      <c r="A485" s="179"/>
      <c r="B485" s="186"/>
      <c r="C485" s="187"/>
      <c r="D485" s="188"/>
      <c r="E485" s="187"/>
      <c r="F485" s="189"/>
      <c r="G485" s="189"/>
      <c r="H485" s="188"/>
      <c r="I485" s="187"/>
      <c r="J485" s="180"/>
      <c r="K485" s="182"/>
      <c r="L485" s="172"/>
      <c r="M485" s="180"/>
      <c r="N485" s="183"/>
      <c r="O485" s="184"/>
      <c r="P485" s="185"/>
    </row>
    <row r="486" spans="1:16" ht="15.75" customHeight="1" x14ac:dyDescent="0.25">
      <c r="A486" s="179"/>
      <c r="B486" s="186"/>
      <c r="C486" s="187"/>
      <c r="D486" s="188"/>
      <c r="E486" s="187"/>
      <c r="F486" s="189"/>
      <c r="G486" s="189"/>
      <c r="H486" s="188"/>
      <c r="I486" s="187"/>
      <c r="J486" s="180"/>
      <c r="K486" s="182"/>
      <c r="L486" s="172"/>
      <c r="M486" s="180"/>
      <c r="N486" s="183"/>
      <c r="O486" s="184"/>
      <c r="P486" s="185"/>
    </row>
    <row r="487" spans="1:16" ht="15.75" customHeight="1" x14ac:dyDescent="0.25">
      <c r="A487" s="179"/>
      <c r="B487" s="186"/>
      <c r="C487" s="187"/>
      <c r="D487" s="188"/>
      <c r="E487" s="187"/>
      <c r="F487" s="189"/>
      <c r="G487" s="189"/>
      <c r="H487" s="188"/>
      <c r="I487" s="187"/>
      <c r="J487" s="180"/>
      <c r="K487" s="182"/>
      <c r="L487" s="172"/>
      <c r="M487" s="180"/>
      <c r="N487" s="183"/>
      <c r="O487" s="184"/>
      <c r="P487" s="185"/>
    </row>
    <row r="488" spans="1:16" ht="15.75" customHeight="1" x14ac:dyDescent="0.25">
      <c r="A488" s="179"/>
      <c r="B488" s="186"/>
      <c r="C488" s="187"/>
      <c r="D488" s="188"/>
      <c r="E488" s="187"/>
      <c r="F488" s="189"/>
      <c r="G488" s="189"/>
      <c r="H488" s="188"/>
      <c r="I488" s="187"/>
      <c r="J488" s="180"/>
      <c r="K488" s="182"/>
      <c r="L488" s="172"/>
      <c r="M488" s="180"/>
      <c r="N488" s="183"/>
      <c r="O488" s="184"/>
      <c r="P488" s="185"/>
    </row>
    <row r="489" spans="1:16" ht="15.75" customHeight="1" x14ac:dyDescent="0.25">
      <c r="A489" s="179"/>
      <c r="B489" s="186"/>
      <c r="C489" s="187"/>
      <c r="D489" s="188"/>
      <c r="E489" s="187"/>
      <c r="F489" s="189"/>
      <c r="G489" s="189"/>
      <c r="H489" s="188"/>
      <c r="I489" s="187"/>
      <c r="J489" s="180"/>
      <c r="K489" s="182"/>
      <c r="L489" s="172"/>
      <c r="M489" s="180"/>
      <c r="N489" s="183"/>
      <c r="O489" s="184"/>
      <c r="P489" s="185"/>
    </row>
    <row r="490" spans="1:16" ht="15.75" customHeight="1" x14ac:dyDescent="0.25">
      <c r="A490" s="179"/>
      <c r="B490" s="186"/>
      <c r="C490" s="187"/>
      <c r="D490" s="188"/>
      <c r="E490" s="187"/>
      <c r="F490" s="189"/>
      <c r="G490" s="189"/>
      <c r="H490" s="188"/>
      <c r="I490" s="187"/>
      <c r="J490" s="180"/>
      <c r="K490" s="182"/>
      <c r="L490" s="172"/>
      <c r="M490" s="180"/>
      <c r="N490" s="183"/>
      <c r="O490" s="184"/>
      <c r="P490" s="185"/>
    </row>
    <row r="491" spans="1:16" ht="15.75" customHeight="1" x14ac:dyDescent="0.25">
      <c r="A491" s="179"/>
      <c r="B491" s="186"/>
      <c r="C491" s="187"/>
      <c r="D491" s="188"/>
      <c r="E491" s="187"/>
      <c r="F491" s="189"/>
      <c r="G491" s="189"/>
      <c r="H491" s="188"/>
      <c r="I491" s="187"/>
      <c r="J491" s="180"/>
      <c r="K491" s="182"/>
      <c r="L491" s="172"/>
      <c r="M491" s="180"/>
      <c r="N491" s="183"/>
      <c r="O491" s="184"/>
      <c r="P491" s="185"/>
    </row>
    <row r="492" spans="1:16" ht="15.75" customHeight="1" x14ac:dyDescent="0.25">
      <c r="A492" s="179"/>
      <c r="B492" s="186"/>
      <c r="C492" s="187"/>
      <c r="D492" s="188"/>
      <c r="E492" s="187"/>
      <c r="F492" s="189"/>
      <c r="G492" s="189"/>
      <c r="H492" s="188"/>
      <c r="I492" s="187"/>
      <c r="J492" s="180"/>
      <c r="K492" s="182"/>
      <c r="L492" s="172"/>
      <c r="M492" s="180"/>
      <c r="N492" s="183"/>
      <c r="O492" s="184"/>
      <c r="P492" s="185"/>
    </row>
    <row r="493" spans="1:16" ht="15.75" customHeight="1" x14ac:dyDescent="0.25">
      <c r="A493" s="179"/>
      <c r="B493" s="186"/>
      <c r="C493" s="187"/>
      <c r="D493" s="188"/>
      <c r="E493" s="187"/>
      <c r="F493" s="189"/>
      <c r="G493" s="189"/>
      <c r="H493" s="188"/>
      <c r="I493" s="187"/>
      <c r="J493" s="180"/>
      <c r="K493" s="182"/>
      <c r="L493" s="172"/>
      <c r="M493" s="180"/>
      <c r="N493" s="183"/>
      <c r="O493" s="184"/>
      <c r="P493" s="185"/>
    </row>
    <row r="494" spans="1:16" ht="15.75" customHeight="1" x14ac:dyDescent="0.25">
      <c r="A494" s="179"/>
      <c r="B494" s="186"/>
      <c r="C494" s="187"/>
      <c r="D494" s="188"/>
      <c r="E494" s="187"/>
      <c r="F494" s="189"/>
      <c r="G494" s="189"/>
      <c r="H494" s="188"/>
      <c r="I494" s="187"/>
      <c r="J494" s="180"/>
      <c r="K494" s="182"/>
      <c r="L494" s="172"/>
      <c r="M494" s="180"/>
      <c r="N494" s="183"/>
      <c r="O494" s="184"/>
      <c r="P494" s="185"/>
    </row>
    <row r="495" spans="1:16" ht="15.75" customHeight="1" x14ac:dyDescent="0.25">
      <c r="A495" s="179"/>
      <c r="B495" s="186"/>
      <c r="C495" s="187"/>
      <c r="D495" s="188"/>
      <c r="E495" s="187"/>
      <c r="F495" s="189"/>
      <c r="G495" s="189"/>
      <c r="H495" s="188"/>
      <c r="I495" s="187"/>
      <c r="J495" s="180"/>
      <c r="K495" s="182"/>
      <c r="L495" s="172"/>
      <c r="M495" s="180"/>
      <c r="N495" s="183"/>
      <c r="O495" s="184"/>
      <c r="P495" s="185"/>
    </row>
    <row r="496" spans="1:16" ht="15.75" customHeight="1" x14ac:dyDescent="0.25">
      <c r="A496" s="179"/>
      <c r="B496" s="186"/>
      <c r="C496" s="187"/>
      <c r="D496" s="188"/>
      <c r="E496" s="187"/>
      <c r="F496" s="189"/>
      <c r="G496" s="189"/>
      <c r="H496" s="188"/>
      <c r="I496" s="187"/>
      <c r="J496" s="180"/>
      <c r="K496" s="182"/>
      <c r="L496" s="172"/>
      <c r="M496" s="180"/>
      <c r="N496" s="183"/>
      <c r="O496" s="184"/>
      <c r="P496" s="185"/>
    </row>
    <row r="497" spans="1:16" ht="15.75" customHeight="1" x14ac:dyDescent="0.25">
      <c r="A497" s="179"/>
      <c r="B497" s="186"/>
      <c r="C497" s="187"/>
      <c r="D497" s="188"/>
      <c r="E497" s="187"/>
      <c r="F497" s="189"/>
      <c r="G497" s="189"/>
      <c r="H497" s="188"/>
      <c r="I497" s="187"/>
      <c r="J497" s="180"/>
      <c r="K497" s="182"/>
      <c r="L497" s="172"/>
      <c r="M497" s="180"/>
      <c r="N497" s="183"/>
      <c r="O497" s="184"/>
      <c r="P497" s="185"/>
    </row>
    <row r="498" spans="1:16" ht="15.75" customHeight="1" x14ac:dyDescent="0.25">
      <c r="A498" s="179"/>
      <c r="B498" s="186"/>
      <c r="C498" s="187"/>
      <c r="D498" s="188"/>
      <c r="E498" s="187"/>
      <c r="F498" s="189"/>
      <c r="G498" s="189"/>
      <c r="H498" s="188"/>
      <c r="I498" s="187"/>
      <c r="J498" s="180"/>
      <c r="K498" s="182"/>
      <c r="L498" s="172"/>
      <c r="M498" s="180"/>
      <c r="N498" s="183"/>
      <c r="O498" s="184"/>
      <c r="P498" s="185"/>
    </row>
    <row r="499" spans="1:16" ht="15.75" customHeight="1" x14ac:dyDescent="0.25">
      <c r="A499" s="179"/>
      <c r="B499" s="186"/>
      <c r="C499" s="187"/>
      <c r="D499" s="188"/>
      <c r="E499" s="187"/>
      <c r="F499" s="189"/>
      <c r="G499" s="189"/>
      <c r="H499" s="188"/>
      <c r="I499" s="187"/>
      <c r="J499" s="180"/>
      <c r="K499" s="182"/>
      <c r="L499" s="172"/>
      <c r="M499" s="180"/>
      <c r="N499" s="183"/>
      <c r="O499" s="184"/>
      <c r="P499" s="185"/>
    </row>
    <row r="500" spans="1:16" ht="15.75" customHeight="1" x14ac:dyDescent="0.25">
      <c r="A500" s="179"/>
      <c r="B500" s="186"/>
      <c r="C500" s="187"/>
      <c r="D500" s="188"/>
      <c r="E500" s="187"/>
      <c r="F500" s="189"/>
      <c r="G500" s="189"/>
      <c r="H500" s="188"/>
      <c r="I500" s="187"/>
      <c r="J500" s="180"/>
      <c r="K500" s="182"/>
      <c r="L500" s="172"/>
      <c r="M500" s="180"/>
      <c r="N500" s="183"/>
      <c r="O500" s="184"/>
      <c r="P500" s="185"/>
    </row>
    <row r="501" spans="1:16" ht="15.75" customHeight="1" x14ac:dyDescent="0.25">
      <c r="A501" s="179"/>
      <c r="B501" s="186"/>
      <c r="C501" s="187"/>
      <c r="D501" s="188"/>
      <c r="E501" s="187"/>
      <c r="F501" s="189"/>
      <c r="G501" s="189"/>
      <c r="H501" s="188"/>
      <c r="I501" s="187"/>
      <c r="J501" s="180"/>
      <c r="K501" s="182"/>
      <c r="L501" s="172"/>
      <c r="M501" s="180"/>
      <c r="N501" s="183"/>
      <c r="O501" s="184"/>
      <c r="P501" s="185"/>
    </row>
    <row r="502" spans="1:16" ht="15.75" customHeight="1" x14ac:dyDescent="0.25">
      <c r="A502" s="179"/>
      <c r="B502" s="186"/>
      <c r="C502" s="187"/>
      <c r="D502" s="188"/>
      <c r="E502" s="187"/>
      <c r="F502" s="189"/>
      <c r="G502" s="189"/>
      <c r="H502" s="188"/>
      <c r="I502" s="187"/>
      <c r="J502" s="180"/>
      <c r="K502" s="182"/>
      <c r="L502" s="172"/>
      <c r="M502" s="180"/>
      <c r="N502" s="183"/>
      <c r="O502" s="184"/>
      <c r="P502" s="185"/>
    </row>
    <row r="503" spans="1:16" ht="15.75" customHeight="1" x14ac:dyDescent="0.25">
      <c r="A503" s="179"/>
      <c r="B503" s="186"/>
      <c r="C503" s="187"/>
      <c r="D503" s="188"/>
      <c r="E503" s="187"/>
      <c r="F503" s="189"/>
      <c r="G503" s="189"/>
      <c r="H503" s="188"/>
      <c r="I503" s="187"/>
      <c r="J503" s="180"/>
      <c r="K503" s="182"/>
      <c r="L503" s="172"/>
      <c r="M503" s="180"/>
      <c r="N503" s="183"/>
      <c r="O503" s="184"/>
      <c r="P503" s="185"/>
    </row>
    <row r="504" spans="1:16" ht="15.75" customHeight="1" x14ac:dyDescent="0.25">
      <c r="A504" s="179"/>
      <c r="B504" s="186"/>
      <c r="C504" s="187"/>
      <c r="D504" s="188"/>
      <c r="E504" s="187"/>
      <c r="F504" s="189"/>
      <c r="G504" s="189"/>
      <c r="H504" s="188"/>
      <c r="I504" s="187"/>
      <c r="J504" s="180"/>
      <c r="K504" s="182"/>
      <c r="L504" s="172"/>
      <c r="M504" s="180"/>
      <c r="N504" s="183"/>
      <c r="O504" s="184"/>
      <c r="P504" s="185"/>
    </row>
    <row r="505" spans="1:16" ht="15.75" customHeight="1" x14ac:dyDescent="0.25">
      <c r="A505" s="179"/>
      <c r="B505" s="186"/>
      <c r="C505" s="187"/>
      <c r="D505" s="188"/>
      <c r="E505" s="187"/>
      <c r="F505" s="189"/>
      <c r="G505" s="189"/>
      <c r="H505" s="188"/>
      <c r="I505" s="187"/>
      <c r="J505" s="180"/>
      <c r="K505" s="182"/>
      <c r="L505" s="172"/>
      <c r="M505" s="180"/>
      <c r="N505" s="183"/>
      <c r="O505" s="184"/>
      <c r="P505" s="185"/>
    </row>
    <row r="506" spans="1:16" ht="15.75" customHeight="1" x14ac:dyDescent="0.25">
      <c r="A506" s="179"/>
      <c r="B506" s="186"/>
      <c r="C506" s="187"/>
      <c r="D506" s="188"/>
      <c r="E506" s="187"/>
      <c r="F506" s="189"/>
      <c r="G506" s="189"/>
      <c r="H506" s="188"/>
      <c r="I506" s="187"/>
      <c r="J506" s="180"/>
      <c r="K506" s="182"/>
      <c r="L506" s="172"/>
      <c r="M506" s="180"/>
      <c r="N506" s="183"/>
      <c r="O506" s="184"/>
      <c r="P506" s="185"/>
    </row>
    <row r="507" spans="1:16" ht="15.75" customHeight="1" x14ac:dyDescent="0.25">
      <c r="A507" s="179"/>
      <c r="B507" s="186"/>
      <c r="C507" s="187"/>
      <c r="D507" s="188"/>
      <c r="E507" s="187"/>
      <c r="F507" s="189"/>
      <c r="G507" s="189"/>
      <c r="H507" s="188"/>
      <c r="I507" s="187"/>
      <c r="J507" s="180"/>
      <c r="K507" s="182"/>
      <c r="L507" s="172"/>
      <c r="M507" s="180"/>
      <c r="N507" s="183"/>
      <c r="O507" s="184"/>
      <c r="P507" s="185"/>
    </row>
    <row r="508" spans="1:16" ht="15.75" customHeight="1" x14ac:dyDescent="0.25">
      <c r="A508" s="179"/>
      <c r="B508" s="186"/>
      <c r="C508" s="187"/>
      <c r="D508" s="188"/>
      <c r="E508" s="187"/>
      <c r="F508" s="189"/>
      <c r="G508" s="189"/>
      <c r="H508" s="188"/>
      <c r="I508" s="187"/>
      <c r="J508" s="180"/>
      <c r="K508" s="182"/>
      <c r="L508" s="172"/>
      <c r="M508" s="180"/>
      <c r="N508" s="183"/>
      <c r="O508" s="184"/>
      <c r="P508" s="185"/>
    </row>
    <row r="509" spans="1:16" ht="15.75" customHeight="1" x14ac:dyDescent="0.25">
      <c r="A509" s="179"/>
      <c r="B509" s="186"/>
      <c r="C509" s="187"/>
      <c r="D509" s="188"/>
      <c r="E509" s="187"/>
      <c r="F509" s="189"/>
      <c r="G509" s="189"/>
      <c r="H509" s="188"/>
      <c r="I509" s="187"/>
      <c r="J509" s="180"/>
      <c r="K509" s="182"/>
      <c r="L509" s="172"/>
      <c r="M509" s="180"/>
      <c r="N509" s="183"/>
      <c r="O509" s="184"/>
      <c r="P509" s="185"/>
    </row>
    <row r="510" spans="1:16" ht="15.75" customHeight="1" x14ac:dyDescent="0.25">
      <c r="A510" s="179"/>
      <c r="B510" s="186"/>
      <c r="C510" s="187"/>
      <c r="D510" s="188"/>
      <c r="E510" s="187"/>
      <c r="F510" s="189"/>
      <c r="G510" s="189"/>
      <c r="H510" s="188"/>
      <c r="I510" s="187"/>
      <c r="J510" s="180"/>
      <c r="K510" s="182"/>
      <c r="L510" s="172"/>
      <c r="M510" s="180"/>
      <c r="N510" s="183"/>
      <c r="O510" s="184"/>
      <c r="P510" s="185"/>
    </row>
    <row r="511" spans="1:16" ht="15.75" customHeight="1" x14ac:dyDescent="0.25">
      <c r="A511" s="179"/>
      <c r="B511" s="186"/>
      <c r="C511" s="187"/>
      <c r="D511" s="188"/>
      <c r="E511" s="187"/>
      <c r="F511" s="189"/>
      <c r="G511" s="189"/>
      <c r="H511" s="188"/>
      <c r="I511" s="187"/>
      <c r="J511" s="180"/>
      <c r="K511" s="182"/>
      <c r="L511" s="172"/>
      <c r="M511" s="180"/>
      <c r="N511" s="183"/>
      <c r="O511" s="184"/>
      <c r="P511" s="185"/>
    </row>
    <row r="512" spans="1:16" ht="15.75" customHeight="1" x14ac:dyDescent="0.25">
      <c r="A512" s="179"/>
      <c r="B512" s="186"/>
      <c r="C512" s="187"/>
      <c r="D512" s="188"/>
      <c r="E512" s="187"/>
      <c r="F512" s="189"/>
      <c r="G512" s="189"/>
      <c r="H512" s="188"/>
      <c r="I512" s="187"/>
      <c r="J512" s="180"/>
      <c r="K512" s="182"/>
      <c r="L512" s="172"/>
      <c r="M512" s="180"/>
      <c r="N512" s="183"/>
      <c r="O512" s="184"/>
      <c r="P512" s="185"/>
    </row>
    <row r="513" spans="1:16" ht="15.75" customHeight="1" x14ac:dyDescent="0.25">
      <c r="A513" s="179"/>
      <c r="B513" s="186"/>
      <c r="C513" s="187"/>
      <c r="D513" s="188"/>
      <c r="E513" s="187"/>
      <c r="F513" s="189"/>
      <c r="G513" s="189"/>
      <c r="H513" s="188"/>
      <c r="I513" s="187"/>
      <c r="J513" s="180"/>
      <c r="K513" s="182"/>
      <c r="L513" s="172"/>
      <c r="M513" s="180"/>
      <c r="N513" s="183"/>
      <c r="O513" s="184"/>
      <c r="P513" s="185"/>
    </row>
    <row r="514" spans="1:16" ht="15.75" customHeight="1" x14ac:dyDescent="0.25">
      <c r="A514" s="179"/>
      <c r="B514" s="186"/>
      <c r="C514" s="187"/>
      <c r="D514" s="188"/>
      <c r="E514" s="187"/>
      <c r="F514" s="189"/>
      <c r="G514" s="189"/>
      <c r="H514" s="188"/>
      <c r="I514" s="187"/>
      <c r="J514" s="180"/>
      <c r="K514" s="182"/>
      <c r="L514" s="172"/>
      <c r="M514" s="180"/>
      <c r="N514" s="183"/>
      <c r="O514" s="184"/>
      <c r="P514" s="185"/>
    </row>
    <row r="515" spans="1:16" ht="15.75" customHeight="1" x14ac:dyDescent="0.25">
      <c r="A515" s="179"/>
      <c r="B515" s="186"/>
      <c r="C515" s="187"/>
      <c r="D515" s="188"/>
      <c r="E515" s="187"/>
      <c r="F515" s="189"/>
      <c r="G515" s="189"/>
      <c r="H515" s="188"/>
      <c r="I515" s="187"/>
      <c r="J515" s="180"/>
      <c r="K515" s="182"/>
      <c r="L515" s="172"/>
      <c r="M515" s="180"/>
      <c r="N515" s="183"/>
      <c r="O515" s="184"/>
      <c r="P515" s="185"/>
    </row>
    <row r="516" spans="1:16" ht="15.75" customHeight="1" x14ac:dyDescent="0.25">
      <c r="A516" s="179"/>
      <c r="B516" s="186"/>
      <c r="C516" s="187"/>
      <c r="D516" s="188"/>
      <c r="E516" s="187"/>
      <c r="F516" s="189"/>
      <c r="G516" s="189"/>
      <c r="H516" s="188"/>
      <c r="I516" s="187"/>
      <c r="J516" s="180"/>
      <c r="K516" s="182"/>
      <c r="L516" s="172"/>
      <c r="M516" s="180"/>
      <c r="N516" s="183"/>
      <c r="O516" s="184"/>
      <c r="P516" s="185"/>
    </row>
    <row r="517" spans="1:16" ht="15.75" customHeight="1" x14ac:dyDescent="0.25">
      <c r="A517" s="179"/>
      <c r="B517" s="186"/>
      <c r="C517" s="187"/>
      <c r="D517" s="188"/>
      <c r="E517" s="187"/>
      <c r="F517" s="189"/>
      <c r="G517" s="189"/>
      <c r="H517" s="188"/>
      <c r="I517" s="187"/>
      <c r="J517" s="180"/>
      <c r="K517" s="182"/>
      <c r="L517" s="172"/>
      <c r="M517" s="180"/>
      <c r="N517" s="183"/>
      <c r="O517" s="184"/>
      <c r="P517" s="185"/>
    </row>
    <row r="518" spans="1:16" ht="15.75" customHeight="1" x14ac:dyDescent="0.25">
      <c r="A518" s="179"/>
      <c r="B518" s="186"/>
      <c r="C518" s="187"/>
      <c r="D518" s="188"/>
      <c r="E518" s="187"/>
      <c r="F518" s="189"/>
      <c r="G518" s="189"/>
      <c r="H518" s="188"/>
      <c r="I518" s="187"/>
      <c r="J518" s="180"/>
      <c r="K518" s="182"/>
      <c r="L518" s="172"/>
      <c r="M518" s="180"/>
      <c r="N518" s="183"/>
      <c r="O518" s="184"/>
      <c r="P518" s="185"/>
    </row>
    <row r="519" spans="1:16" ht="15.75" customHeight="1" x14ac:dyDescent="0.25">
      <c r="A519" s="179"/>
      <c r="B519" s="186"/>
      <c r="C519" s="187"/>
      <c r="D519" s="188"/>
      <c r="E519" s="187"/>
      <c r="F519" s="189"/>
      <c r="G519" s="189"/>
      <c r="H519" s="188"/>
      <c r="I519" s="187"/>
      <c r="J519" s="180"/>
      <c r="K519" s="182"/>
      <c r="L519" s="172"/>
      <c r="M519" s="180"/>
      <c r="N519" s="183"/>
      <c r="O519" s="184"/>
      <c r="P519" s="185"/>
    </row>
    <row r="520" spans="1:16" ht="15.75" customHeight="1" x14ac:dyDescent="0.25">
      <c r="A520" s="179"/>
      <c r="B520" s="186"/>
      <c r="C520" s="187"/>
      <c r="D520" s="188"/>
      <c r="E520" s="187"/>
      <c r="F520" s="189"/>
      <c r="G520" s="189"/>
      <c r="H520" s="188"/>
      <c r="I520" s="187"/>
      <c r="J520" s="180"/>
      <c r="K520" s="182"/>
      <c r="L520" s="172"/>
      <c r="M520" s="180"/>
      <c r="N520" s="183"/>
      <c r="O520" s="184"/>
      <c r="P520" s="185"/>
    </row>
    <row r="521" spans="1:16" ht="15.75" customHeight="1" x14ac:dyDescent="0.25">
      <c r="A521" s="179"/>
      <c r="B521" s="186"/>
      <c r="C521" s="187"/>
      <c r="D521" s="188"/>
      <c r="E521" s="187"/>
      <c r="F521" s="189"/>
      <c r="G521" s="189"/>
      <c r="H521" s="188"/>
      <c r="I521" s="187"/>
      <c r="J521" s="180"/>
      <c r="K521" s="182"/>
      <c r="L521" s="172"/>
      <c r="M521" s="180"/>
      <c r="N521" s="183"/>
      <c r="O521" s="184"/>
      <c r="P521" s="185"/>
    </row>
    <row r="522" spans="1:16" ht="15.75" customHeight="1" x14ac:dyDescent="0.25">
      <c r="A522" s="179"/>
      <c r="B522" s="186"/>
      <c r="C522" s="187"/>
      <c r="D522" s="188"/>
      <c r="E522" s="187"/>
      <c r="F522" s="189"/>
      <c r="G522" s="189"/>
      <c r="H522" s="188"/>
      <c r="I522" s="187"/>
      <c r="J522" s="180"/>
      <c r="K522" s="182"/>
      <c r="L522" s="172"/>
      <c r="M522" s="180"/>
      <c r="N522" s="183"/>
      <c r="O522" s="184"/>
      <c r="P522" s="185"/>
    </row>
    <row r="523" spans="1:16" ht="15.75" customHeight="1" x14ac:dyDescent="0.25">
      <c r="A523" s="179"/>
      <c r="B523" s="186"/>
      <c r="C523" s="187"/>
      <c r="D523" s="188"/>
      <c r="E523" s="187"/>
      <c r="F523" s="189"/>
      <c r="G523" s="189"/>
      <c r="H523" s="188"/>
      <c r="I523" s="187"/>
      <c r="J523" s="180"/>
      <c r="K523" s="182"/>
      <c r="L523" s="172"/>
      <c r="M523" s="180"/>
      <c r="N523" s="183"/>
      <c r="O523" s="184"/>
      <c r="P523" s="185"/>
    </row>
    <row r="524" spans="1:16" ht="15.75" customHeight="1" x14ac:dyDescent="0.25">
      <c r="A524" s="179"/>
      <c r="B524" s="186"/>
      <c r="C524" s="187"/>
      <c r="D524" s="188"/>
      <c r="E524" s="187"/>
      <c r="F524" s="189"/>
      <c r="G524" s="189"/>
      <c r="H524" s="188"/>
      <c r="I524" s="187"/>
      <c r="J524" s="180"/>
      <c r="K524" s="182"/>
      <c r="L524" s="172"/>
      <c r="M524" s="180"/>
      <c r="N524" s="183"/>
      <c r="O524" s="184"/>
      <c r="P524" s="185"/>
    </row>
    <row r="525" spans="1:16" ht="15.75" customHeight="1" x14ac:dyDescent="0.25">
      <c r="A525" s="179"/>
      <c r="B525" s="186"/>
      <c r="C525" s="187"/>
      <c r="D525" s="188"/>
      <c r="E525" s="187"/>
      <c r="F525" s="189"/>
      <c r="G525" s="189"/>
      <c r="H525" s="188"/>
      <c r="I525" s="187"/>
      <c r="J525" s="180"/>
      <c r="K525" s="182"/>
      <c r="L525" s="172"/>
      <c r="M525" s="180"/>
      <c r="N525" s="183"/>
      <c r="O525" s="184"/>
      <c r="P525" s="185"/>
    </row>
    <row r="526" spans="1:16" ht="15.75" customHeight="1" x14ac:dyDescent="0.25">
      <c r="A526" s="179"/>
      <c r="B526" s="186"/>
      <c r="C526" s="187"/>
      <c r="D526" s="188"/>
      <c r="E526" s="187"/>
      <c r="F526" s="189"/>
      <c r="G526" s="189"/>
      <c r="H526" s="188"/>
      <c r="I526" s="187"/>
      <c r="J526" s="180"/>
      <c r="K526" s="182"/>
      <c r="L526" s="172"/>
      <c r="M526" s="180"/>
      <c r="N526" s="183"/>
      <c r="O526" s="184"/>
      <c r="P526" s="185"/>
    </row>
    <row r="527" spans="1:16" ht="15.75" customHeight="1" x14ac:dyDescent="0.25">
      <c r="A527" s="179"/>
      <c r="B527" s="186"/>
      <c r="C527" s="187"/>
      <c r="D527" s="188"/>
      <c r="E527" s="187"/>
      <c r="F527" s="189"/>
      <c r="G527" s="189"/>
      <c r="H527" s="188"/>
      <c r="I527" s="187"/>
      <c r="J527" s="180"/>
      <c r="K527" s="182"/>
      <c r="L527" s="172"/>
      <c r="M527" s="180"/>
      <c r="N527" s="183"/>
      <c r="O527" s="184"/>
      <c r="P527" s="185"/>
    </row>
    <row r="528" spans="1:16" ht="15.75" customHeight="1" x14ac:dyDescent="0.25">
      <c r="A528" s="179"/>
      <c r="B528" s="186"/>
      <c r="C528" s="187"/>
      <c r="D528" s="188"/>
      <c r="E528" s="187"/>
      <c r="F528" s="189"/>
      <c r="G528" s="189"/>
      <c r="H528" s="188"/>
      <c r="I528" s="187"/>
      <c r="J528" s="180"/>
      <c r="K528" s="182"/>
      <c r="L528" s="172"/>
      <c r="M528" s="180"/>
      <c r="N528" s="183"/>
      <c r="O528" s="184"/>
      <c r="P528" s="185"/>
    </row>
    <row r="529" spans="1:16" ht="15.75" customHeight="1" x14ac:dyDescent="0.25">
      <c r="A529" s="179"/>
      <c r="B529" s="186"/>
      <c r="C529" s="187"/>
      <c r="D529" s="188"/>
      <c r="E529" s="187"/>
      <c r="F529" s="189"/>
      <c r="G529" s="189"/>
      <c r="H529" s="188"/>
      <c r="I529" s="187"/>
      <c r="J529" s="180"/>
      <c r="K529" s="182"/>
      <c r="L529" s="172"/>
      <c r="M529" s="180"/>
      <c r="N529" s="183"/>
      <c r="O529" s="184"/>
      <c r="P529" s="185"/>
    </row>
    <row r="530" spans="1:16" ht="15.75" customHeight="1" x14ac:dyDescent="0.25">
      <c r="A530" s="179"/>
      <c r="B530" s="186"/>
      <c r="C530" s="187"/>
      <c r="D530" s="188"/>
      <c r="E530" s="187"/>
      <c r="F530" s="189"/>
      <c r="G530" s="189"/>
      <c r="H530" s="188"/>
      <c r="I530" s="187"/>
      <c r="J530" s="180"/>
      <c r="K530" s="182"/>
      <c r="L530" s="172"/>
      <c r="M530" s="180"/>
      <c r="N530" s="183"/>
      <c r="O530" s="184"/>
      <c r="P530" s="185"/>
    </row>
    <row r="531" spans="1:16" ht="15.75" customHeight="1" x14ac:dyDescent="0.25">
      <c r="A531" s="179"/>
      <c r="B531" s="186"/>
      <c r="C531" s="187"/>
      <c r="D531" s="188"/>
      <c r="E531" s="187"/>
      <c r="F531" s="189"/>
      <c r="G531" s="189"/>
      <c r="H531" s="188"/>
      <c r="I531" s="187"/>
      <c r="J531" s="180"/>
      <c r="K531" s="182"/>
      <c r="L531" s="172"/>
      <c r="M531" s="180"/>
      <c r="N531" s="183"/>
      <c r="O531" s="184"/>
      <c r="P531" s="185"/>
    </row>
    <row r="532" spans="1:16" ht="15.75" customHeight="1" x14ac:dyDescent="0.25">
      <c r="A532" s="179"/>
      <c r="B532" s="186"/>
      <c r="C532" s="187"/>
      <c r="D532" s="188"/>
      <c r="E532" s="187"/>
      <c r="F532" s="189"/>
      <c r="G532" s="189"/>
      <c r="H532" s="188"/>
      <c r="I532" s="187"/>
      <c r="J532" s="180"/>
      <c r="K532" s="182"/>
      <c r="L532" s="172"/>
      <c r="M532" s="180"/>
      <c r="N532" s="183"/>
      <c r="O532" s="184"/>
      <c r="P532" s="185"/>
    </row>
    <row r="533" spans="1:16" ht="15.75" customHeight="1" x14ac:dyDescent="0.25">
      <c r="A533" s="179"/>
      <c r="B533" s="186"/>
      <c r="C533" s="187"/>
      <c r="D533" s="188"/>
      <c r="E533" s="187"/>
      <c r="F533" s="189"/>
      <c r="G533" s="189"/>
      <c r="H533" s="188"/>
      <c r="I533" s="187"/>
      <c r="J533" s="180"/>
      <c r="K533" s="182"/>
      <c r="L533" s="172"/>
      <c r="M533" s="180"/>
      <c r="N533" s="183"/>
      <c r="O533" s="184"/>
      <c r="P533" s="185"/>
    </row>
    <row r="534" spans="1:16" ht="15.75" customHeight="1" x14ac:dyDescent="0.25">
      <c r="A534" s="179"/>
      <c r="B534" s="186"/>
      <c r="C534" s="187"/>
      <c r="D534" s="188"/>
      <c r="E534" s="187"/>
      <c r="F534" s="189"/>
      <c r="G534" s="189"/>
      <c r="H534" s="188"/>
      <c r="I534" s="187"/>
      <c r="J534" s="180"/>
      <c r="K534" s="182"/>
      <c r="L534" s="172"/>
      <c r="M534" s="180"/>
      <c r="N534" s="183"/>
      <c r="O534" s="184"/>
      <c r="P534" s="185"/>
    </row>
    <row r="535" spans="1:16" ht="15.75" customHeight="1" x14ac:dyDescent="0.25">
      <c r="A535" s="179"/>
      <c r="B535" s="186"/>
      <c r="C535" s="187"/>
      <c r="D535" s="188"/>
      <c r="E535" s="187"/>
      <c r="F535" s="189"/>
      <c r="G535" s="189"/>
      <c r="H535" s="188"/>
      <c r="I535" s="187"/>
      <c r="J535" s="180"/>
      <c r="K535" s="182"/>
      <c r="L535" s="172"/>
      <c r="M535" s="180"/>
      <c r="N535" s="183"/>
      <c r="O535" s="184"/>
      <c r="P535" s="185"/>
    </row>
    <row r="536" spans="1:16" ht="15.75" customHeight="1" x14ac:dyDescent="0.25">
      <c r="A536" s="179"/>
      <c r="B536" s="186"/>
      <c r="C536" s="187"/>
      <c r="D536" s="188"/>
      <c r="E536" s="187"/>
      <c r="F536" s="189"/>
      <c r="G536" s="189"/>
      <c r="H536" s="188"/>
      <c r="I536" s="187"/>
      <c r="J536" s="180"/>
      <c r="K536" s="182"/>
      <c r="L536" s="172"/>
      <c r="M536" s="180"/>
      <c r="N536" s="183"/>
      <c r="O536" s="184"/>
      <c r="P536" s="185"/>
    </row>
    <row r="537" spans="1:16" ht="15.75" customHeight="1" x14ac:dyDescent="0.25">
      <c r="A537" s="179"/>
      <c r="B537" s="186"/>
      <c r="C537" s="187"/>
      <c r="D537" s="188"/>
      <c r="E537" s="187"/>
      <c r="F537" s="189"/>
      <c r="G537" s="189"/>
      <c r="H537" s="188"/>
      <c r="I537" s="187"/>
      <c r="J537" s="180"/>
      <c r="K537" s="182"/>
      <c r="L537" s="172"/>
      <c r="M537" s="180"/>
      <c r="N537" s="183"/>
      <c r="O537" s="184"/>
      <c r="P537" s="185"/>
    </row>
    <row r="538" spans="1:16" ht="15.75" customHeight="1" x14ac:dyDescent="0.25">
      <c r="A538" s="179"/>
      <c r="B538" s="186"/>
      <c r="C538" s="187"/>
      <c r="D538" s="188"/>
      <c r="E538" s="187"/>
      <c r="F538" s="189"/>
      <c r="G538" s="189"/>
      <c r="H538" s="188"/>
      <c r="I538" s="187"/>
      <c r="J538" s="180"/>
      <c r="K538" s="182"/>
      <c r="L538" s="172"/>
      <c r="M538" s="180"/>
      <c r="N538" s="183"/>
      <c r="O538" s="184"/>
      <c r="P538" s="185"/>
    </row>
    <row r="539" spans="1:16" ht="15.75" customHeight="1" x14ac:dyDescent="0.25">
      <c r="A539" s="179"/>
      <c r="B539" s="186"/>
      <c r="C539" s="187"/>
      <c r="D539" s="188"/>
      <c r="E539" s="187"/>
      <c r="F539" s="189"/>
      <c r="G539" s="189"/>
      <c r="H539" s="188"/>
      <c r="I539" s="187"/>
      <c r="J539" s="180"/>
      <c r="K539" s="182"/>
      <c r="L539" s="172"/>
      <c r="M539" s="180"/>
      <c r="N539" s="183"/>
      <c r="O539" s="184"/>
      <c r="P539" s="185"/>
    </row>
    <row r="540" spans="1:16" ht="15.75" customHeight="1" x14ac:dyDescent="0.25">
      <c r="A540" s="179"/>
      <c r="B540" s="186"/>
      <c r="C540" s="187"/>
      <c r="D540" s="188"/>
      <c r="E540" s="187"/>
      <c r="F540" s="189"/>
      <c r="G540" s="189"/>
      <c r="H540" s="188"/>
      <c r="I540" s="187"/>
      <c r="J540" s="180"/>
      <c r="K540" s="182"/>
      <c r="L540" s="172"/>
      <c r="M540" s="180"/>
      <c r="N540" s="183"/>
      <c r="O540" s="184"/>
      <c r="P540" s="185"/>
    </row>
    <row r="541" spans="1:16" ht="15.75" customHeight="1" x14ac:dyDescent="0.25">
      <c r="A541" s="179"/>
      <c r="B541" s="186"/>
      <c r="C541" s="187"/>
      <c r="D541" s="188"/>
      <c r="E541" s="187"/>
      <c r="F541" s="189"/>
      <c r="G541" s="189"/>
      <c r="H541" s="188"/>
      <c r="I541" s="187"/>
      <c r="J541" s="180"/>
      <c r="K541" s="182"/>
      <c r="L541" s="172"/>
      <c r="M541" s="180"/>
      <c r="N541" s="183"/>
      <c r="O541" s="184"/>
      <c r="P541" s="185"/>
    </row>
    <row r="542" spans="1:16" ht="15.75" customHeight="1" x14ac:dyDescent="0.25">
      <c r="A542" s="179"/>
      <c r="B542" s="186"/>
      <c r="C542" s="187"/>
      <c r="D542" s="188"/>
      <c r="E542" s="187"/>
      <c r="F542" s="189"/>
      <c r="G542" s="189"/>
      <c r="H542" s="188"/>
      <c r="I542" s="187"/>
      <c r="J542" s="180"/>
      <c r="K542" s="182"/>
      <c r="L542" s="172"/>
      <c r="M542" s="180"/>
      <c r="N542" s="183"/>
      <c r="O542" s="184"/>
      <c r="P542" s="185"/>
    </row>
    <row r="543" spans="1:16" ht="15.75" customHeight="1" x14ac:dyDescent="0.25">
      <c r="A543" s="179"/>
      <c r="B543" s="186"/>
      <c r="C543" s="187"/>
      <c r="D543" s="188"/>
      <c r="E543" s="187"/>
      <c r="F543" s="189"/>
      <c r="G543" s="189"/>
      <c r="H543" s="188"/>
      <c r="I543" s="187"/>
      <c r="J543" s="180"/>
      <c r="K543" s="182"/>
      <c r="L543" s="172"/>
      <c r="M543" s="180"/>
      <c r="N543" s="183"/>
      <c r="O543" s="184"/>
      <c r="P543" s="185"/>
    </row>
    <row r="544" spans="1:16" ht="15.75" customHeight="1" x14ac:dyDescent="0.25">
      <c r="A544" s="179"/>
      <c r="B544" s="186"/>
      <c r="C544" s="187"/>
      <c r="D544" s="188"/>
      <c r="E544" s="187"/>
      <c r="F544" s="189"/>
      <c r="G544" s="189"/>
      <c r="H544" s="188"/>
      <c r="I544" s="187"/>
      <c r="J544" s="180"/>
      <c r="K544" s="182"/>
      <c r="L544" s="172"/>
      <c r="M544" s="180"/>
      <c r="N544" s="183"/>
      <c r="O544" s="184"/>
      <c r="P544" s="185"/>
    </row>
    <row r="545" spans="1:16" ht="15.75" customHeight="1" x14ac:dyDescent="0.25">
      <c r="A545" s="179"/>
      <c r="B545" s="186"/>
      <c r="C545" s="187"/>
      <c r="D545" s="188"/>
      <c r="E545" s="187"/>
      <c r="F545" s="189"/>
      <c r="G545" s="189"/>
      <c r="H545" s="188"/>
      <c r="I545" s="187"/>
      <c r="J545" s="180"/>
      <c r="K545" s="182"/>
      <c r="L545" s="172"/>
      <c r="M545" s="180"/>
      <c r="N545" s="183"/>
      <c r="O545" s="184"/>
      <c r="P545" s="185"/>
    </row>
    <row r="546" spans="1:16" ht="15.75" customHeight="1" x14ac:dyDescent="0.25">
      <c r="A546" s="179"/>
      <c r="B546" s="186"/>
      <c r="C546" s="187"/>
      <c r="D546" s="188"/>
      <c r="E546" s="187"/>
      <c r="F546" s="189"/>
      <c r="G546" s="189"/>
      <c r="H546" s="188"/>
      <c r="I546" s="187"/>
      <c r="J546" s="180"/>
      <c r="K546" s="182"/>
      <c r="L546" s="172"/>
      <c r="M546" s="180"/>
      <c r="N546" s="183"/>
      <c r="O546" s="184"/>
      <c r="P546" s="185"/>
    </row>
    <row r="547" spans="1:16" ht="15.75" customHeight="1" x14ac:dyDescent="0.25">
      <c r="A547" s="179"/>
      <c r="B547" s="186"/>
      <c r="C547" s="187"/>
      <c r="D547" s="188"/>
      <c r="E547" s="187"/>
      <c r="F547" s="189"/>
      <c r="G547" s="189"/>
      <c r="H547" s="188"/>
      <c r="I547" s="187"/>
      <c r="J547" s="180"/>
      <c r="K547" s="182"/>
      <c r="L547" s="172"/>
      <c r="M547" s="180"/>
      <c r="N547" s="183"/>
      <c r="O547" s="184"/>
      <c r="P547" s="185"/>
    </row>
    <row r="548" spans="1:16" ht="15.75" customHeight="1" x14ac:dyDescent="0.25">
      <c r="A548" s="179"/>
      <c r="B548" s="186"/>
      <c r="C548" s="187"/>
      <c r="D548" s="188"/>
      <c r="E548" s="187"/>
      <c r="F548" s="189"/>
      <c r="G548" s="189"/>
      <c r="H548" s="188"/>
      <c r="I548" s="187"/>
      <c r="J548" s="180"/>
      <c r="K548" s="182"/>
      <c r="L548" s="172"/>
      <c r="M548" s="180"/>
      <c r="N548" s="183"/>
      <c r="O548" s="184"/>
      <c r="P548" s="185"/>
    </row>
    <row r="549" spans="1:16" ht="15.75" customHeight="1" x14ac:dyDescent="0.25">
      <c r="A549" s="179"/>
      <c r="B549" s="186"/>
      <c r="C549" s="187"/>
      <c r="D549" s="188"/>
      <c r="E549" s="187"/>
      <c r="F549" s="189"/>
      <c r="G549" s="189"/>
      <c r="H549" s="188"/>
      <c r="I549" s="187"/>
      <c r="J549" s="180"/>
      <c r="K549" s="182"/>
      <c r="L549" s="172"/>
      <c r="M549" s="180"/>
      <c r="N549" s="183"/>
      <c r="O549" s="184"/>
      <c r="P549" s="185"/>
    </row>
    <row r="550" spans="1:16" ht="15.75" customHeight="1" x14ac:dyDescent="0.25">
      <c r="A550" s="179"/>
      <c r="B550" s="186"/>
      <c r="C550" s="187"/>
      <c r="D550" s="188"/>
      <c r="E550" s="187"/>
      <c r="F550" s="189"/>
      <c r="G550" s="189"/>
      <c r="H550" s="188"/>
      <c r="I550" s="187"/>
      <c r="J550" s="180"/>
      <c r="K550" s="182"/>
      <c r="L550" s="172"/>
      <c r="M550" s="180"/>
      <c r="N550" s="183"/>
      <c r="O550" s="184"/>
      <c r="P550" s="185"/>
    </row>
    <row r="551" spans="1:16" ht="15.75" customHeight="1" x14ac:dyDescent="0.25">
      <c r="A551" s="179"/>
      <c r="B551" s="186"/>
      <c r="C551" s="187"/>
      <c r="D551" s="188"/>
      <c r="E551" s="187"/>
      <c r="F551" s="189"/>
      <c r="G551" s="189"/>
      <c r="H551" s="188"/>
      <c r="I551" s="187"/>
      <c r="J551" s="180"/>
      <c r="K551" s="182"/>
      <c r="L551" s="172"/>
      <c r="M551" s="180"/>
      <c r="N551" s="183"/>
      <c r="O551" s="184"/>
      <c r="P551" s="185"/>
    </row>
    <row r="552" spans="1:16" ht="15.75" customHeight="1" x14ac:dyDescent="0.25">
      <c r="A552" s="179"/>
      <c r="B552" s="186"/>
      <c r="C552" s="187"/>
      <c r="D552" s="188"/>
      <c r="E552" s="187"/>
      <c r="F552" s="189"/>
      <c r="G552" s="189"/>
      <c r="H552" s="188"/>
      <c r="I552" s="187"/>
      <c r="J552" s="180"/>
      <c r="K552" s="182"/>
      <c r="L552" s="172"/>
      <c r="M552" s="180"/>
      <c r="N552" s="183"/>
      <c r="O552" s="184"/>
      <c r="P552" s="185"/>
    </row>
    <row r="553" spans="1:16" ht="15.75" customHeight="1" x14ac:dyDescent="0.25">
      <c r="A553" s="179"/>
      <c r="B553" s="186"/>
      <c r="C553" s="187"/>
      <c r="D553" s="188"/>
      <c r="E553" s="187"/>
      <c r="F553" s="189"/>
      <c r="G553" s="189"/>
      <c r="H553" s="188"/>
      <c r="I553" s="187"/>
      <c r="J553" s="180"/>
      <c r="K553" s="182"/>
      <c r="L553" s="172"/>
      <c r="M553" s="180"/>
      <c r="N553" s="183"/>
      <c r="O553" s="184"/>
      <c r="P553" s="185"/>
    </row>
    <row r="554" spans="1:16" ht="15.75" customHeight="1" x14ac:dyDescent="0.25">
      <c r="A554" s="179"/>
      <c r="B554" s="186"/>
      <c r="C554" s="187"/>
      <c r="D554" s="188"/>
      <c r="E554" s="187"/>
      <c r="F554" s="189"/>
      <c r="G554" s="189"/>
      <c r="H554" s="188"/>
      <c r="I554" s="187"/>
      <c r="J554" s="180"/>
      <c r="K554" s="182"/>
      <c r="L554" s="172"/>
      <c r="M554" s="180"/>
      <c r="N554" s="183"/>
      <c r="O554" s="184"/>
      <c r="P554" s="185"/>
    </row>
    <row r="555" spans="1:16" ht="15.75" customHeight="1" x14ac:dyDescent="0.25">
      <c r="A555" s="179"/>
      <c r="B555" s="186"/>
      <c r="C555" s="187"/>
      <c r="D555" s="188"/>
      <c r="E555" s="187"/>
      <c r="F555" s="189"/>
      <c r="G555" s="189"/>
      <c r="H555" s="188"/>
      <c r="I555" s="187"/>
      <c r="J555" s="180"/>
      <c r="K555" s="182"/>
      <c r="L555" s="172"/>
      <c r="M555" s="180"/>
      <c r="N555" s="183"/>
      <c r="O555" s="184"/>
      <c r="P555" s="185"/>
    </row>
    <row r="556" spans="1:16" ht="15.75" customHeight="1" x14ac:dyDescent="0.25">
      <c r="A556" s="179"/>
      <c r="B556" s="186"/>
      <c r="C556" s="187"/>
      <c r="D556" s="188"/>
      <c r="E556" s="187"/>
      <c r="F556" s="189"/>
      <c r="G556" s="189"/>
      <c r="H556" s="188"/>
      <c r="I556" s="187"/>
      <c r="J556" s="180"/>
      <c r="K556" s="182"/>
      <c r="L556" s="172"/>
      <c r="M556" s="180"/>
      <c r="N556" s="183"/>
      <c r="O556" s="184"/>
      <c r="P556" s="185"/>
    </row>
    <row r="557" spans="1:16" ht="15.75" customHeight="1" x14ac:dyDescent="0.25">
      <c r="A557" s="179"/>
      <c r="B557" s="186"/>
      <c r="C557" s="187"/>
      <c r="D557" s="188"/>
      <c r="E557" s="187"/>
      <c r="F557" s="189"/>
      <c r="G557" s="189"/>
      <c r="H557" s="188"/>
      <c r="I557" s="187"/>
      <c r="J557" s="180"/>
      <c r="K557" s="182"/>
      <c r="L557" s="172"/>
      <c r="M557" s="180"/>
      <c r="N557" s="183"/>
      <c r="O557" s="184"/>
      <c r="P557" s="185"/>
    </row>
    <row r="558" spans="1:16" ht="15.75" customHeight="1" x14ac:dyDescent="0.25">
      <c r="A558" s="179"/>
      <c r="B558" s="186"/>
      <c r="C558" s="187"/>
      <c r="D558" s="188"/>
      <c r="E558" s="187"/>
      <c r="F558" s="189"/>
      <c r="G558" s="189"/>
      <c r="H558" s="188"/>
      <c r="I558" s="187"/>
      <c r="J558" s="180"/>
      <c r="K558" s="182"/>
      <c r="L558" s="172"/>
      <c r="M558" s="180"/>
      <c r="N558" s="183"/>
      <c r="O558" s="184"/>
      <c r="P558" s="185"/>
    </row>
    <row r="559" spans="1:16" ht="15.75" customHeight="1" x14ac:dyDescent="0.25">
      <c r="A559" s="179"/>
      <c r="B559" s="186"/>
      <c r="C559" s="187"/>
      <c r="D559" s="188"/>
      <c r="E559" s="187"/>
      <c r="F559" s="189"/>
      <c r="G559" s="189"/>
      <c r="H559" s="188"/>
      <c r="I559" s="187"/>
      <c r="J559" s="180"/>
      <c r="K559" s="182"/>
      <c r="L559" s="172"/>
      <c r="M559" s="180"/>
      <c r="N559" s="183"/>
      <c r="O559" s="184"/>
      <c r="P559" s="185"/>
    </row>
    <row r="560" spans="1:16" ht="15.75" customHeight="1" x14ac:dyDescent="0.25">
      <c r="A560" s="179"/>
      <c r="B560" s="186"/>
      <c r="C560" s="187"/>
      <c r="D560" s="188"/>
      <c r="E560" s="187"/>
      <c r="F560" s="189"/>
      <c r="G560" s="189"/>
      <c r="H560" s="188"/>
      <c r="I560" s="187"/>
      <c r="J560" s="180"/>
      <c r="K560" s="182"/>
      <c r="L560" s="172"/>
      <c r="M560" s="180"/>
      <c r="N560" s="183"/>
      <c r="O560" s="184"/>
      <c r="P560" s="185"/>
    </row>
    <row r="561" spans="1:16" ht="15.75" customHeight="1" x14ac:dyDescent="0.25">
      <c r="A561" s="179"/>
      <c r="B561" s="186"/>
      <c r="C561" s="187"/>
      <c r="D561" s="188"/>
      <c r="E561" s="187"/>
      <c r="F561" s="189"/>
      <c r="G561" s="189"/>
      <c r="H561" s="188"/>
      <c r="I561" s="187"/>
      <c r="J561" s="180"/>
      <c r="K561" s="182"/>
      <c r="L561" s="172"/>
      <c r="M561" s="180"/>
      <c r="N561" s="183"/>
      <c r="O561" s="184"/>
      <c r="P561" s="185"/>
    </row>
    <row r="562" spans="1:16" ht="15.75" customHeight="1" x14ac:dyDescent="0.25">
      <c r="A562" s="179"/>
      <c r="B562" s="186"/>
      <c r="C562" s="187"/>
      <c r="D562" s="188"/>
      <c r="E562" s="187"/>
      <c r="F562" s="189"/>
      <c r="G562" s="189"/>
      <c r="H562" s="188"/>
      <c r="I562" s="187"/>
      <c r="J562" s="180"/>
      <c r="K562" s="182"/>
      <c r="L562" s="172"/>
      <c r="M562" s="180"/>
      <c r="N562" s="183"/>
      <c r="O562" s="184"/>
      <c r="P562" s="185"/>
    </row>
    <row r="563" spans="1:16" ht="15.75" customHeight="1" x14ac:dyDescent="0.25">
      <c r="A563" s="179"/>
      <c r="B563" s="186"/>
      <c r="C563" s="187"/>
      <c r="D563" s="188"/>
      <c r="E563" s="187"/>
      <c r="F563" s="189"/>
      <c r="G563" s="189"/>
      <c r="H563" s="188"/>
      <c r="I563" s="187"/>
      <c r="J563" s="180"/>
      <c r="K563" s="182"/>
      <c r="L563" s="172"/>
      <c r="M563" s="180"/>
      <c r="N563" s="183"/>
      <c r="O563" s="184"/>
      <c r="P563" s="185"/>
    </row>
    <row r="564" spans="1:16" ht="15.75" customHeight="1" x14ac:dyDescent="0.25">
      <c r="A564" s="179"/>
      <c r="B564" s="186"/>
      <c r="C564" s="187"/>
      <c r="D564" s="188"/>
      <c r="E564" s="187"/>
      <c r="F564" s="189"/>
      <c r="G564" s="189"/>
      <c r="H564" s="188"/>
      <c r="I564" s="187"/>
      <c r="J564" s="180"/>
      <c r="K564" s="182"/>
      <c r="L564" s="172"/>
      <c r="M564" s="180"/>
      <c r="N564" s="183"/>
      <c r="O564" s="184"/>
      <c r="P564" s="185"/>
    </row>
    <row r="565" spans="1:16" ht="15.75" customHeight="1" x14ac:dyDescent="0.25">
      <c r="A565" s="179"/>
      <c r="B565" s="186"/>
      <c r="C565" s="187"/>
      <c r="D565" s="188"/>
      <c r="E565" s="187"/>
      <c r="F565" s="189"/>
      <c r="G565" s="189"/>
      <c r="H565" s="188"/>
      <c r="I565" s="187"/>
      <c r="J565" s="180"/>
      <c r="K565" s="182"/>
      <c r="L565" s="172"/>
      <c r="M565" s="180"/>
      <c r="N565" s="183"/>
      <c r="O565" s="184"/>
      <c r="P565" s="185"/>
    </row>
    <row r="566" spans="1:16" ht="15.75" customHeight="1" x14ac:dyDescent="0.25">
      <c r="A566" s="179"/>
      <c r="B566" s="186"/>
      <c r="C566" s="187"/>
      <c r="D566" s="188"/>
      <c r="E566" s="187"/>
      <c r="F566" s="189"/>
      <c r="G566" s="189"/>
      <c r="H566" s="188"/>
      <c r="I566" s="187"/>
      <c r="J566" s="180"/>
      <c r="K566" s="182"/>
      <c r="L566" s="172"/>
      <c r="M566" s="180"/>
      <c r="N566" s="183"/>
      <c r="O566" s="184"/>
      <c r="P566" s="185"/>
    </row>
    <row r="567" spans="1:16" ht="15.75" customHeight="1" x14ac:dyDescent="0.25">
      <c r="A567" s="179"/>
      <c r="B567" s="186"/>
      <c r="C567" s="187"/>
      <c r="D567" s="188"/>
      <c r="E567" s="187"/>
      <c r="F567" s="189"/>
      <c r="G567" s="189"/>
      <c r="H567" s="188"/>
      <c r="I567" s="187"/>
      <c r="J567" s="180"/>
      <c r="K567" s="182"/>
      <c r="L567" s="172"/>
      <c r="M567" s="180"/>
      <c r="N567" s="183"/>
      <c r="O567" s="184"/>
      <c r="P567" s="185"/>
    </row>
    <row r="568" spans="1:16" ht="15.75" customHeight="1" x14ac:dyDescent="0.25">
      <c r="A568" s="179"/>
      <c r="B568" s="186"/>
      <c r="C568" s="187"/>
      <c r="D568" s="188"/>
      <c r="E568" s="187"/>
      <c r="F568" s="189"/>
      <c r="G568" s="189"/>
      <c r="H568" s="188"/>
      <c r="I568" s="187"/>
      <c r="J568" s="180"/>
      <c r="K568" s="182"/>
      <c r="L568" s="172"/>
      <c r="M568" s="180"/>
      <c r="N568" s="183"/>
      <c r="O568" s="184"/>
      <c r="P568" s="185"/>
    </row>
    <row r="569" spans="1:16" ht="15.75" customHeight="1" x14ac:dyDescent="0.25">
      <c r="A569" s="179"/>
      <c r="B569" s="186"/>
      <c r="C569" s="187"/>
      <c r="D569" s="188"/>
      <c r="E569" s="187"/>
      <c r="F569" s="189"/>
      <c r="G569" s="189"/>
      <c r="H569" s="188"/>
      <c r="I569" s="187"/>
      <c r="J569" s="180"/>
      <c r="K569" s="182"/>
      <c r="L569" s="172"/>
      <c r="M569" s="180"/>
      <c r="N569" s="183"/>
      <c r="O569" s="184"/>
      <c r="P569" s="185"/>
    </row>
    <row r="570" spans="1:16" ht="15.75" customHeight="1" x14ac:dyDescent="0.25">
      <c r="A570" s="179"/>
      <c r="B570" s="186"/>
      <c r="C570" s="187"/>
      <c r="D570" s="188"/>
      <c r="E570" s="187"/>
      <c r="F570" s="189"/>
      <c r="G570" s="189"/>
      <c r="H570" s="188"/>
      <c r="I570" s="187"/>
      <c r="J570" s="180"/>
      <c r="K570" s="182"/>
      <c r="L570" s="172"/>
      <c r="M570" s="180"/>
      <c r="N570" s="183"/>
      <c r="O570" s="184"/>
      <c r="P570" s="185"/>
    </row>
    <row r="571" spans="1:16" ht="15.75" customHeight="1" x14ac:dyDescent="0.25">
      <c r="A571" s="179"/>
      <c r="B571" s="186"/>
      <c r="C571" s="187"/>
      <c r="D571" s="188"/>
      <c r="E571" s="187"/>
      <c r="F571" s="189"/>
      <c r="G571" s="189"/>
      <c r="H571" s="188"/>
      <c r="I571" s="187"/>
      <c r="J571" s="180"/>
      <c r="K571" s="182"/>
      <c r="L571" s="172"/>
      <c r="M571" s="180"/>
      <c r="N571" s="183"/>
      <c r="O571" s="184"/>
      <c r="P571" s="185"/>
    </row>
    <row r="572" spans="1:16" ht="15.75" customHeight="1" x14ac:dyDescent="0.25">
      <c r="A572" s="179"/>
      <c r="B572" s="186"/>
      <c r="C572" s="187"/>
      <c r="D572" s="188"/>
      <c r="E572" s="187"/>
      <c r="F572" s="189"/>
      <c r="G572" s="189"/>
      <c r="H572" s="188"/>
      <c r="I572" s="187"/>
      <c r="J572" s="180"/>
      <c r="K572" s="182"/>
      <c r="L572" s="172"/>
      <c r="M572" s="180"/>
      <c r="N572" s="183"/>
      <c r="O572" s="184"/>
      <c r="P572" s="185"/>
    </row>
    <row r="573" spans="1:16" ht="15.75" customHeight="1" x14ac:dyDescent="0.25">
      <c r="A573" s="179"/>
      <c r="B573" s="186"/>
      <c r="C573" s="187"/>
      <c r="D573" s="188"/>
      <c r="E573" s="187"/>
      <c r="F573" s="189"/>
      <c r="G573" s="189"/>
      <c r="H573" s="188"/>
      <c r="I573" s="187"/>
      <c r="J573" s="180"/>
      <c r="K573" s="182"/>
      <c r="L573" s="172"/>
      <c r="M573" s="180"/>
      <c r="N573" s="183"/>
      <c r="O573" s="184"/>
      <c r="P573" s="185"/>
    </row>
    <row r="574" spans="1:16" ht="15.75" customHeight="1" x14ac:dyDescent="0.25">
      <c r="A574" s="179"/>
      <c r="B574" s="186"/>
      <c r="C574" s="187"/>
      <c r="D574" s="188"/>
      <c r="E574" s="187"/>
      <c r="F574" s="189"/>
      <c r="G574" s="189"/>
      <c r="H574" s="188"/>
      <c r="I574" s="187"/>
      <c r="J574" s="180"/>
      <c r="K574" s="182"/>
      <c r="L574" s="172"/>
      <c r="M574" s="180"/>
      <c r="N574" s="183"/>
      <c r="O574" s="184"/>
      <c r="P574" s="185"/>
    </row>
    <row r="575" spans="1:16" ht="15.75" customHeight="1" x14ac:dyDescent="0.25">
      <c r="A575" s="179"/>
      <c r="B575" s="186"/>
      <c r="C575" s="187"/>
      <c r="D575" s="188"/>
      <c r="E575" s="187"/>
      <c r="F575" s="189"/>
      <c r="G575" s="189"/>
      <c r="H575" s="188"/>
      <c r="I575" s="187"/>
      <c r="J575" s="180"/>
      <c r="K575" s="182"/>
      <c r="L575" s="172"/>
      <c r="M575" s="180"/>
      <c r="N575" s="183"/>
      <c r="O575" s="184"/>
      <c r="P575" s="185"/>
    </row>
    <row r="576" spans="1:16" ht="15.75" customHeight="1" x14ac:dyDescent="0.25">
      <c r="A576" s="179"/>
      <c r="B576" s="186"/>
      <c r="C576" s="187"/>
      <c r="D576" s="188"/>
      <c r="E576" s="187"/>
      <c r="F576" s="189"/>
      <c r="G576" s="189"/>
      <c r="H576" s="188"/>
      <c r="I576" s="187"/>
      <c r="J576" s="180"/>
      <c r="K576" s="182"/>
      <c r="L576" s="172"/>
      <c r="M576" s="180"/>
      <c r="N576" s="183"/>
      <c r="O576" s="184"/>
      <c r="P576" s="185"/>
    </row>
    <row r="577" spans="1:16" ht="15.75" customHeight="1" x14ac:dyDescent="0.25">
      <c r="A577" s="179"/>
      <c r="B577" s="186"/>
      <c r="C577" s="187"/>
      <c r="D577" s="188"/>
      <c r="E577" s="187"/>
      <c r="F577" s="189"/>
      <c r="G577" s="189"/>
      <c r="H577" s="188"/>
      <c r="I577" s="187"/>
      <c r="J577" s="180"/>
      <c r="K577" s="182"/>
      <c r="L577" s="172"/>
      <c r="M577" s="180"/>
      <c r="N577" s="183"/>
      <c r="O577" s="184"/>
      <c r="P577" s="185"/>
    </row>
    <row r="578" spans="1:16" ht="15.75" customHeight="1" x14ac:dyDescent="0.25">
      <c r="A578" s="179"/>
      <c r="B578" s="186"/>
      <c r="C578" s="187"/>
      <c r="D578" s="188"/>
      <c r="E578" s="187"/>
      <c r="F578" s="189"/>
      <c r="G578" s="189"/>
      <c r="H578" s="188"/>
      <c r="I578" s="187"/>
      <c r="J578" s="180"/>
      <c r="K578" s="182"/>
      <c r="L578" s="172"/>
      <c r="M578" s="180"/>
      <c r="N578" s="183"/>
      <c r="O578" s="184"/>
      <c r="P578" s="185"/>
    </row>
    <row r="579" spans="1:16" ht="15.75" customHeight="1" x14ac:dyDescent="0.25">
      <c r="A579" s="179"/>
      <c r="B579" s="186"/>
      <c r="C579" s="187"/>
      <c r="D579" s="188"/>
      <c r="E579" s="187"/>
      <c r="F579" s="189"/>
      <c r="G579" s="189"/>
      <c r="H579" s="188"/>
      <c r="I579" s="187"/>
      <c r="J579" s="180"/>
      <c r="K579" s="182"/>
      <c r="L579" s="172"/>
      <c r="M579" s="180"/>
      <c r="N579" s="183"/>
      <c r="O579" s="184"/>
      <c r="P579" s="185"/>
    </row>
    <row r="580" spans="1:16" ht="15.75" customHeight="1" x14ac:dyDescent="0.25">
      <c r="A580" s="179"/>
      <c r="B580" s="186"/>
      <c r="C580" s="187"/>
      <c r="D580" s="188"/>
      <c r="E580" s="187"/>
      <c r="F580" s="189"/>
      <c r="G580" s="189"/>
      <c r="H580" s="188"/>
      <c r="I580" s="187"/>
      <c r="J580" s="180"/>
      <c r="K580" s="182"/>
      <c r="L580" s="172"/>
      <c r="M580" s="180"/>
      <c r="N580" s="183"/>
      <c r="O580" s="184"/>
      <c r="P580" s="185"/>
    </row>
    <row r="581" spans="1:16" ht="15.75" customHeight="1" x14ac:dyDescent="0.25">
      <c r="A581" s="179"/>
      <c r="B581" s="186"/>
      <c r="C581" s="187"/>
      <c r="D581" s="188"/>
      <c r="E581" s="187"/>
      <c r="F581" s="189"/>
      <c r="G581" s="189"/>
      <c r="H581" s="188"/>
      <c r="I581" s="187"/>
      <c r="J581" s="180"/>
      <c r="K581" s="182"/>
      <c r="L581" s="172"/>
      <c r="M581" s="180"/>
      <c r="N581" s="183"/>
      <c r="O581" s="184"/>
      <c r="P581" s="185"/>
    </row>
    <row r="582" spans="1:16" ht="15.75" customHeight="1" x14ac:dyDescent="0.25">
      <c r="A582" s="179"/>
      <c r="B582" s="186"/>
      <c r="C582" s="187"/>
      <c r="D582" s="188"/>
      <c r="E582" s="187"/>
      <c r="F582" s="189"/>
      <c r="G582" s="189"/>
      <c r="H582" s="188"/>
      <c r="I582" s="187"/>
      <c r="J582" s="180"/>
      <c r="K582" s="182"/>
      <c r="L582" s="172"/>
      <c r="M582" s="180"/>
      <c r="N582" s="183"/>
      <c r="O582" s="184"/>
      <c r="P582" s="185"/>
    </row>
    <row r="583" spans="1:16" ht="15.75" customHeight="1" x14ac:dyDescent="0.25">
      <c r="A583" s="179"/>
      <c r="B583" s="186"/>
      <c r="C583" s="187"/>
      <c r="D583" s="188"/>
      <c r="E583" s="187"/>
      <c r="F583" s="189"/>
      <c r="G583" s="189"/>
      <c r="H583" s="188"/>
      <c r="I583" s="187"/>
      <c r="J583" s="180"/>
      <c r="K583" s="182"/>
      <c r="L583" s="172"/>
      <c r="M583" s="180"/>
      <c r="N583" s="183"/>
      <c r="O583" s="184"/>
      <c r="P583" s="185"/>
    </row>
    <row r="584" spans="1:16" ht="15.75" customHeight="1" x14ac:dyDescent="0.25">
      <c r="A584" s="179"/>
      <c r="B584" s="186"/>
      <c r="C584" s="187"/>
      <c r="D584" s="188"/>
      <c r="E584" s="187"/>
      <c r="F584" s="189"/>
      <c r="G584" s="189"/>
      <c r="H584" s="188"/>
      <c r="I584" s="187"/>
      <c r="J584" s="180"/>
      <c r="K584" s="182"/>
      <c r="L584" s="172"/>
      <c r="M584" s="180"/>
      <c r="N584" s="183"/>
      <c r="O584" s="184"/>
      <c r="P584" s="185"/>
    </row>
    <row r="585" spans="1:16" ht="15.75" customHeight="1" x14ac:dyDescent="0.25">
      <c r="A585" s="179"/>
      <c r="B585" s="186"/>
      <c r="C585" s="187"/>
      <c r="D585" s="188"/>
      <c r="E585" s="187"/>
      <c r="F585" s="189"/>
      <c r="G585" s="189"/>
      <c r="H585" s="188"/>
      <c r="I585" s="187"/>
      <c r="J585" s="180"/>
      <c r="K585" s="182"/>
      <c r="L585" s="172"/>
      <c r="M585" s="180"/>
      <c r="N585" s="183"/>
      <c r="O585" s="184"/>
      <c r="P585" s="185"/>
    </row>
    <row r="586" spans="1:16" ht="15.75" customHeight="1" x14ac:dyDescent="0.25">
      <c r="A586" s="179"/>
      <c r="B586" s="186"/>
      <c r="C586" s="187"/>
      <c r="D586" s="188"/>
      <c r="E586" s="187"/>
      <c r="F586" s="189"/>
      <c r="G586" s="189"/>
      <c r="H586" s="188"/>
      <c r="I586" s="187"/>
      <c r="J586" s="180"/>
      <c r="K586" s="182"/>
      <c r="L586" s="172"/>
      <c r="M586" s="180"/>
      <c r="N586" s="183"/>
      <c r="O586" s="184"/>
      <c r="P586" s="185"/>
    </row>
    <row r="587" spans="1:16" ht="15.75" customHeight="1" x14ac:dyDescent="0.25">
      <c r="A587" s="179"/>
      <c r="B587" s="186"/>
      <c r="C587" s="187"/>
      <c r="D587" s="188"/>
      <c r="E587" s="187"/>
      <c r="F587" s="189"/>
      <c r="G587" s="189"/>
      <c r="H587" s="188"/>
      <c r="I587" s="187"/>
      <c r="J587" s="180"/>
      <c r="K587" s="182"/>
      <c r="L587" s="172"/>
      <c r="M587" s="180"/>
      <c r="N587" s="183"/>
      <c r="O587" s="184"/>
      <c r="P587" s="185"/>
    </row>
    <row r="588" spans="1:16" ht="15.75" customHeight="1" x14ac:dyDescent="0.25">
      <c r="A588" s="179"/>
      <c r="B588" s="186"/>
      <c r="C588" s="187"/>
      <c r="D588" s="188"/>
      <c r="E588" s="187"/>
      <c r="F588" s="189"/>
      <c r="G588" s="189"/>
      <c r="H588" s="188"/>
      <c r="I588" s="187"/>
      <c r="J588" s="180"/>
      <c r="K588" s="182"/>
      <c r="L588" s="172"/>
      <c r="M588" s="180"/>
      <c r="N588" s="183"/>
      <c r="O588" s="184"/>
      <c r="P588" s="185"/>
    </row>
    <row r="589" spans="1:16" ht="15.75" customHeight="1" x14ac:dyDescent="0.25">
      <c r="A589" s="179"/>
      <c r="B589" s="186"/>
      <c r="C589" s="187"/>
      <c r="D589" s="188"/>
      <c r="E589" s="187"/>
      <c r="F589" s="189"/>
      <c r="G589" s="189"/>
      <c r="H589" s="188"/>
      <c r="I589" s="187"/>
      <c r="J589" s="180"/>
      <c r="K589" s="182"/>
      <c r="L589" s="172"/>
      <c r="M589" s="180"/>
      <c r="N589" s="183"/>
      <c r="O589" s="184"/>
      <c r="P589" s="185"/>
    </row>
    <row r="590" spans="1:16" ht="15.75" customHeight="1" x14ac:dyDescent="0.25">
      <c r="A590" s="179"/>
      <c r="B590" s="186"/>
      <c r="C590" s="187"/>
      <c r="D590" s="188"/>
      <c r="E590" s="187"/>
      <c r="F590" s="189"/>
      <c r="G590" s="189"/>
      <c r="H590" s="188"/>
      <c r="I590" s="187"/>
      <c r="J590" s="180"/>
      <c r="K590" s="182"/>
      <c r="L590" s="172"/>
      <c r="M590" s="180"/>
      <c r="N590" s="183"/>
      <c r="O590" s="184"/>
      <c r="P590" s="185"/>
    </row>
    <row r="591" spans="1:16" ht="15.75" customHeight="1" x14ac:dyDescent="0.25">
      <c r="A591" s="179"/>
      <c r="B591" s="186"/>
      <c r="C591" s="187"/>
      <c r="D591" s="188"/>
      <c r="E591" s="187"/>
      <c r="F591" s="189"/>
      <c r="G591" s="189"/>
      <c r="H591" s="188"/>
      <c r="I591" s="187"/>
      <c r="J591" s="180"/>
      <c r="K591" s="182"/>
      <c r="L591" s="172"/>
      <c r="M591" s="180"/>
      <c r="N591" s="183"/>
      <c r="O591" s="184"/>
      <c r="P591" s="185"/>
    </row>
    <row r="592" spans="1:16" ht="15.75" customHeight="1" x14ac:dyDescent="0.25">
      <c r="A592" s="179"/>
      <c r="B592" s="186"/>
      <c r="C592" s="187"/>
      <c r="D592" s="188"/>
      <c r="E592" s="187"/>
      <c r="F592" s="189"/>
      <c r="G592" s="189"/>
      <c r="H592" s="188"/>
      <c r="I592" s="187"/>
      <c r="J592" s="180"/>
      <c r="K592" s="182"/>
      <c r="L592" s="172"/>
      <c r="M592" s="180"/>
      <c r="N592" s="183"/>
      <c r="O592" s="184"/>
      <c r="P592" s="185"/>
    </row>
    <row r="593" spans="1:16" ht="15.75" customHeight="1" x14ac:dyDescent="0.25">
      <c r="A593" s="179"/>
      <c r="B593" s="186"/>
      <c r="C593" s="187"/>
      <c r="D593" s="188"/>
      <c r="E593" s="187"/>
      <c r="F593" s="189"/>
      <c r="G593" s="189"/>
      <c r="H593" s="188"/>
      <c r="I593" s="187"/>
      <c r="J593" s="180"/>
      <c r="K593" s="182"/>
      <c r="L593" s="172"/>
      <c r="M593" s="180"/>
      <c r="N593" s="183"/>
      <c r="O593" s="184"/>
      <c r="P593" s="185"/>
    </row>
    <row r="594" spans="1:16" ht="15.75" customHeight="1" x14ac:dyDescent="0.25">
      <c r="A594" s="179"/>
      <c r="B594" s="186"/>
      <c r="C594" s="187"/>
      <c r="D594" s="188"/>
      <c r="E594" s="187"/>
      <c r="F594" s="189"/>
      <c r="G594" s="189"/>
      <c r="H594" s="188"/>
      <c r="I594" s="187"/>
      <c r="J594" s="180"/>
      <c r="K594" s="182"/>
      <c r="L594" s="172"/>
      <c r="M594" s="180"/>
      <c r="N594" s="183"/>
      <c r="O594" s="184"/>
      <c r="P594" s="185"/>
    </row>
    <row r="595" spans="1:16" ht="15.75" customHeight="1" x14ac:dyDescent="0.25">
      <c r="A595" s="179"/>
      <c r="B595" s="186"/>
      <c r="C595" s="187"/>
      <c r="D595" s="188"/>
      <c r="E595" s="187"/>
      <c r="F595" s="189"/>
      <c r="G595" s="189"/>
      <c r="H595" s="188"/>
      <c r="I595" s="187"/>
      <c r="J595" s="180"/>
      <c r="K595" s="182"/>
      <c r="L595" s="172"/>
      <c r="M595" s="180"/>
      <c r="N595" s="183"/>
      <c r="O595" s="184"/>
      <c r="P595" s="185"/>
    </row>
    <row r="596" spans="1:16" ht="15.75" customHeight="1" x14ac:dyDescent="0.25">
      <c r="A596" s="179"/>
      <c r="B596" s="186"/>
      <c r="C596" s="187"/>
      <c r="D596" s="188"/>
      <c r="E596" s="187"/>
      <c r="F596" s="189"/>
      <c r="G596" s="189"/>
      <c r="H596" s="188"/>
      <c r="I596" s="187"/>
      <c r="J596" s="180"/>
      <c r="K596" s="182"/>
      <c r="L596" s="172"/>
      <c r="M596" s="180"/>
      <c r="N596" s="183"/>
      <c r="O596" s="184"/>
      <c r="P596" s="185"/>
    </row>
    <row r="597" spans="1:16" ht="15.75" customHeight="1" x14ac:dyDescent="0.25">
      <c r="A597" s="179"/>
      <c r="B597" s="186"/>
      <c r="C597" s="187"/>
      <c r="D597" s="188"/>
      <c r="E597" s="187"/>
      <c r="F597" s="189"/>
      <c r="G597" s="189"/>
      <c r="H597" s="188"/>
      <c r="I597" s="187"/>
      <c r="J597" s="180"/>
      <c r="K597" s="182"/>
      <c r="L597" s="172"/>
      <c r="M597" s="180"/>
      <c r="N597" s="183"/>
      <c r="O597" s="184"/>
      <c r="P597" s="185"/>
    </row>
    <row r="598" spans="1:16" ht="15.75" customHeight="1" x14ac:dyDescent="0.25">
      <c r="A598" s="179"/>
      <c r="B598" s="186"/>
      <c r="C598" s="187"/>
      <c r="D598" s="188"/>
      <c r="E598" s="187"/>
      <c r="F598" s="189"/>
      <c r="G598" s="189"/>
      <c r="H598" s="188"/>
      <c r="I598" s="187"/>
      <c r="J598" s="180"/>
      <c r="K598" s="182"/>
      <c r="L598" s="172"/>
      <c r="M598" s="180"/>
      <c r="N598" s="183"/>
      <c r="O598" s="184"/>
      <c r="P598" s="185"/>
    </row>
    <row r="599" spans="1:16" ht="15.75" customHeight="1" x14ac:dyDescent="0.25">
      <c r="A599" s="179"/>
      <c r="B599" s="186"/>
      <c r="C599" s="187"/>
      <c r="D599" s="188"/>
      <c r="E599" s="187"/>
      <c r="F599" s="189"/>
      <c r="G599" s="189"/>
      <c r="H599" s="188"/>
      <c r="I599" s="187"/>
      <c r="J599" s="180"/>
      <c r="K599" s="182"/>
      <c r="L599" s="172"/>
      <c r="M599" s="180"/>
      <c r="N599" s="183"/>
      <c r="O599" s="184"/>
      <c r="P599" s="185"/>
    </row>
    <row r="600" spans="1:16" ht="15.75" customHeight="1" x14ac:dyDescent="0.25">
      <c r="A600" s="179"/>
      <c r="B600" s="186"/>
      <c r="C600" s="187"/>
      <c r="D600" s="188"/>
      <c r="E600" s="187"/>
      <c r="F600" s="189"/>
      <c r="G600" s="189"/>
      <c r="H600" s="188"/>
      <c r="I600" s="187"/>
      <c r="J600" s="180"/>
      <c r="K600" s="182"/>
      <c r="L600" s="172"/>
      <c r="M600" s="180"/>
      <c r="N600" s="183"/>
      <c r="O600" s="184"/>
      <c r="P600" s="185"/>
    </row>
    <row r="601" spans="1:16" ht="15.75" customHeight="1" x14ac:dyDescent="0.25">
      <c r="A601" s="179"/>
      <c r="B601" s="186"/>
      <c r="C601" s="187"/>
      <c r="D601" s="188"/>
      <c r="E601" s="187"/>
      <c r="F601" s="189"/>
      <c r="G601" s="189"/>
      <c r="H601" s="188"/>
      <c r="I601" s="187"/>
      <c r="J601" s="180"/>
      <c r="K601" s="182"/>
      <c r="L601" s="172"/>
      <c r="M601" s="180"/>
      <c r="N601" s="183"/>
      <c r="O601" s="184"/>
      <c r="P601" s="185"/>
    </row>
    <row r="602" spans="1:16" ht="15.75" customHeight="1" x14ac:dyDescent="0.25">
      <c r="A602" s="179"/>
      <c r="B602" s="186"/>
      <c r="C602" s="187"/>
      <c r="D602" s="188"/>
      <c r="E602" s="187"/>
      <c r="F602" s="189"/>
      <c r="G602" s="189"/>
      <c r="H602" s="188"/>
      <c r="I602" s="187"/>
      <c r="J602" s="180"/>
      <c r="K602" s="182"/>
      <c r="L602" s="172"/>
      <c r="M602" s="180"/>
      <c r="N602" s="183"/>
      <c r="O602" s="184"/>
      <c r="P602" s="185"/>
    </row>
    <row r="603" spans="1:16" ht="15.75" customHeight="1" x14ac:dyDescent="0.25">
      <c r="A603" s="179"/>
      <c r="B603" s="186"/>
      <c r="C603" s="187"/>
      <c r="D603" s="188"/>
      <c r="E603" s="187"/>
      <c r="F603" s="189"/>
      <c r="G603" s="189"/>
      <c r="H603" s="188"/>
      <c r="I603" s="187"/>
      <c r="J603" s="180"/>
      <c r="K603" s="182"/>
      <c r="L603" s="172"/>
      <c r="M603" s="180"/>
      <c r="N603" s="183"/>
      <c r="O603" s="184"/>
      <c r="P603" s="185"/>
    </row>
    <row r="604" spans="1:16" ht="15.75" customHeight="1" x14ac:dyDescent="0.25">
      <c r="A604" s="179"/>
      <c r="B604" s="186"/>
      <c r="C604" s="187"/>
      <c r="D604" s="188"/>
      <c r="E604" s="187"/>
      <c r="F604" s="189"/>
      <c r="G604" s="189"/>
      <c r="H604" s="188"/>
      <c r="I604" s="187"/>
      <c r="J604" s="180"/>
      <c r="K604" s="182"/>
      <c r="L604" s="172"/>
      <c r="M604" s="180"/>
      <c r="N604" s="183"/>
      <c r="O604" s="184"/>
      <c r="P604" s="185"/>
    </row>
    <row r="605" spans="1:16" ht="15.75" customHeight="1" x14ac:dyDescent="0.25">
      <c r="A605" s="179"/>
      <c r="B605" s="186"/>
      <c r="C605" s="187"/>
      <c r="D605" s="188"/>
      <c r="E605" s="187"/>
      <c r="F605" s="189"/>
      <c r="G605" s="189"/>
      <c r="H605" s="188"/>
      <c r="I605" s="187"/>
      <c r="J605" s="180"/>
      <c r="K605" s="182"/>
      <c r="L605" s="172"/>
      <c r="M605" s="180"/>
      <c r="N605" s="183"/>
      <c r="O605" s="184"/>
      <c r="P605" s="185"/>
    </row>
    <row r="606" spans="1:16" ht="15.75" customHeight="1" x14ac:dyDescent="0.25">
      <c r="A606" s="179"/>
      <c r="B606" s="186"/>
      <c r="C606" s="187"/>
      <c r="D606" s="188"/>
      <c r="E606" s="187"/>
      <c r="F606" s="189"/>
      <c r="G606" s="189"/>
      <c r="H606" s="188"/>
      <c r="I606" s="187"/>
      <c r="J606" s="180"/>
      <c r="K606" s="182"/>
      <c r="L606" s="172"/>
      <c r="M606" s="180"/>
      <c r="N606" s="183"/>
      <c r="O606" s="184"/>
      <c r="P606" s="185"/>
    </row>
    <row r="607" spans="1:16" ht="15.75" customHeight="1" x14ac:dyDescent="0.25">
      <c r="A607" s="179"/>
      <c r="B607" s="186"/>
      <c r="C607" s="187"/>
      <c r="D607" s="188"/>
      <c r="E607" s="187"/>
      <c r="F607" s="189"/>
      <c r="G607" s="189"/>
      <c r="H607" s="188"/>
      <c r="I607" s="187"/>
      <c r="J607" s="180"/>
      <c r="K607" s="182"/>
      <c r="L607" s="172"/>
      <c r="M607" s="180"/>
      <c r="N607" s="183"/>
      <c r="O607" s="184"/>
      <c r="P607" s="185"/>
    </row>
    <row r="608" spans="1:16" ht="15.75" customHeight="1" x14ac:dyDescent="0.25">
      <c r="A608" s="179"/>
      <c r="B608" s="186"/>
      <c r="C608" s="187"/>
      <c r="D608" s="188"/>
      <c r="E608" s="187"/>
      <c r="F608" s="189"/>
      <c r="G608" s="189"/>
      <c r="H608" s="188"/>
      <c r="I608" s="187"/>
      <c r="J608" s="180"/>
      <c r="K608" s="182"/>
      <c r="L608" s="172"/>
      <c r="M608" s="180"/>
      <c r="N608" s="183"/>
      <c r="O608" s="184"/>
      <c r="P608" s="185"/>
    </row>
    <row r="609" spans="1:16" ht="15.75" customHeight="1" x14ac:dyDescent="0.25">
      <c r="A609" s="179"/>
      <c r="B609" s="186"/>
      <c r="C609" s="187"/>
      <c r="D609" s="188"/>
      <c r="E609" s="187"/>
      <c r="F609" s="189"/>
      <c r="G609" s="189"/>
      <c r="H609" s="188"/>
      <c r="I609" s="187"/>
      <c r="J609" s="180"/>
      <c r="K609" s="182"/>
      <c r="L609" s="172"/>
      <c r="M609" s="180"/>
      <c r="N609" s="183"/>
      <c r="O609" s="184"/>
      <c r="P609" s="185"/>
    </row>
    <row r="610" spans="1:16" ht="15.75" customHeight="1" x14ac:dyDescent="0.25">
      <c r="A610" s="179"/>
      <c r="B610" s="186"/>
      <c r="C610" s="187"/>
      <c r="D610" s="188"/>
      <c r="E610" s="187"/>
      <c r="F610" s="189"/>
      <c r="G610" s="189"/>
      <c r="H610" s="188"/>
      <c r="I610" s="187"/>
      <c r="J610" s="180"/>
      <c r="K610" s="182"/>
      <c r="L610" s="172"/>
      <c r="M610" s="180"/>
      <c r="N610" s="183"/>
      <c r="O610" s="184"/>
      <c r="P610" s="185"/>
    </row>
    <row r="611" spans="1:16" ht="15.75" customHeight="1" x14ac:dyDescent="0.25">
      <c r="A611" s="179"/>
      <c r="B611" s="186"/>
      <c r="C611" s="187"/>
      <c r="D611" s="188"/>
      <c r="E611" s="187"/>
      <c r="F611" s="189"/>
      <c r="G611" s="189"/>
      <c r="H611" s="188"/>
      <c r="I611" s="187"/>
      <c r="J611" s="180"/>
      <c r="K611" s="182"/>
      <c r="L611" s="172"/>
      <c r="M611" s="180"/>
      <c r="N611" s="183"/>
      <c r="O611" s="184"/>
      <c r="P611" s="185"/>
    </row>
    <row r="612" spans="1:16" ht="15.75" customHeight="1" x14ac:dyDescent="0.25">
      <c r="A612" s="179"/>
      <c r="B612" s="186"/>
      <c r="C612" s="187"/>
      <c r="D612" s="188"/>
      <c r="E612" s="187"/>
      <c r="F612" s="189"/>
      <c r="G612" s="189"/>
      <c r="H612" s="188"/>
      <c r="I612" s="187"/>
      <c r="J612" s="180"/>
      <c r="K612" s="182"/>
      <c r="L612" s="172"/>
      <c r="M612" s="180"/>
      <c r="N612" s="183"/>
      <c r="O612" s="184"/>
      <c r="P612" s="185"/>
    </row>
    <row r="613" spans="1:16" ht="15.75" customHeight="1" x14ac:dyDescent="0.25">
      <c r="A613" s="179"/>
      <c r="B613" s="186"/>
      <c r="C613" s="187"/>
      <c r="D613" s="188"/>
      <c r="E613" s="187"/>
      <c r="F613" s="189"/>
      <c r="G613" s="189"/>
      <c r="H613" s="188"/>
      <c r="I613" s="187"/>
      <c r="J613" s="180"/>
      <c r="K613" s="182"/>
      <c r="L613" s="172"/>
      <c r="M613" s="180"/>
      <c r="N613" s="183"/>
      <c r="O613" s="184"/>
      <c r="P613" s="185"/>
    </row>
    <row r="614" spans="1:16" ht="15.75" customHeight="1" x14ac:dyDescent="0.25">
      <c r="A614" s="179"/>
      <c r="B614" s="186"/>
      <c r="C614" s="187"/>
      <c r="D614" s="188"/>
      <c r="E614" s="187"/>
      <c r="F614" s="189"/>
      <c r="G614" s="189"/>
      <c r="H614" s="188"/>
      <c r="I614" s="187"/>
      <c r="J614" s="180"/>
      <c r="K614" s="182"/>
      <c r="L614" s="172"/>
      <c r="M614" s="180"/>
      <c r="N614" s="183"/>
      <c r="O614" s="184"/>
      <c r="P614" s="185"/>
    </row>
    <row r="615" spans="1:16" ht="15.75" customHeight="1" x14ac:dyDescent="0.25">
      <c r="A615" s="179"/>
      <c r="B615" s="186"/>
      <c r="C615" s="187"/>
      <c r="D615" s="188"/>
      <c r="E615" s="187"/>
      <c r="F615" s="189"/>
      <c r="G615" s="189"/>
      <c r="H615" s="188"/>
      <c r="I615" s="187"/>
      <c r="J615" s="180"/>
      <c r="K615" s="182"/>
      <c r="L615" s="172"/>
      <c r="M615" s="180"/>
      <c r="N615" s="183"/>
      <c r="O615" s="184"/>
      <c r="P615" s="185"/>
    </row>
    <row r="616" spans="1:16" ht="15.75" customHeight="1" x14ac:dyDescent="0.25">
      <c r="A616" s="179"/>
      <c r="B616" s="186"/>
      <c r="C616" s="187"/>
      <c r="D616" s="188"/>
      <c r="E616" s="187"/>
      <c r="F616" s="189"/>
      <c r="G616" s="189"/>
      <c r="H616" s="188"/>
      <c r="I616" s="187"/>
      <c r="J616" s="180"/>
      <c r="K616" s="182"/>
      <c r="L616" s="172"/>
      <c r="M616" s="180"/>
      <c r="N616" s="183"/>
      <c r="O616" s="184"/>
      <c r="P616" s="185"/>
    </row>
    <row r="617" spans="1:16" ht="15.75" customHeight="1" x14ac:dyDescent="0.25">
      <c r="A617" s="179"/>
      <c r="B617" s="186"/>
      <c r="C617" s="187"/>
      <c r="D617" s="188"/>
      <c r="E617" s="187"/>
      <c r="F617" s="189"/>
      <c r="G617" s="189"/>
      <c r="H617" s="188"/>
      <c r="I617" s="187"/>
      <c r="J617" s="180"/>
      <c r="K617" s="182"/>
      <c r="L617" s="172"/>
      <c r="M617" s="180"/>
      <c r="N617" s="183"/>
      <c r="O617" s="184"/>
      <c r="P617" s="185"/>
    </row>
    <row r="618" spans="1:16" ht="15.75" customHeight="1" x14ac:dyDescent="0.25">
      <c r="A618" s="179"/>
      <c r="B618" s="186"/>
      <c r="C618" s="187"/>
      <c r="D618" s="188"/>
      <c r="E618" s="187"/>
      <c r="F618" s="189"/>
      <c r="G618" s="189"/>
      <c r="H618" s="188"/>
      <c r="I618" s="187"/>
      <c r="J618" s="180"/>
      <c r="K618" s="182"/>
      <c r="L618" s="172"/>
      <c r="M618" s="180"/>
      <c r="N618" s="183"/>
      <c r="O618" s="184"/>
      <c r="P618" s="185"/>
    </row>
    <row r="619" spans="1:16" ht="15.75" customHeight="1" x14ac:dyDescent="0.25">
      <c r="A619" s="179"/>
      <c r="B619" s="186"/>
      <c r="C619" s="187"/>
      <c r="D619" s="188"/>
      <c r="E619" s="187"/>
      <c r="F619" s="189"/>
      <c r="G619" s="189"/>
      <c r="H619" s="188"/>
      <c r="I619" s="187"/>
      <c r="J619" s="180"/>
      <c r="K619" s="182"/>
      <c r="L619" s="172"/>
      <c r="M619" s="180"/>
      <c r="N619" s="183"/>
      <c r="O619" s="184"/>
      <c r="P619" s="185"/>
    </row>
    <row r="620" spans="1:16" ht="15.75" customHeight="1" x14ac:dyDescent="0.25">
      <c r="A620" s="179"/>
      <c r="B620" s="186"/>
      <c r="C620" s="187"/>
      <c r="D620" s="188"/>
      <c r="E620" s="187"/>
      <c r="F620" s="189"/>
      <c r="G620" s="189"/>
      <c r="H620" s="188"/>
      <c r="I620" s="187"/>
      <c r="J620" s="180"/>
      <c r="K620" s="182"/>
      <c r="L620" s="172"/>
      <c r="M620" s="180"/>
      <c r="N620" s="183"/>
      <c r="O620" s="184"/>
      <c r="P620" s="185"/>
    </row>
    <row r="621" spans="1:16" ht="15.75" customHeight="1" x14ac:dyDescent="0.25">
      <c r="A621" s="179"/>
      <c r="B621" s="186"/>
      <c r="C621" s="187"/>
      <c r="D621" s="188"/>
      <c r="E621" s="187"/>
      <c r="F621" s="189"/>
      <c r="G621" s="189"/>
      <c r="H621" s="188"/>
      <c r="I621" s="187"/>
      <c r="J621" s="180"/>
      <c r="K621" s="182"/>
      <c r="L621" s="172"/>
      <c r="M621" s="180"/>
      <c r="N621" s="183"/>
      <c r="O621" s="184"/>
      <c r="P621" s="185"/>
    </row>
    <row r="622" spans="1:16" ht="15.75" customHeight="1" x14ac:dyDescent="0.25">
      <c r="A622" s="179"/>
      <c r="B622" s="186"/>
      <c r="C622" s="187"/>
      <c r="D622" s="188"/>
      <c r="E622" s="187"/>
      <c r="F622" s="189"/>
      <c r="G622" s="189"/>
      <c r="H622" s="188"/>
      <c r="I622" s="187"/>
      <c r="J622" s="180"/>
      <c r="K622" s="182"/>
      <c r="L622" s="172"/>
      <c r="M622" s="180"/>
      <c r="N622" s="183"/>
      <c r="O622" s="184"/>
      <c r="P622" s="185"/>
    </row>
    <row r="623" spans="1:16" ht="15.75" customHeight="1" x14ac:dyDescent="0.25">
      <c r="A623" s="179"/>
      <c r="B623" s="186"/>
      <c r="C623" s="187"/>
      <c r="D623" s="188"/>
      <c r="E623" s="187"/>
      <c r="F623" s="189"/>
      <c r="G623" s="189"/>
      <c r="H623" s="188"/>
      <c r="I623" s="187"/>
      <c r="J623" s="180"/>
      <c r="K623" s="182"/>
      <c r="L623" s="172"/>
      <c r="M623" s="180"/>
      <c r="N623" s="183"/>
      <c r="O623" s="184"/>
      <c r="P623" s="185"/>
    </row>
    <row r="624" spans="1:16" ht="15.75" customHeight="1" x14ac:dyDescent="0.25">
      <c r="A624" s="179"/>
      <c r="B624" s="186"/>
      <c r="C624" s="187"/>
      <c r="D624" s="188"/>
      <c r="E624" s="187"/>
      <c r="F624" s="189"/>
      <c r="G624" s="189"/>
      <c r="H624" s="188"/>
      <c r="I624" s="187"/>
      <c r="J624" s="180"/>
      <c r="K624" s="182"/>
      <c r="L624" s="172"/>
      <c r="M624" s="180"/>
      <c r="N624" s="183"/>
      <c r="O624" s="184"/>
      <c r="P624" s="185"/>
    </row>
    <row r="625" spans="1:16" ht="15.75" customHeight="1" x14ac:dyDescent="0.25">
      <c r="A625" s="179"/>
      <c r="B625" s="186"/>
      <c r="C625" s="187"/>
      <c r="D625" s="188"/>
      <c r="E625" s="187"/>
      <c r="F625" s="189"/>
      <c r="G625" s="189"/>
      <c r="H625" s="188"/>
      <c r="I625" s="187"/>
      <c r="J625" s="180"/>
      <c r="K625" s="182"/>
      <c r="L625" s="172"/>
      <c r="M625" s="180"/>
      <c r="N625" s="183"/>
      <c r="O625" s="184"/>
      <c r="P625" s="185"/>
    </row>
    <row r="626" spans="1:16" ht="15.75" customHeight="1" x14ac:dyDescent="0.25">
      <c r="A626" s="179"/>
      <c r="B626" s="186"/>
      <c r="C626" s="187"/>
      <c r="D626" s="188"/>
      <c r="E626" s="187"/>
      <c r="F626" s="189"/>
      <c r="G626" s="189"/>
      <c r="H626" s="188"/>
      <c r="I626" s="187"/>
      <c r="J626" s="180"/>
      <c r="K626" s="182"/>
      <c r="L626" s="172"/>
      <c r="M626" s="180"/>
      <c r="N626" s="183"/>
      <c r="O626" s="184"/>
      <c r="P626" s="185"/>
    </row>
    <row r="627" spans="1:16" ht="15.75" customHeight="1" x14ac:dyDescent="0.25">
      <c r="A627" s="179"/>
      <c r="B627" s="186"/>
      <c r="C627" s="187"/>
      <c r="D627" s="188"/>
      <c r="E627" s="187"/>
      <c r="F627" s="189"/>
      <c r="G627" s="189"/>
      <c r="H627" s="188"/>
      <c r="I627" s="187"/>
      <c r="J627" s="180"/>
      <c r="K627" s="182"/>
      <c r="L627" s="172"/>
      <c r="M627" s="180"/>
      <c r="N627" s="183"/>
      <c r="O627" s="184"/>
      <c r="P627" s="185"/>
    </row>
    <row r="628" spans="1:16" ht="15.75" customHeight="1" x14ac:dyDescent="0.25">
      <c r="A628" s="179"/>
      <c r="B628" s="186"/>
      <c r="C628" s="187"/>
      <c r="D628" s="188"/>
      <c r="E628" s="187"/>
      <c r="F628" s="189"/>
      <c r="G628" s="189"/>
      <c r="H628" s="188"/>
      <c r="I628" s="187"/>
      <c r="J628" s="180"/>
      <c r="K628" s="182"/>
      <c r="L628" s="172"/>
      <c r="M628" s="180"/>
      <c r="N628" s="183"/>
      <c r="O628" s="184"/>
      <c r="P628" s="185"/>
    </row>
    <row r="629" spans="1:16" ht="15.75" customHeight="1" x14ac:dyDescent="0.25">
      <c r="A629" s="179"/>
      <c r="B629" s="186"/>
      <c r="C629" s="187"/>
      <c r="D629" s="188"/>
      <c r="E629" s="187"/>
      <c r="F629" s="189"/>
      <c r="G629" s="189"/>
      <c r="H629" s="188"/>
      <c r="I629" s="187"/>
      <c r="J629" s="180"/>
      <c r="K629" s="182"/>
      <c r="L629" s="172"/>
      <c r="M629" s="180"/>
      <c r="N629" s="183"/>
      <c r="O629" s="184"/>
      <c r="P629" s="185"/>
    </row>
    <row r="630" spans="1:16" ht="15.75" customHeight="1" x14ac:dyDescent="0.25">
      <c r="A630" s="179"/>
      <c r="B630" s="186"/>
      <c r="C630" s="187"/>
      <c r="D630" s="188"/>
      <c r="E630" s="187"/>
      <c r="F630" s="189"/>
      <c r="G630" s="189"/>
      <c r="H630" s="188"/>
      <c r="I630" s="187"/>
      <c r="J630" s="180"/>
      <c r="K630" s="182"/>
      <c r="L630" s="172"/>
      <c r="M630" s="180"/>
      <c r="N630" s="183"/>
      <c r="O630" s="184"/>
      <c r="P630" s="185"/>
    </row>
    <row r="631" spans="1:16" ht="15.75" customHeight="1" x14ac:dyDescent="0.25">
      <c r="A631" s="179"/>
      <c r="B631" s="186"/>
      <c r="C631" s="187"/>
      <c r="D631" s="188"/>
      <c r="E631" s="187"/>
      <c r="F631" s="189"/>
      <c r="G631" s="189"/>
      <c r="H631" s="188"/>
      <c r="I631" s="187"/>
      <c r="J631" s="180"/>
      <c r="K631" s="182"/>
      <c r="L631" s="172"/>
      <c r="M631" s="180"/>
      <c r="N631" s="183"/>
      <c r="O631" s="184"/>
      <c r="P631" s="185"/>
    </row>
    <row r="632" spans="1:16" ht="15.75" customHeight="1" x14ac:dyDescent="0.25">
      <c r="A632" s="179"/>
      <c r="B632" s="186"/>
      <c r="C632" s="187"/>
      <c r="D632" s="188"/>
      <c r="E632" s="187"/>
      <c r="F632" s="189"/>
      <c r="G632" s="189"/>
      <c r="H632" s="188"/>
      <c r="I632" s="187"/>
      <c r="J632" s="180"/>
      <c r="K632" s="182"/>
      <c r="L632" s="172"/>
      <c r="M632" s="180"/>
      <c r="N632" s="183"/>
      <c r="O632" s="184"/>
      <c r="P632" s="185"/>
    </row>
    <row r="633" spans="1:16" ht="15.75" customHeight="1" x14ac:dyDescent="0.25">
      <c r="A633" s="179"/>
      <c r="B633" s="186"/>
      <c r="C633" s="187"/>
      <c r="D633" s="188"/>
      <c r="E633" s="187"/>
      <c r="F633" s="189"/>
      <c r="G633" s="189"/>
      <c r="H633" s="188"/>
      <c r="I633" s="187"/>
      <c r="J633" s="180"/>
      <c r="K633" s="182"/>
      <c r="L633" s="172"/>
      <c r="M633" s="180"/>
      <c r="N633" s="183"/>
      <c r="O633" s="184"/>
      <c r="P633" s="185"/>
    </row>
    <row r="634" spans="1:16" ht="15.75" customHeight="1" x14ac:dyDescent="0.25">
      <c r="A634" s="179"/>
      <c r="B634" s="186"/>
      <c r="C634" s="187"/>
      <c r="D634" s="188"/>
      <c r="E634" s="187"/>
      <c r="F634" s="189"/>
      <c r="G634" s="189"/>
      <c r="H634" s="188"/>
      <c r="I634" s="187"/>
      <c r="J634" s="180"/>
      <c r="K634" s="182"/>
      <c r="L634" s="172"/>
      <c r="M634" s="180"/>
      <c r="N634" s="183"/>
      <c r="O634" s="184"/>
      <c r="P634" s="185"/>
    </row>
    <row r="635" spans="1:16" ht="15.75" customHeight="1" x14ac:dyDescent="0.25">
      <c r="A635" s="179"/>
      <c r="B635" s="186"/>
      <c r="C635" s="187"/>
      <c r="D635" s="188"/>
      <c r="E635" s="187"/>
      <c r="F635" s="189"/>
      <c r="G635" s="189"/>
      <c r="H635" s="188"/>
      <c r="I635" s="187"/>
      <c r="J635" s="180"/>
      <c r="K635" s="182"/>
      <c r="L635" s="172"/>
      <c r="M635" s="180"/>
      <c r="N635" s="183"/>
      <c r="O635" s="184"/>
      <c r="P635" s="185"/>
    </row>
    <row r="636" spans="1:16" ht="15.75" customHeight="1" x14ac:dyDescent="0.25">
      <c r="A636" s="179"/>
      <c r="B636" s="186"/>
      <c r="C636" s="187"/>
      <c r="D636" s="188"/>
      <c r="E636" s="187"/>
      <c r="F636" s="189"/>
      <c r="G636" s="189"/>
      <c r="H636" s="188"/>
      <c r="I636" s="187"/>
      <c r="J636" s="180"/>
      <c r="K636" s="182"/>
      <c r="L636" s="172"/>
      <c r="M636" s="180"/>
      <c r="N636" s="183"/>
      <c r="O636" s="184"/>
      <c r="P636" s="185"/>
    </row>
    <row r="637" spans="1:16" ht="15.75" customHeight="1" x14ac:dyDescent="0.25">
      <c r="A637" s="179"/>
      <c r="B637" s="186"/>
      <c r="C637" s="187"/>
      <c r="D637" s="188"/>
      <c r="E637" s="187"/>
      <c r="F637" s="189"/>
      <c r="G637" s="189"/>
      <c r="H637" s="188"/>
      <c r="I637" s="187"/>
      <c r="J637" s="180"/>
      <c r="K637" s="182"/>
      <c r="L637" s="172"/>
      <c r="M637" s="180"/>
      <c r="N637" s="183"/>
      <c r="O637" s="184"/>
      <c r="P637" s="185"/>
    </row>
    <row r="638" spans="1:16" ht="15.75" customHeight="1" x14ac:dyDescent="0.25">
      <c r="A638" s="179"/>
      <c r="B638" s="186"/>
      <c r="C638" s="187"/>
      <c r="D638" s="188"/>
      <c r="E638" s="187"/>
      <c r="F638" s="189"/>
      <c r="G638" s="189"/>
      <c r="H638" s="188"/>
      <c r="I638" s="187"/>
      <c r="J638" s="180"/>
      <c r="K638" s="182"/>
      <c r="L638" s="172"/>
      <c r="M638" s="180"/>
      <c r="N638" s="183"/>
      <c r="O638" s="184"/>
      <c r="P638" s="185"/>
    </row>
    <row r="639" spans="1:16" ht="15.75" customHeight="1" x14ac:dyDescent="0.25">
      <c r="A639" s="179"/>
      <c r="B639" s="186"/>
      <c r="C639" s="187"/>
      <c r="D639" s="188"/>
      <c r="E639" s="187"/>
      <c r="F639" s="189"/>
      <c r="G639" s="189"/>
      <c r="H639" s="188"/>
      <c r="I639" s="187"/>
      <c r="J639" s="180"/>
      <c r="K639" s="182"/>
      <c r="L639" s="172"/>
      <c r="M639" s="180"/>
      <c r="N639" s="183"/>
      <c r="O639" s="184"/>
      <c r="P639" s="185"/>
    </row>
    <row r="640" spans="1:16" ht="15.75" customHeight="1" x14ac:dyDescent="0.25">
      <c r="A640" s="179"/>
      <c r="B640" s="186"/>
      <c r="C640" s="187"/>
      <c r="D640" s="188"/>
      <c r="E640" s="187"/>
      <c r="F640" s="189"/>
      <c r="G640" s="189"/>
      <c r="H640" s="188"/>
      <c r="I640" s="187"/>
      <c r="J640" s="180"/>
      <c r="K640" s="182"/>
      <c r="L640" s="172"/>
      <c r="M640" s="180"/>
      <c r="N640" s="183"/>
      <c r="O640" s="184"/>
      <c r="P640" s="185"/>
    </row>
    <row r="641" spans="1:16" ht="15.75" customHeight="1" x14ac:dyDescent="0.25">
      <c r="A641" s="179"/>
      <c r="B641" s="186"/>
      <c r="C641" s="187"/>
      <c r="D641" s="188"/>
      <c r="E641" s="187"/>
      <c r="F641" s="189"/>
      <c r="G641" s="189"/>
      <c r="H641" s="188"/>
      <c r="I641" s="187"/>
      <c r="J641" s="180"/>
      <c r="K641" s="182"/>
      <c r="L641" s="172"/>
      <c r="M641" s="180"/>
      <c r="N641" s="183"/>
      <c r="O641" s="184"/>
      <c r="P641" s="185"/>
    </row>
    <row r="642" spans="1:16" ht="15.75" customHeight="1" x14ac:dyDescent="0.25">
      <c r="A642" s="179"/>
      <c r="B642" s="186"/>
      <c r="C642" s="187"/>
      <c r="D642" s="188"/>
      <c r="E642" s="187"/>
      <c r="F642" s="189"/>
      <c r="G642" s="189"/>
      <c r="H642" s="188"/>
      <c r="I642" s="187"/>
      <c r="J642" s="180"/>
      <c r="K642" s="182"/>
      <c r="L642" s="172"/>
      <c r="M642" s="180"/>
      <c r="N642" s="183"/>
      <c r="O642" s="184"/>
      <c r="P642" s="185"/>
    </row>
    <row r="643" spans="1:16" ht="15.75" customHeight="1" x14ac:dyDescent="0.25">
      <c r="A643" s="179"/>
      <c r="B643" s="186"/>
      <c r="C643" s="187"/>
      <c r="D643" s="188"/>
      <c r="E643" s="187"/>
      <c r="F643" s="189"/>
      <c r="G643" s="189"/>
      <c r="H643" s="188"/>
      <c r="I643" s="187"/>
      <c r="J643" s="180"/>
      <c r="K643" s="182"/>
      <c r="L643" s="172"/>
      <c r="M643" s="180"/>
      <c r="N643" s="183"/>
      <c r="O643" s="184"/>
      <c r="P643" s="185"/>
    </row>
    <row r="644" spans="1:16" ht="15.75" customHeight="1" x14ac:dyDescent="0.25">
      <c r="A644" s="179"/>
      <c r="B644" s="186"/>
      <c r="C644" s="187"/>
      <c r="D644" s="188"/>
      <c r="E644" s="187"/>
      <c r="F644" s="189"/>
      <c r="G644" s="189"/>
      <c r="H644" s="188"/>
      <c r="I644" s="187"/>
      <c r="J644" s="180"/>
      <c r="K644" s="182"/>
      <c r="L644" s="172"/>
      <c r="M644" s="180"/>
      <c r="N644" s="183"/>
      <c r="O644" s="184"/>
      <c r="P644" s="185"/>
    </row>
    <row r="645" spans="1:16" ht="15.75" customHeight="1" x14ac:dyDescent="0.25">
      <c r="A645" s="179"/>
      <c r="B645" s="186"/>
      <c r="C645" s="187"/>
      <c r="D645" s="188"/>
      <c r="E645" s="187"/>
      <c r="F645" s="189"/>
      <c r="G645" s="189"/>
      <c r="H645" s="188"/>
      <c r="I645" s="187"/>
      <c r="J645" s="180"/>
      <c r="K645" s="182"/>
      <c r="L645" s="172"/>
      <c r="M645" s="180"/>
      <c r="N645" s="183"/>
      <c r="O645" s="184"/>
      <c r="P645" s="185"/>
    </row>
    <row r="646" spans="1:16" ht="15.75" customHeight="1" x14ac:dyDescent="0.25">
      <c r="A646" s="179"/>
      <c r="B646" s="186"/>
      <c r="C646" s="187"/>
      <c r="D646" s="188"/>
      <c r="E646" s="187"/>
      <c r="F646" s="189"/>
      <c r="G646" s="189"/>
      <c r="H646" s="188"/>
      <c r="I646" s="187"/>
      <c r="J646" s="180"/>
      <c r="K646" s="182"/>
      <c r="L646" s="172"/>
      <c r="M646" s="180"/>
      <c r="N646" s="183"/>
      <c r="O646" s="184"/>
      <c r="P646" s="185"/>
    </row>
    <row r="647" spans="1:16" ht="15.75" customHeight="1" x14ac:dyDescent="0.25">
      <c r="A647" s="179"/>
      <c r="B647" s="186"/>
      <c r="C647" s="187"/>
      <c r="D647" s="188"/>
      <c r="E647" s="187"/>
      <c r="F647" s="189"/>
      <c r="G647" s="189"/>
      <c r="H647" s="188"/>
      <c r="I647" s="187"/>
      <c r="J647" s="180"/>
      <c r="K647" s="182"/>
      <c r="L647" s="172"/>
      <c r="M647" s="180"/>
      <c r="N647" s="183"/>
      <c r="O647" s="184"/>
      <c r="P647" s="185"/>
    </row>
    <row r="648" spans="1:16" ht="15.75" customHeight="1" x14ac:dyDescent="0.25">
      <c r="A648" s="179"/>
      <c r="B648" s="186"/>
      <c r="C648" s="187"/>
      <c r="D648" s="188"/>
      <c r="E648" s="187"/>
      <c r="F648" s="189"/>
      <c r="G648" s="189"/>
      <c r="H648" s="188"/>
      <c r="I648" s="187"/>
      <c r="J648" s="180"/>
      <c r="K648" s="182"/>
      <c r="L648" s="172"/>
      <c r="M648" s="180"/>
      <c r="N648" s="183"/>
      <c r="O648" s="184"/>
      <c r="P648" s="185"/>
    </row>
    <row r="649" spans="1:16" ht="15.75" customHeight="1" x14ac:dyDescent="0.25">
      <c r="A649" s="179"/>
      <c r="B649" s="186"/>
      <c r="C649" s="187"/>
      <c r="D649" s="188"/>
      <c r="E649" s="187"/>
      <c r="F649" s="189"/>
      <c r="G649" s="189"/>
      <c r="H649" s="188"/>
      <c r="I649" s="187"/>
      <c r="J649" s="180"/>
      <c r="K649" s="182"/>
      <c r="L649" s="172"/>
      <c r="M649" s="180"/>
      <c r="N649" s="183"/>
      <c r="O649" s="184"/>
      <c r="P649" s="185"/>
    </row>
    <row r="650" spans="1:16" ht="15.75" customHeight="1" x14ac:dyDescent="0.25">
      <c r="A650" s="179"/>
      <c r="B650" s="186"/>
      <c r="C650" s="187"/>
      <c r="D650" s="188"/>
      <c r="E650" s="187"/>
      <c r="F650" s="189"/>
      <c r="G650" s="189"/>
      <c r="H650" s="188"/>
      <c r="I650" s="187"/>
      <c r="J650" s="180"/>
      <c r="K650" s="182"/>
      <c r="L650" s="172"/>
      <c r="M650" s="180"/>
      <c r="N650" s="183"/>
      <c r="O650" s="184"/>
      <c r="P650" s="185"/>
    </row>
    <row r="651" spans="1:16" ht="15.75" customHeight="1" x14ac:dyDescent="0.25">
      <c r="A651" s="179"/>
      <c r="B651" s="186"/>
      <c r="C651" s="187"/>
      <c r="D651" s="188"/>
      <c r="E651" s="187"/>
      <c r="F651" s="189"/>
      <c r="G651" s="189"/>
      <c r="H651" s="188"/>
      <c r="I651" s="187"/>
      <c r="J651" s="180"/>
      <c r="K651" s="182"/>
      <c r="L651" s="172"/>
      <c r="M651" s="180"/>
      <c r="N651" s="183"/>
      <c r="O651" s="184"/>
      <c r="P651" s="185"/>
    </row>
    <row r="652" spans="1:16" ht="15.75" customHeight="1" x14ac:dyDescent="0.25">
      <c r="A652" s="179"/>
      <c r="B652" s="186"/>
      <c r="C652" s="187"/>
      <c r="D652" s="188"/>
      <c r="E652" s="187"/>
      <c r="F652" s="189"/>
      <c r="G652" s="189"/>
      <c r="H652" s="188"/>
      <c r="I652" s="187"/>
      <c r="J652" s="180"/>
      <c r="K652" s="182"/>
      <c r="L652" s="172"/>
      <c r="M652" s="180"/>
      <c r="N652" s="183"/>
      <c r="O652" s="184"/>
      <c r="P652" s="185"/>
    </row>
    <row r="653" spans="1:16" ht="15.75" customHeight="1" x14ac:dyDescent="0.25">
      <c r="A653" s="179"/>
      <c r="B653" s="186"/>
      <c r="C653" s="187"/>
      <c r="D653" s="188"/>
      <c r="E653" s="187"/>
      <c r="F653" s="189"/>
      <c r="G653" s="189"/>
      <c r="H653" s="188"/>
      <c r="I653" s="187"/>
      <c r="J653" s="180"/>
      <c r="K653" s="182"/>
      <c r="L653" s="172"/>
      <c r="M653" s="180"/>
      <c r="N653" s="183"/>
      <c r="O653" s="184"/>
      <c r="P653" s="185"/>
    </row>
    <row r="654" spans="1:16" ht="15.75" customHeight="1" x14ac:dyDescent="0.25">
      <c r="A654" s="179"/>
      <c r="B654" s="186"/>
      <c r="C654" s="187"/>
      <c r="D654" s="188"/>
      <c r="E654" s="187"/>
      <c r="F654" s="189"/>
      <c r="G654" s="189"/>
      <c r="H654" s="188"/>
      <c r="I654" s="187"/>
      <c r="J654" s="180"/>
      <c r="K654" s="182"/>
      <c r="L654" s="172"/>
      <c r="M654" s="180"/>
      <c r="N654" s="183"/>
      <c r="O654" s="184"/>
      <c r="P654" s="185"/>
    </row>
    <row r="655" spans="1:16" ht="15.75" customHeight="1" x14ac:dyDescent="0.25">
      <c r="A655" s="179"/>
      <c r="B655" s="186"/>
      <c r="C655" s="187"/>
      <c r="D655" s="188"/>
      <c r="E655" s="187"/>
      <c r="F655" s="189"/>
      <c r="G655" s="189"/>
      <c r="H655" s="188"/>
      <c r="I655" s="187"/>
      <c r="J655" s="180"/>
      <c r="K655" s="182"/>
      <c r="L655" s="172"/>
      <c r="M655" s="180"/>
      <c r="N655" s="183"/>
      <c r="O655" s="184"/>
      <c r="P655" s="185"/>
    </row>
    <row r="656" spans="1:16" ht="15.75" customHeight="1" x14ac:dyDescent="0.25">
      <c r="A656" s="179"/>
      <c r="B656" s="186"/>
      <c r="C656" s="187"/>
      <c r="D656" s="188"/>
      <c r="E656" s="187"/>
      <c r="F656" s="189"/>
      <c r="G656" s="189"/>
      <c r="H656" s="188"/>
      <c r="I656" s="187"/>
      <c r="J656" s="180"/>
      <c r="K656" s="182"/>
      <c r="L656" s="172"/>
      <c r="M656" s="180"/>
      <c r="N656" s="183"/>
      <c r="O656" s="184"/>
      <c r="P656" s="185"/>
    </row>
    <row r="657" spans="1:16" ht="15.75" customHeight="1" x14ac:dyDescent="0.25">
      <c r="A657" s="179"/>
      <c r="B657" s="186"/>
      <c r="C657" s="187"/>
      <c r="D657" s="188"/>
      <c r="E657" s="187"/>
      <c r="F657" s="189"/>
      <c r="G657" s="189"/>
      <c r="H657" s="188"/>
      <c r="I657" s="187"/>
      <c r="J657" s="180"/>
      <c r="K657" s="182"/>
      <c r="L657" s="172"/>
      <c r="M657" s="180"/>
      <c r="N657" s="183"/>
      <c r="O657" s="184"/>
      <c r="P657" s="185"/>
    </row>
    <row r="658" spans="1:16" ht="15.75" customHeight="1" x14ac:dyDescent="0.25">
      <c r="A658" s="179"/>
      <c r="B658" s="186"/>
      <c r="C658" s="187"/>
      <c r="D658" s="188"/>
      <c r="E658" s="187"/>
      <c r="F658" s="189"/>
      <c r="G658" s="189"/>
      <c r="H658" s="188"/>
      <c r="I658" s="187"/>
      <c r="J658" s="180"/>
      <c r="K658" s="182"/>
      <c r="L658" s="172"/>
      <c r="M658" s="180"/>
      <c r="N658" s="183"/>
      <c r="O658" s="184"/>
      <c r="P658" s="185"/>
    </row>
    <row r="659" spans="1:16" ht="15.75" customHeight="1" x14ac:dyDescent="0.25">
      <c r="A659" s="179"/>
      <c r="B659" s="186"/>
      <c r="C659" s="187"/>
      <c r="D659" s="188"/>
      <c r="E659" s="187"/>
      <c r="F659" s="189"/>
      <c r="G659" s="189"/>
      <c r="H659" s="188"/>
      <c r="I659" s="187"/>
      <c r="J659" s="180"/>
      <c r="K659" s="182"/>
      <c r="L659" s="172"/>
      <c r="M659" s="180"/>
      <c r="N659" s="183"/>
      <c r="O659" s="184"/>
      <c r="P659" s="185"/>
    </row>
    <row r="660" spans="1:16" ht="15.75" customHeight="1" x14ac:dyDescent="0.25">
      <c r="A660" s="179"/>
      <c r="B660" s="186"/>
      <c r="C660" s="187"/>
      <c r="D660" s="188"/>
      <c r="E660" s="187"/>
      <c r="F660" s="189"/>
      <c r="G660" s="189"/>
      <c r="H660" s="188"/>
      <c r="I660" s="187"/>
      <c r="J660" s="180"/>
      <c r="K660" s="182"/>
      <c r="L660" s="172"/>
      <c r="M660" s="180"/>
      <c r="N660" s="183"/>
      <c r="O660" s="184"/>
      <c r="P660" s="185"/>
    </row>
    <row r="661" spans="1:16" ht="15.75" customHeight="1" x14ac:dyDescent="0.25">
      <c r="A661" s="179"/>
      <c r="B661" s="186"/>
      <c r="C661" s="187"/>
      <c r="D661" s="188"/>
      <c r="E661" s="187"/>
      <c r="F661" s="189"/>
      <c r="G661" s="189"/>
      <c r="H661" s="188"/>
      <c r="I661" s="187"/>
      <c r="J661" s="180"/>
      <c r="K661" s="182"/>
      <c r="L661" s="172"/>
      <c r="M661" s="180"/>
      <c r="N661" s="183"/>
      <c r="O661" s="184"/>
      <c r="P661" s="185"/>
    </row>
    <row r="662" spans="1:16" ht="15.75" customHeight="1" x14ac:dyDescent="0.25">
      <c r="A662" s="179"/>
      <c r="B662" s="186"/>
      <c r="C662" s="187"/>
      <c r="D662" s="188"/>
      <c r="E662" s="187"/>
      <c r="F662" s="189"/>
      <c r="G662" s="189"/>
      <c r="H662" s="188"/>
      <c r="I662" s="187"/>
      <c r="J662" s="180"/>
      <c r="K662" s="182"/>
      <c r="L662" s="172"/>
      <c r="M662" s="180"/>
      <c r="N662" s="183"/>
      <c r="O662" s="184"/>
      <c r="P662" s="185"/>
    </row>
    <row r="663" spans="1:16" ht="15.75" customHeight="1" x14ac:dyDescent="0.25">
      <c r="A663" s="179"/>
      <c r="B663" s="186"/>
      <c r="C663" s="187"/>
      <c r="D663" s="188"/>
      <c r="E663" s="187"/>
      <c r="F663" s="189"/>
      <c r="G663" s="189"/>
      <c r="H663" s="188"/>
      <c r="I663" s="187"/>
      <c r="J663" s="180"/>
      <c r="K663" s="182"/>
      <c r="L663" s="172"/>
      <c r="M663" s="180"/>
      <c r="N663" s="183"/>
      <c r="O663" s="184"/>
      <c r="P663" s="185"/>
    </row>
    <row r="664" spans="1:16" ht="15.75" customHeight="1" x14ac:dyDescent="0.25">
      <c r="A664" s="179"/>
      <c r="B664" s="186"/>
      <c r="C664" s="187"/>
      <c r="D664" s="188"/>
      <c r="E664" s="187"/>
      <c r="F664" s="189"/>
      <c r="G664" s="189"/>
      <c r="H664" s="188"/>
      <c r="I664" s="187"/>
      <c r="J664" s="180"/>
      <c r="K664" s="182"/>
      <c r="L664" s="172"/>
      <c r="M664" s="180"/>
      <c r="N664" s="183"/>
      <c r="O664" s="184"/>
      <c r="P664" s="185"/>
    </row>
    <row r="665" spans="1:16" ht="15.75" customHeight="1" x14ac:dyDescent="0.25">
      <c r="A665" s="179"/>
      <c r="B665" s="186"/>
      <c r="C665" s="187"/>
      <c r="D665" s="188"/>
      <c r="E665" s="187"/>
      <c r="F665" s="189"/>
      <c r="G665" s="189"/>
      <c r="H665" s="188"/>
      <c r="I665" s="187"/>
      <c r="J665" s="180"/>
      <c r="K665" s="182"/>
      <c r="L665" s="172"/>
      <c r="M665" s="180"/>
      <c r="N665" s="183"/>
      <c r="O665" s="184"/>
      <c r="P665" s="185"/>
    </row>
    <row r="666" spans="1:16" ht="15.75" customHeight="1" x14ac:dyDescent="0.25">
      <c r="A666" s="179"/>
      <c r="B666" s="186"/>
      <c r="C666" s="187"/>
      <c r="D666" s="188"/>
      <c r="E666" s="187"/>
      <c r="F666" s="189"/>
      <c r="G666" s="189"/>
      <c r="H666" s="188"/>
      <c r="I666" s="187"/>
      <c r="J666" s="180"/>
      <c r="K666" s="182"/>
      <c r="L666" s="172"/>
      <c r="M666" s="180"/>
      <c r="N666" s="183"/>
      <c r="O666" s="184"/>
      <c r="P666" s="185"/>
    </row>
    <row r="667" spans="1:16" ht="15.75" customHeight="1" x14ac:dyDescent="0.25">
      <c r="A667" s="179"/>
      <c r="B667" s="186"/>
      <c r="C667" s="187"/>
      <c r="D667" s="188"/>
      <c r="E667" s="187"/>
      <c r="F667" s="189"/>
      <c r="G667" s="189"/>
      <c r="H667" s="188"/>
      <c r="I667" s="187"/>
      <c r="J667" s="180"/>
      <c r="K667" s="182"/>
      <c r="L667" s="172"/>
      <c r="M667" s="180"/>
      <c r="N667" s="183"/>
      <c r="O667" s="184"/>
      <c r="P667" s="185"/>
    </row>
    <row r="668" spans="1:16" ht="15.75" customHeight="1" x14ac:dyDescent="0.25">
      <c r="A668" s="179"/>
      <c r="B668" s="186"/>
      <c r="C668" s="187"/>
      <c r="D668" s="188"/>
      <c r="E668" s="187"/>
      <c r="F668" s="189"/>
      <c r="G668" s="189"/>
      <c r="H668" s="188"/>
      <c r="I668" s="187"/>
      <c r="J668" s="180"/>
      <c r="K668" s="182"/>
      <c r="L668" s="172"/>
      <c r="M668" s="180"/>
      <c r="N668" s="183"/>
      <c r="O668" s="184"/>
      <c r="P668" s="185"/>
    </row>
    <row r="669" spans="1:16" ht="15.75" customHeight="1" x14ac:dyDescent="0.25">
      <c r="A669" s="179"/>
      <c r="B669" s="186"/>
      <c r="C669" s="187"/>
      <c r="D669" s="188"/>
      <c r="E669" s="187"/>
      <c r="F669" s="189"/>
      <c r="G669" s="189"/>
      <c r="H669" s="188"/>
      <c r="I669" s="187"/>
      <c r="J669" s="180"/>
      <c r="K669" s="182"/>
      <c r="L669" s="172"/>
      <c r="M669" s="180"/>
      <c r="N669" s="183"/>
      <c r="O669" s="184"/>
      <c r="P669" s="185"/>
    </row>
    <row r="670" spans="1:16" ht="15.75" customHeight="1" x14ac:dyDescent="0.25">
      <c r="A670" s="179"/>
      <c r="B670" s="186"/>
      <c r="C670" s="187"/>
      <c r="D670" s="188"/>
      <c r="E670" s="187"/>
      <c r="F670" s="189"/>
      <c r="G670" s="189"/>
      <c r="H670" s="188"/>
      <c r="I670" s="187"/>
      <c r="J670" s="180"/>
      <c r="K670" s="182"/>
      <c r="L670" s="172"/>
      <c r="M670" s="180"/>
      <c r="N670" s="183"/>
      <c r="O670" s="184"/>
      <c r="P670" s="185"/>
    </row>
    <row r="671" spans="1:16" ht="15.75" customHeight="1" x14ac:dyDescent="0.25">
      <c r="A671" s="179"/>
      <c r="B671" s="186"/>
      <c r="C671" s="187"/>
      <c r="D671" s="188"/>
      <c r="E671" s="187"/>
      <c r="F671" s="189"/>
      <c r="G671" s="189"/>
      <c r="H671" s="188"/>
      <c r="I671" s="187"/>
      <c r="J671" s="180"/>
      <c r="K671" s="182"/>
      <c r="L671" s="172"/>
      <c r="M671" s="180"/>
      <c r="N671" s="183"/>
      <c r="O671" s="184"/>
      <c r="P671" s="185"/>
    </row>
    <row r="672" spans="1:16" ht="15.75" customHeight="1" x14ac:dyDescent="0.25">
      <c r="A672" s="179"/>
      <c r="B672" s="186"/>
      <c r="C672" s="187"/>
      <c r="D672" s="188"/>
      <c r="E672" s="187"/>
      <c r="F672" s="189"/>
      <c r="G672" s="189"/>
      <c r="H672" s="188"/>
      <c r="I672" s="187"/>
      <c r="J672" s="180"/>
      <c r="K672" s="182"/>
      <c r="L672" s="172"/>
      <c r="M672" s="180"/>
      <c r="N672" s="183"/>
      <c r="O672" s="184"/>
      <c r="P672" s="185"/>
    </row>
    <row r="673" spans="1:16" ht="15.75" customHeight="1" x14ac:dyDescent="0.25">
      <c r="A673" s="179"/>
      <c r="B673" s="186"/>
      <c r="C673" s="187"/>
      <c r="D673" s="188"/>
      <c r="E673" s="187"/>
      <c r="F673" s="189"/>
      <c r="G673" s="189"/>
      <c r="H673" s="188"/>
      <c r="I673" s="187"/>
      <c r="J673" s="180"/>
      <c r="K673" s="182"/>
      <c r="L673" s="172"/>
      <c r="M673" s="180"/>
      <c r="N673" s="183"/>
      <c r="O673" s="184"/>
      <c r="P673" s="185"/>
    </row>
    <row r="674" spans="1:16" ht="15.75" customHeight="1" x14ac:dyDescent="0.25">
      <c r="A674" s="179"/>
      <c r="B674" s="186"/>
      <c r="C674" s="187"/>
      <c r="D674" s="188"/>
      <c r="E674" s="187"/>
      <c r="F674" s="189"/>
      <c r="G674" s="189"/>
      <c r="H674" s="188"/>
      <c r="I674" s="187"/>
      <c r="J674" s="180"/>
      <c r="K674" s="182"/>
      <c r="L674" s="172"/>
      <c r="M674" s="180"/>
      <c r="N674" s="183"/>
      <c r="O674" s="184"/>
      <c r="P674" s="185"/>
    </row>
    <row r="675" spans="1:16" ht="15.75" customHeight="1" x14ac:dyDescent="0.25">
      <c r="A675" s="179"/>
      <c r="B675" s="186"/>
      <c r="C675" s="187"/>
      <c r="D675" s="188"/>
      <c r="E675" s="187"/>
      <c r="F675" s="189"/>
      <c r="G675" s="189"/>
      <c r="H675" s="188"/>
      <c r="I675" s="187"/>
      <c r="J675" s="180"/>
      <c r="K675" s="182"/>
      <c r="L675" s="172"/>
      <c r="M675" s="180"/>
      <c r="N675" s="183"/>
      <c r="O675" s="184"/>
      <c r="P675" s="185"/>
    </row>
    <row r="676" spans="1:16" ht="15.75" customHeight="1" x14ac:dyDescent="0.25">
      <c r="A676" s="179"/>
      <c r="B676" s="186"/>
      <c r="C676" s="187"/>
      <c r="D676" s="188"/>
      <c r="E676" s="187"/>
      <c r="F676" s="189"/>
      <c r="G676" s="189"/>
      <c r="H676" s="188"/>
      <c r="I676" s="187"/>
      <c r="J676" s="180"/>
      <c r="K676" s="182"/>
      <c r="L676" s="172"/>
      <c r="M676" s="180"/>
      <c r="N676" s="183"/>
      <c r="O676" s="184"/>
      <c r="P676" s="185"/>
    </row>
    <row r="677" spans="1:16" ht="15.75" customHeight="1" x14ac:dyDescent="0.25">
      <c r="A677" s="179"/>
      <c r="B677" s="186"/>
      <c r="C677" s="187"/>
      <c r="D677" s="188"/>
      <c r="E677" s="187"/>
      <c r="F677" s="189"/>
      <c r="G677" s="189"/>
      <c r="H677" s="188"/>
      <c r="I677" s="187"/>
      <c r="J677" s="180"/>
      <c r="K677" s="182"/>
      <c r="L677" s="172"/>
      <c r="M677" s="180"/>
      <c r="N677" s="183"/>
      <c r="O677" s="184"/>
      <c r="P677" s="185"/>
    </row>
    <row r="678" spans="1:16" ht="15.75" customHeight="1" x14ac:dyDescent="0.25">
      <c r="A678" s="179"/>
      <c r="B678" s="186"/>
      <c r="C678" s="187"/>
      <c r="D678" s="188"/>
      <c r="E678" s="187"/>
      <c r="F678" s="189"/>
      <c r="G678" s="189"/>
      <c r="H678" s="188"/>
      <c r="I678" s="187"/>
      <c r="J678" s="180"/>
      <c r="K678" s="182"/>
      <c r="L678" s="172"/>
      <c r="M678" s="180"/>
      <c r="N678" s="183"/>
      <c r="O678" s="184"/>
      <c r="P678" s="185"/>
    </row>
    <row r="679" spans="1:16" ht="15.75" customHeight="1" x14ac:dyDescent="0.25">
      <c r="A679" s="179"/>
      <c r="B679" s="186"/>
      <c r="C679" s="187"/>
      <c r="D679" s="188"/>
      <c r="E679" s="187"/>
      <c r="F679" s="189"/>
      <c r="G679" s="189"/>
      <c r="H679" s="188"/>
      <c r="I679" s="187"/>
      <c r="J679" s="180"/>
      <c r="K679" s="182"/>
      <c r="L679" s="172"/>
      <c r="M679" s="180"/>
      <c r="N679" s="183"/>
      <c r="O679" s="184"/>
      <c r="P679" s="185"/>
    </row>
    <row r="680" spans="1:16" ht="15.75" customHeight="1" x14ac:dyDescent="0.25">
      <c r="A680" s="179"/>
      <c r="B680" s="186"/>
      <c r="C680" s="187"/>
      <c r="D680" s="188"/>
      <c r="E680" s="187"/>
      <c r="F680" s="189"/>
      <c r="G680" s="189"/>
      <c r="H680" s="188"/>
      <c r="I680" s="187"/>
      <c r="J680" s="180"/>
      <c r="K680" s="182"/>
      <c r="L680" s="172"/>
      <c r="M680" s="180"/>
      <c r="N680" s="183"/>
      <c r="O680" s="184"/>
      <c r="P680" s="185"/>
    </row>
    <row r="681" spans="1:16" ht="15.75" customHeight="1" x14ac:dyDescent="0.25">
      <c r="A681" s="179"/>
      <c r="B681" s="186"/>
      <c r="C681" s="187"/>
      <c r="D681" s="188"/>
      <c r="E681" s="187"/>
      <c r="F681" s="189"/>
      <c r="G681" s="189"/>
      <c r="H681" s="188"/>
      <c r="I681" s="187"/>
      <c r="J681" s="180"/>
      <c r="K681" s="182"/>
      <c r="L681" s="172"/>
      <c r="M681" s="180"/>
      <c r="N681" s="183"/>
      <c r="O681" s="184"/>
      <c r="P681" s="185"/>
    </row>
    <row r="682" spans="1:16" ht="15.75" customHeight="1" x14ac:dyDescent="0.25">
      <c r="A682" s="179"/>
      <c r="B682" s="186"/>
      <c r="C682" s="187"/>
      <c r="D682" s="188"/>
      <c r="E682" s="187"/>
      <c r="F682" s="189"/>
      <c r="G682" s="189"/>
      <c r="H682" s="188"/>
      <c r="I682" s="187"/>
      <c r="J682" s="180"/>
      <c r="K682" s="182"/>
      <c r="L682" s="172"/>
      <c r="M682" s="180"/>
      <c r="N682" s="183"/>
      <c r="O682" s="184"/>
      <c r="P682" s="185"/>
    </row>
    <row r="683" spans="1:16" ht="15.75" customHeight="1" x14ac:dyDescent="0.25">
      <c r="A683" s="179"/>
      <c r="B683" s="186"/>
      <c r="C683" s="187"/>
      <c r="D683" s="188"/>
      <c r="E683" s="187"/>
      <c r="F683" s="189"/>
      <c r="G683" s="189"/>
      <c r="H683" s="188"/>
      <c r="I683" s="187"/>
      <c r="J683" s="180"/>
      <c r="K683" s="182"/>
      <c r="L683" s="172"/>
      <c r="M683" s="180"/>
      <c r="N683" s="183"/>
      <c r="O683" s="184"/>
      <c r="P683" s="185"/>
    </row>
    <row r="684" spans="1:16" ht="15.75" customHeight="1" x14ac:dyDescent="0.25">
      <c r="A684" s="179"/>
      <c r="B684" s="186"/>
      <c r="C684" s="187"/>
      <c r="D684" s="188"/>
      <c r="E684" s="187"/>
      <c r="F684" s="189"/>
      <c r="G684" s="189"/>
      <c r="H684" s="188"/>
      <c r="I684" s="187"/>
      <c r="J684" s="180"/>
      <c r="K684" s="182"/>
      <c r="L684" s="172"/>
      <c r="M684" s="180"/>
      <c r="N684" s="183"/>
      <c r="O684" s="184"/>
      <c r="P684" s="185"/>
    </row>
    <row r="685" spans="1:16" ht="15.75" customHeight="1" x14ac:dyDescent="0.25">
      <c r="A685" s="179"/>
      <c r="B685" s="186"/>
      <c r="C685" s="187"/>
      <c r="D685" s="188"/>
      <c r="E685" s="187"/>
      <c r="F685" s="189"/>
      <c r="G685" s="189"/>
      <c r="H685" s="188"/>
      <c r="I685" s="187"/>
      <c r="J685" s="180"/>
      <c r="K685" s="182"/>
      <c r="L685" s="172"/>
      <c r="M685" s="180"/>
      <c r="N685" s="183"/>
      <c r="O685" s="184"/>
      <c r="P685" s="185"/>
    </row>
    <row r="686" spans="1:16" ht="15.75" customHeight="1" x14ac:dyDescent="0.25">
      <c r="A686" s="179"/>
      <c r="B686" s="186"/>
      <c r="C686" s="187"/>
      <c r="D686" s="188"/>
      <c r="E686" s="187"/>
      <c r="F686" s="189"/>
      <c r="G686" s="189"/>
      <c r="H686" s="188"/>
      <c r="I686" s="187"/>
      <c r="J686" s="180"/>
      <c r="K686" s="182"/>
      <c r="L686" s="172"/>
      <c r="M686" s="180"/>
      <c r="N686" s="183"/>
      <c r="O686" s="184"/>
      <c r="P686" s="185"/>
    </row>
    <row r="687" spans="1:16" ht="15.75" customHeight="1" x14ac:dyDescent="0.25">
      <c r="A687" s="179"/>
      <c r="B687" s="186"/>
      <c r="C687" s="187"/>
      <c r="D687" s="188"/>
      <c r="E687" s="187"/>
      <c r="F687" s="189"/>
      <c r="G687" s="189"/>
      <c r="H687" s="188"/>
      <c r="I687" s="187"/>
      <c r="J687" s="180"/>
      <c r="K687" s="182"/>
      <c r="L687" s="172"/>
      <c r="M687" s="180"/>
      <c r="N687" s="183"/>
      <c r="O687" s="184"/>
      <c r="P687" s="185"/>
    </row>
    <row r="688" spans="1:16" ht="15.75" customHeight="1" x14ac:dyDescent="0.25">
      <c r="A688" s="179"/>
      <c r="B688" s="186"/>
      <c r="C688" s="187"/>
      <c r="D688" s="188"/>
      <c r="E688" s="187"/>
      <c r="F688" s="189"/>
      <c r="G688" s="189"/>
      <c r="H688" s="188"/>
      <c r="I688" s="187"/>
      <c r="J688" s="180"/>
      <c r="K688" s="182"/>
      <c r="L688" s="172"/>
      <c r="M688" s="180"/>
      <c r="N688" s="183"/>
      <c r="O688" s="184"/>
      <c r="P688" s="185"/>
    </row>
    <row r="689" spans="1:16" ht="15.75" customHeight="1" x14ac:dyDescent="0.25">
      <c r="A689" s="179"/>
      <c r="B689" s="186"/>
      <c r="C689" s="187"/>
      <c r="D689" s="188"/>
      <c r="E689" s="187"/>
      <c r="F689" s="189"/>
      <c r="G689" s="189"/>
      <c r="H689" s="188"/>
      <c r="I689" s="187"/>
      <c r="J689" s="180"/>
      <c r="K689" s="182"/>
      <c r="L689" s="172"/>
      <c r="M689" s="180"/>
      <c r="N689" s="183"/>
      <c r="O689" s="184"/>
      <c r="P689" s="185"/>
    </row>
    <row r="690" spans="1:16" ht="15.75" customHeight="1" x14ac:dyDescent="0.25">
      <c r="A690" s="179"/>
      <c r="B690" s="186"/>
      <c r="C690" s="187"/>
      <c r="D690" s="188"/>
      <c r="E690" s="187"/>
      <c r="F690" s="189"/>
      <c r="G690" s="189"/>
      <c r="H690" s="188"/>
      <c r="I690" s="187"/>
      <c r="J690" s="180"/>
      <c r="K690" s="182"/>
      <c r="L690" s="172"/>
      <c r="M690" s="180"/>
      <c r="N690" s="183"/>
      <c r="O690" s="184"/>
      <c r="P690" s="185"/>
    </row>
    <row r="691" spans="1:16" ht="15.75" customHeight="1" x14ac:dyDescent="0.25">
      <c r="A691" s="179"/>
      <c r="B691" s="186"/>
      <c r="C691" s="187"/>
      <c r="D691" s="188"/>
      <c r="E691" s="187"/>
      <c r="F691" s="189"/>
      <c r="G691" s="189"/>
      <c r="H691" s="188"/>
      <c r="I691" s="187"/>
      <c r="J691" s="180"/>
      <c r="K691" s="182"/>
      <c r="L691" s="172"/>
      <c r="M691" s="180"/>
      <c r="N691" s="183"/>
      <c r="O691" s="184"/>
      <c r="P691" s="185"/>
    </row>
    <row r="692" spans="1:16" ht="15.75" customHeight="1" x14ac:dyDescent="0.25">
      <c r="A692" s="179"/>
      <c r="B692" s="186"/>
      <c r="C692" s="187"/>
      <c r="D692" s="188"/>
      <c r="E692" s="187"/>
      <c r="F692" s="189"/>
      <c r="G692" s="189"/>
      <c r="H692" s="188"/>
      <c r="I692" s="187"/>
      <c r="J692" s="180"/>
      <c r="K692" s="182"/>
      <c r="L692" s="172"/>
      <c r="M692" s="180"/>
      <c r="N692" s="183"/>
      <c r="O692" s="184"/>
      <c r="P692" s="185"/>
    </row>
    <row r="693" spans="1:16" ht="15.75" customHeight="1" x14ac:dyDescent="0.25">
      <c r="A693" s="179"/>
      <c r="B693" s="186"/>
      <c r="C693" s="187"/>
      <c r="D693" s="188"/>
      <c r="E693" s="187"/>
      <c r="F693" s="189"/>
      <c r="G693" s="189"/>
      <c r="H693" s="188"/>
      <c r="I693" s="187"/>
      <c r="J693" s="180"/>
      <c r="K693" s="182"/>
      <c r="L693" s="172"/>
      <c r="M693" s="180"/>
      <c r="N693" s="183"/>
      <c r="O693" s="184"/>
      <c r="P693" s="185"/>
    </row>
    <row r="694" spans="1:16" ht="15.75" customHeight="1" x14ac:dyDescent="0.25">
      <c r="A694" s="179"/>
      <c r="B694" s="186"/>
      <c r="C694" s="187"/>
      <c r="D694" s="188"/>
      <c r="E694" s="187"/>
      <c r="F694" s="189"/>
      <c r="G694" s="189"/>
      <c r="H694" s="188"/>
      <c r="I694" s="187"/>
      <c r="J694" s="180"/>
      <c r="K694" s="182"/>
      <c r="L694" s="172"/>
      <c r="M694" s="180"/>
      <c r="N694" s="183"/>
      <c r="O694" s="184"/>
      <c r="P694" s="185"/>
    </row>
    <row r="695" spans="1:16" ht="15.75" customHeight="1" x14ac:dyDescent="0.25">
      <c r="A695" s="179"/>
      <c r="B695" s="186"/>
      <c r="C695" s="187"/>
      <c r="D695" s="188"/>
      <c r="E695" s="187"/>
      <c r="F695" s="189"/>
      <c r="G695" s="189"/>
      <c r="H695" s="188"/>
      <c r="I695" s="187"/>
      <c r="J695" s="180"/>
      <c r="K695" s="182"/>
      <c r="L695" s="172"/>
      <c r="M695" s="180"/>
      <c r="N695" s="183"/>
      <c r="O695" s="184"/>
      <c r="P695" s="185"/>
    </row>
    <row r="696" spans="1:16" ht="15.75" customHeight="1" x14ac:dyDescent="0.25">
      <c r="A696" s="179"/>
      <c r="B696" s="186"/>
      <c r="C696" s="187"/>
      <c r="D696" s="188"/>
      <c r="E696" s="187"/>
      <c r="F696" s="189"/>
      <c r="G696" s="189"/>
      <c r="H696" s="188"/>
      <c r="I696" s="187"/>
      <c r="J696" s="180"/>
      <c r="K696" s="182"/>
      <c r="L696" s="172"/>
      <c r="M696" s="180"/>
      <c r="N696" s="183"/>
      <c r="O696" s="184"/>
      <c r="P696" s="185"/>
    </row>
    <row r="697" spans="1:16" ht="15.75" customHeight="1" x14ac:dyDescent="0.25">
      <c r="A697" s="179"/>
      <c r="B697" s="186"/>
      <c r="C697" s="187"/>
      <c r="D697" s="188"/>
      <c r="E697" s="187"/>
      <c r="F697" s="189"/>
      <c r="G697" s="189"/>
      <c r="H697" s="188"/>
      <c r="I697" s="187"/>
      <c r="J697" s="180"/>
      <c r="K697" s="182"/>
      <c r="L697" s="172"/>
      <c r="M697" s="180"/>
      <c r="N697" s="183"/>
      <c r="O697" s="184"/>
      <c r="P697" s="185"/>
    </row>
    <row r="698" spans="1:16" ht="15.75" customHeight="1" x14ac:dyDescent="0.25">
      <c r="A698" s="179"/>
      <c r="B698" s="186"/>
      <c r="C698" s="187"/>
      <c r="D698" s="188"/>
      <c r="E698" s="187"/>
      <c r="F698" s="189"/>
      <c r="G698" s="189"/>
      <c r="H698" s="188"/>
      <c r="I698" s="187"/>
      <c r="J698" s="180"/>
      <c r="K698" s="182"/>
      <c r="L698" s="172"/>
      <c r="M698" s="180"/>
      <c r="N698" s="183"/>
      <c r="O698" s="184"/>
      <c r="P698" s="185"/>
    </row>
    <row r="699" spans="1:16" ht="15.75" customHeight="1" x14ac:dyDescent="0.25">
      <c r="A699" s="179"/>
      <c r="B699" s="186"/>
      <c r="C699" s="187"/>
      <c r="D699" s="188"/>
      <c r="E699" s="187"/>
      <c r="F699" s="189"/>
      <c r="G699" s="189"/>
      <c r="H699" s="188"/>
      <c r="I699" s="187"/>
      <c r="J699" s="180"/>
      <c r="K699" s="182"/>
      <c r="L699" s="172"/>
      <c r="M699" s="180"/>
      <c r="N699" s="183"/>
      <c r="O699" s="184"/>
      <c r="P699" s="185"/>
    </row>
    <row r="700" spans="1:16" ht="15.75" customHeight="1" x14ac:dyDescent="0.25">
      <c r="A700" s="179"/>
      <c r="B700" s="186"/>
      <c r="C700" s="187"/>
      <c r="D700" s="188"/>
      <c r="E700" s="187"/>
      <c r="F700" s="189"/>
      <c r="G700" s="189"/>
      <c r="H700" s="188"/>
      <c r="I700" s="187"/>
      <c r="J700" s="180"/>
      <c r="K700" s="182"/>
      <c r="L700" s="172"/>
      <c r="M700" s="180"/>
      <c r="N700" s="183"/>
      <c r="O700" s="184"/>
      <c r="P700" s="185"/>
    </row>
    <row r="701" spans="1:16" ht="15.75" customHeight="1" x14ac:dyDescent="0.25">
      <c r="A701" s="179"/>
      <c r="B701" s="186"/>
      <c r="C701" s="187"/>
      <c r="D701" s="188"/>
      <c r="E701" s="187"/>
      <c r="F701" s="189"/>
      <c r="G701" s="189"/>
      <c r="H701" s="188"/>
      <c r="I701" s="187"/>
      <c r="J701" s="180"/>
      <c r="K701" s="182"/>
      <c r="L701" s="172"/>
      <c r="M701" s="180"/>
      <c r="N701" s="183"/>
      <c r="O701" s="184"/>
      <c r="P701" s="185"/>
    </row>
    <row r="702" spans="1:16" ht="15.75" customHeight="1" x14ac:dyDescent="0.25">
      <c r="A702" s="179"/>
      <c r="B702" s="186"/>
      <c r="C702" s="187"/>
      <c r="D702" s="188"/>
      <c r="E702" s="187"/>
      <c r="F702" s="189"/>
      <c r="G702" s="189"/>
      <c r="H702" s="188"/>
      <c r="I702" s="187"/>
      <c r="J702" s="180"/>
      <c r="K702" s="182"/>
      <c r="L702" s="172"/>
      <c r="M702" s="180"/>
      <c r="N702" s="183"/>
      <c r="O702" s="184"/>
      <c r="P702" s="185"/>
    </row>
    <row r="703" spans="1:16" ht="15.75" customHeight="1" x14ac:dyDescent="0.25">
      <c r="A703" s="179"/>
      <c r="B703" s="186"/>
      <c r="C703" s="187"/>
      <c r="D703" s="188"/>
      <c r="E703" s="187"/>
      <c r="F703" s="189"/>
      <c r="G703" s="189"/>
      <c r="H703" s="188"/>
      <c r="I703" s="187"/>
      <c r="J703" s="180"/>
      <c r="K703" s="182"/>
      <c r="L703" s="172"/>
      <c r="M703" s="180"/>
      <c r="N703" s="183"/>
      <c r="O703" s="184"/>
      <c r="P703" s="185"/>
    </row>
    <row r="704" spans="1:16" ht="15.75" customHeight="1" x14ac:dyDescent="0.25">
      <c r="A704" s="179"/>
      <c r="B704" s="186"/>
      <c r="C704" s="187"/>
      <c r="D704" s="188"/>
      <c r="E704" s="187"/>
      <c r="F704" s="189"/>
      <c r="G704" s="189"/>
      <c r="H704" s="188"/>
      <c r="I704" s="187"/>
      <c r="J704" s="180"/>
      <c r="K704" s="182"/>
      <c r="L704" s="172"/>
      <c r="M704" s="180"/>
      <c r="N704" s="183"/>
      <c r="O704" s="184"/>
      <c r="P704" s="185"/>
    </row>
    <row r="705" spans="1:16" ht="15.75" customHeight="1" x14ac:dyDescent="0.25">
      <c r="A705" s="179"/>
      <c r="B705" s="186"/>
      <c r="C705" s="187"/>
      <c r="D705" s="188"/>
      <c r="E705" s="187"/>
      <c r="F705" s="189"/>
      <c r="G705" s="189"/>
      <c r="H705" s="188"/>
      <c r="I705" s="187"/>
      <c r="J705" s="180"/>
      <c r="K705" s="182"/>
      <c r="L705" s="172"/>
      <c r="M705" s="180"/>
      <c r="N705" s="183"/>
      <c r="O705" s="184"/>
      <c r="P705" s="185"/>
    </row>
    <row r="706" spans="1:16" ht="15.75" customHeight="1" x14ac:dyDescent="0.25">
      <c r="A706" s="179"/>
      <c r="B706" s="186"/>
      <c r="C706" s="187"/>
      <c r="D706" s="188"/>
      <c r="E706" s="187"/>
      <c r="F706" s="189"/>
      <c r="G706" s="189"/>
      <c r="H706" s="188"/>
      <c r="I706" s="187"/>
      <c r="J706" s="180"/>
      <c r="K706" s="182"/>
      <c r="L706" s="172"/>
      <c r="M706" s="180"/>
      <c r="N706" s="183"/>
      <c r="O706" s="184"/>
      <c r="P706" s="185"/>
    </row>
    <row r="707" spans="1:16" ht="15.75" customHeight="1" x14ac:dyDescent="0.25">
      <c r="A707" s="179"/>
      <c r="B707" s="186"/>
      <c r="C707" s="187"/>
      <c r="D707" s="188"/>
      <c r="E707" s="187"/>
      <c r="F707" s="189"/>
      <c r="G707" s="189"/>
      <c r="H707" s="188"/>
      <c r="I707" s="187"/>
      <c r="J707" s="180"/>
      <c r="K707" s="182"/>
      <c r="L707" s="172"/>
      <c r="M707" s="180"/>
      <c r="N707" s="183"/>
      <c r="O707" s="184"/>
      <c r="P707" s="185"/>
    </row>
    <row r="708" spans="1:16" ht="15.75" customHeight="1" x14ac:dyDescent="0.25">
      <c r="A708" s="179"/>
      <c r="B708" s="186"/>
      <c r="C708" s="187"/>
      <c r="D708" s="188"/>
      <c r="E708" s="187"/>
      <c r="F708" s="189"/>
      <c r="G708" s="189"/>
      <c r="H708" s="188"/>
      <c r="I708" s="187"/>
      <c r="J708" s="180"/>
      <c r="K708" s="182"/>
      <c r="L708" s="172"/>
      <c r="M708" s="180"/>
      <c r="N708" s="183"/>
      <c r="O708" s="184"/>
      <c r="P708" s="185"/>
    </row>
    <row r="709" spans="1:16" ht="15.75" customHeight="1" x14ac:dyDescent="0.25">
      <c r="A709" s="179"/>
      <c r="B709" s="186"/>
      <c r="C709" s="187"/>
      <c r="D709" s="188"/>
      <c r="E709" s="187"/>
      <c r="F709" s="189"/>
      <c r="G709" s="189"/>
      <c r="H709" s="188"/>
      <c r="I709" s="187"/>
      <c r="J709" s="180"/>
      <c r="K709" s="182"/>
      <c r="L709" s="172"/>
      <c r="M709" s="180"/>
      <c r="N709" s="183"/>
      <c r="O709" s="184"/>
      <c r="P709" s="185"/>
    </row>
    <row r="710" spans="1:16" ht="15.75" customHeight="1" x14ac:dyDescent="0.25">
      <c r="A710" s="179"/>
      <c r="B710" s="186"/>
      <c r="C710" s="187"/>
      <c r="D710" s="188"/>
      <c r="E710" s="187"/>
      <c r="F710" s="189"/>
      <c r="G710" s="189"/>
      <c r="H710" s="188"/>
      <c r="I710" s="187"/>
      <c r="J710" s="180"/>
      <c r="K710" s="182"/>
      <c r="L710" s="172"/>
      <c r="M710" s="180"/>
      <c r="N710" s="183"/>
      <c r="O710" s="184"/>
      <c r="P710" s="185"/>
    </row>
    <row r="711" spans="1:16" ht="15.75" customHeight="1" x14ac:dyDescent="0.25">
      <c r="A711" s="179"/>
      <c r="B711" s="186"/>
      <c r="C711" s="187"/>
      <c r="D711" s="188"/>
      <c r="E711" s="187"/>
      <c r="F711" s="189"/>
      <c r="G711" s="189"/>
      <c r="H711" s="188"/>
      <c r="I711" s="187"/>
      <c r="J711" s="180"/>
      <c r="K711" s="182"/>
      <c r="L711" s="172"/>
      <c r="M711" s="180"/>
      <c r="N711" s="183"/>
      <c r="O711" s="184"/>
      <c r="P711" s="185"/>
    </row>
    <row r="712" spans="1:16" ht="15.75" customHeight="1" x14ac:dyDescent="0.25">
      <c r="A712" s="179"/>
      <c r="B712" s="186"/>
      <c r="C712" s="187"/>
      <c r="D712" s="188"/>
      <c r="E712" s="187"/>
      <c r="F712" s="189"/>
      <c r="G712" s="189"/>
      <c r="H712" s="188"/>
      <c r="I712" s="187"/>
      <c r="J712" s="180"/>
      <c r="K712" s="182"/>
      <c r="L712" s="172"/>
      <c r="M712" s="180"/>
      <c r="N712" s="183"/>
      <c r="O712" s="184"/>
      <c r="P712" s="185"/>
    </row>
    <row r="713" spans="1:16" ht="15.75" customHeight="1" x14ac:dyDescent="0.25">
      <c r="A713" s="179"/>
      <c r="B713" s="186"/>
      <c r="C713" s="187"/>
      <c r="D713" s="188"/>
      <c r="E713" s="187"/>
      <c r="F713" s="189"/>
      <c r="G713" s="189"/>
      <c r="H713" s="188"/>
      <c r="I713" s="187"/>
      <c r="J713" s="180"/>
      <c r="K713" s="182"/>
      <c r="L713" s="172"/>
      <c r="M713" s="180"/>
      <c r="N713" s="183"/>
      <c r="O713" s="184"/>
      <c r="P713" s="185"/>
    </row>
    <row r="714" spans="1:16" ht="15.75" customHeight="1" x14ac:dyDescent="0.25">
      <c r="A714" s="179"/>
      <c r="B714" s="186"/>
      <c r="C714" s="187"/>
      <c r="D714" s="188"/>
      <c r="E714" s="187"/>
      <c r="F714" s="189"/>
      <c r="G714" s="189"/>
      <c r="H714" s="188"/>
      <c r="I714" s="187"/>
      <c r="J714" s="180"/>
      <c r="K714" s="182"/>
      <c r="L714" s="172"/>
      <c r="M714" s="180"/>
      <c r="N714" s="183"/>
      <c r="O714" s="184"/>
      <c r="P714" s="185"/>
    </row>
    <row r="715" spans="1:16" ht="15.75" customHeight="1" x14ac:dyDescent="0.25">
      <c r="A715" s="179"/>
      <c r="B715" s="186"/>
      <c r="C715" s="187"/>
      <c r="D715" s="188"/>
      <c r="E715" s="187"/>
      <c r="F715" s="189"/>
      <c r="G715" s="189"/>
      <c r="H715" s="188"/>
      <c r="I715" s="187"/>
      <c r="J715" s="180"/>
      <c r="K715" s="182"/>
      <c r="L715" s="172"/>
      <c r="M715" s="180"/>
      <c r="N715" s="183"/>
      <c r="O715" s="184"/>
      <c r="P715" s="185"/>
    </row>
    <row r="716" spans="1:16" ht="15.75" customHeight="1" x14ac:dyDescent="0.25">
      <c r="A716" s="179"/>
      <c r="B716" s="186"/>
      <c r="C716" s="187"/>
      <c r="D716" s="188"/>
      <c r="E716" s="187"/>
      <c r="F716" s="189"/>
      <c r="G716" s="189"/>
      <c r="H716" s="188"/>
      <c r="I716" s="187"/>
      <c r="J716" s="180"/>
      <c r="K716" s="182"/>
      <c r="L716" s="172"/>
      <c r="M716" s="180"/>
      <c r="N716" s="183"/>
      <c r="O716" s="184"/>
      <c r="P716" s="185"/>
    </row>
    <row r="717" spans="1:16" ht="15.75" customHeight="1" x14ac:dyDescent="0.25">
      <c r="A717" s="179"/>
      <c r="B717" s="186"/>
      <c r="C717" s="187"/>
      <c r="D717" s="188"/>
      <c r="E717" s="187"/>
      <c r="F717" s="189"/>
      <c r="G717" s="189"/>
      <c r="H717" s="188"/>
      <c r="I717" s="187"/>
      <c r="J717" s="180"/>
      <c r="K717" s="182"/>
      <c r="L717" s="172"/>
      <c r="M717" s="180"/>
      <c r="N717" s="183"/>
      <c r="O717" s="184"/>
      <c r="P717" s="185"/>
    </row>
    <row r="718" spans="1:16" ht="15.75" customHeight="1" x14ac:dyDescent="0.25">
      <c r="A718" s="179"/>
      <c r="B718" s="186"/>
      <c r="C718" s="187"/>
      <c r="D718" s="188"/>
      <c r="E718" s="187"/>
      <c r="F718" s="189"/>
      <c r="G718" s="189"/>
      <c r="H718" s="188"/>
      <c r="I718" s="187"/>
      <c r="J718" s="180"/>
      <c r="K718" s="182"/>
      <c r="L718" s="172"/>
      <c r="M718" s="180"/>
      <c r="N718" s="183"/>
      <c r="O718" s="184"/>
      <c r="P718" s="185"/>
    </row>
    <row r="719" spans="1:16" ht="15.75" customHeight="1" x14ac:dyDescent="0.25">
      <c r="A719" s="179"/>
      <c r="B719" s="186"/>
      <c r="C719" s="187"/>
      <c r="D719" s="188"/>
      <c r="E719" s="187"/>
      <c r="F719" s="189"/>
      <c r="G719" s="189"/>
      <c r="H719" s="188"/>
      <c r="I719" s="187"/>
      <c r="J719" s="180"/>
      <c r="K719" s="182"/>
      <c r="L719" s="172"/>
      <c r="M719" s="180"/>
      <c r="N719" s="183"/>
      <c r="O719" s="184"/>
      <c r="P719" s="185"/>
    </row>
    <row r="720" spans="1:16" ht="15.75" customHeight="1" x14ac:dyDescent="0.25">
      <c r="A720" s="179"/>
      <c r="B720" s="186"/>
      <c r="C720" s="187"/>
      <c r="D720" s="188"/>
      <c r="E720" s="187"/>
      <c r="F720" s="189"/>
      <c r="G720" s="189"/>
      <c r="H720" s="188"/>
      <c r="I720" s="187"/>
      <c r="J720" s="180"/>
      <c r="K720" s="182"/>
      <c r="L720" s="172"/>
      <c r="M720" s="180"/>
      <c r="N720" s="183"/>
      <c r="O720" s="184"/>
      <c r="P720" s="185"/>
    </row>
    <row r="721" spans="1:16" ht="15.75" customHeight="1" x14ac:dyDescent="0.25">
      <c r="A721" s="179"/>
      <c r="B721" s="186"/>
      <c r="C721" s="187"/>
      <c r="D721" s="188"/>
      <c r="E721" s="187"/>
      <c r="F721" s="189"/>
      <c r="G721" s="189"/>
      <c r="H721" s="188"/>
      <c r="I721" s="187"/>
      <c r="J721" s="180"/>
      <c r="K721" s="182"/>
      <c r="L721" s="172"/>
      <c r="M721" s="180"/>
      <c r="N721" s="183"/>
      <c r="O721" s="184"/>
      <c r="P721" s="185"/>
    </row>
    <row r="722" spans="1:16" ht="15.75" customHeight="1" x14ac:dyDescent="0.25">
      <c r="A722" s="179"/>
      <c r="B722" s="186"/>
      <c r="C722" s="187"/>
      <c r="D722" s="188"/>
      <c r="E722" s="187"/>
      <c r="F722" s="189"/>
      <c r="G722" s="189"/>
      <c r="H722" s="188"/>
      <c r="I722" s="187"/>
      <c r="J722" s="180"/>
      <c r="K722" s="182"/>
      <c r="L722" s="172"/>
      <c r="M722" s="180"/>
      <c r="N722" s="183"/>
      <c r="O722" s="184"/>
      <c r="P722" s="185"/>
    </row>
    <row r="723" spans="1:16" ht="15.75" customHeight="1" x14ac:dyDescent="0.25">
      <c r="A723" s="179"/>
      <c r="B723" s="186"/>
      <c r="C723" s="187"/>
      <c r="D723" s="188"/>
      <c r="E723" s="187"/>
      <c r="F723" s="189"/>
      <c r="G723" s="189"/>
      <c r="H723" s="188"/>
      <c r="I723" s="187"/>
      <c r="J723" s="180"/>
      <c r="K723" s="182"/>
      <c r="L723" s="172"/>
      <c r="M723" s="180"/>
      <c r="N723" s="183"/>
      <c r="O723" s="184"/>
      <c r="P723" s="185"/>
    </row>
    <row r="724" spans="1:16" ht="15.75" customHeight="1" x14ac:dyDescent="0.25">
      <c r="A724" s="179"/>
      <c r="B724" s="186"/>
      <c r="C724" s="187"/>
      <c r="D724" s="188"/>
      <c r="E724" s="187"/>
      <c r="F724" s="189"/>
      <c r="G724" s="189"/>
      <c r="H724" s="188"/>
      <c r="I724" s="187"/>
      <c r="J724" s="180"/>
      <c r="K724" s="182"/>
      <c r="L724" s="172"/>
      <c r="M724" s="180"/>
      <c r="N724" s="183"/>
      <c r="O724" s="184"/>
      <c r="P724" s="185"/>
    </row>
    <row r="725" spans="1:16" ht="15.75" customHeight="1" x14ac:dyDescent="0.25">
      <c r="A725" s="179"/>
      <c r="B725" s="186"/>
      <c r="C725" s="187"/>
      <c r="D725" s="188"/>
      <c r="E725" s="187"/>
      <c r="F725" s="189"/>
      <c r="G725" s="189"/>
      <c r="H725" s="188"/>
      <c r="I725" s="187"/>
      <c r="J725" s="180"/>
      <c r="K725" s="182"/>
      <c r="L725" s="172"/>
      <c r="M725" s="180"/>
      <c r="N725" s="183"/>
      <c r="O725" s="184"/>
      <c r="P725" s="185"/>
    </row>
    <row r="726" spans="1:16" ht="15.75" customHeight="1" x14ac:dyDescent="0.25">
      <c r="A726" s="179"/>
      <c r="B726" s="186"/>
      <c r="C726" s="187"/>
      <c r="D726" s="188"/>
      <c r="E726" s="187"/>
      <c r="F726" s="189"/>
      <c r="G726" s="189"/>
      <c r="H726" s="188"/>
      <c r="I726" s="187"/>
      <c r="J726" s="180"/>
      <c r="K726" s="182"/>
      <c r="L726" s="172"/>
      <c r="M726" s="180"/>
      <c r="N726" s="183"/>
      <c r="O726" s="184"/>
      <c r="P726" s="185"/>
    </row>
    <row r="727" spans="1:16" ht="15.75" customHeight="1" x14ac:dyDescent="0.25">
      <c r="A727" s="179"/>
      <c r="B727" s="186"/>
      <c r="C727" s="187"/>
      <c r="D727" s="188"/>
      <c r="E727" s="187"/>
      <c r="F727" s="189"/>
      <c r="G727" s="189"/>
      <c r="H727" s="188"/>
      <c r="I727" s="187"/>
      <c r="J727" s="180"/>
      <c r="K727" s="182"/>
      <c r="L727" s="172"/>
      <c r="M727" s="180"/>
      <c r="N727" s="183"/>
      <c r="O727" s="184"/>
      <c r="P727" s="185"/>
    </row>
    <row r="728" spans="1:16" ht="15.75" customHeight="1" x14ac:dyDescent="0.25">
      <c r="A728" s="179"/>
      <c r="B728" s="186"/>
      <c r="C728" s="187"/>
      <c r="D728" s="188"/>
      <c r="E728" s="187"/>
      <c r="F728" s="189"/>
      <c r="G728" s="189"/>
      <c r="H728" s="188"/>
      <c r="I728" s="187"/>
      <c r="J728" s="180"/>
      <c r="K728" s="182"/>
      <c r="L728" s="172"/>
      <c r="M728" s="180"/>
      <c r="N728" s="183"/>
      <c r="O728" s="184"/>
      <c r="P728" s="185"/>
    </row>
    <row r="729" spans="1:16" ht="15.75" customHeight="1" x14ac:dyDescent="0.25">
      <c r="A729" s="179"/>
      <c r="B729" s="186"/>
      <c r="C729" s="187"/>
      <c r="D729" s="188"/>
      <c r="E729" s="187"/>
      <c r="F729" s="189"/>
      <c r="G729" s="189"/>
      <c r="H729" s="188"/>
      <c r="I729" s="187"/>
      <c r="J729" s="180"/>
      <c r="K729" s="182"/>
      <c r="L729" s="172"/>
      <c r="M729" s="180"/>
      <c r="N729" s="183"/>
      <c r="O729" s="184"/>
      <c r="P729" s="185"/>
    </row>
    <row r="730" spans="1:16" ht="15.75" customHeight="1" x14ac:dyDescent="0.25">
      <c r="A730" s="179"/>
      <c r="B730" s="186"/>
      <c r="C730" s="187"/>
      <c r="D730" s="188"/>
      <c r="E730" s="187"/>
      <c r="F730" s="189"/>
      <c r="G730" s="189"/>
      <c r="H730" s="188"/>
      <c r="I730" s="187"/>
      <c r="J730" s="180"/>
      <c r="K730" s="182"/>
      <c r="L730" s="172"/>
      <c r="M730" s="180"/>
      <c r="N730" s="183"/>
      <c r="O730" s="184"/>
      <c r="P730" s="185"/>
    </row>
    <row r="731" spans="1:16" ht="15.75" customHeight="1" x14ac:dyDescent="0.25">
      <c r="A731" s="179"/>
      <c r="B731" s="186"/>
      <c r="C731" s="187"/>
      <c r="D731" s="188"/>
      <c r="E731" s="187"/>
      <c r="F731" s="189"/>
      <c r="G731" s="189"/>
      <c r="H731" s="188"/>
      <c r="I731" s="187"/>
      <c r="J731" s="180"/>
      <c r="K731" s="182"/>
      <c r="L731" s="172"/>
      <c r="M731" s="180"/>
      <c r="N731" s="183"/>
      <c r="O731" s="184"/>
      <c r="P731" s="185"/>
    </row>
    <row r="732" spans="1:16" ht="15.75" customHeight="1" x14ac:dyDescent="0.25">
      <c r="A732" s="179"/>
      <c r="B732" s="186"/>
      <c r="C732" s="187"/>
      <c r="D732" s="188"/>
      <c r="E732" s="187"/>
      <c r="F732" s="189"/>
      <c r="G732" s="189"/>
      <c r="H732" s="188"/>
      <c r="I732" s="187"/>
      <c r="J732" s="180"/>
      <c r="K732" s="182"/>
      <c r="L732" s="172"/>
      <c r="M732" s="180"/>
      <c r="N732" s="183"/>
      <c r="O732" s="184"/>
      <c r="P732" s="185"/>
    </row>
    <row r="733" spans="1:16" ht="15.75" customHeight="1" x14ac:dyDescent="0.25">
      <c r="A733" s="179"/>
      <c r="B733" s="186"/>
      <c r="C733" s="187"/>
      <c r="D733" s="188"/>
      <c r="E733" s="187"/>
      <c r="F733" s="189"/>
      <c r="G733" s="189"/>
      <c r="H733" s="188"/>
      <c r="I733" s="187"/>
      <c r="J733" s="180"/>
      <c r="K733" s="182"/>
      <c r="L733" s="172"/>
      <c r="M733" s="180"/>
      <c r="N733" s="183"/>
      <c r="O733" s="184"/>
      <c r="P733" s="185"/>
    </row>
    <row r="734" spans="1:16" ht="15.75" customHeight="1" x14ac:dyDescent="0.25">
      <c r="A734" s="179"/>
      <c r="B734" s="186"/>
      <c r="C734" s="187"/>
      <c r="D734" s="188"/>
      <c r="E734" s="187"/>
      <c r="F734" s="189"/>
      <c r="G734" s="189"/>
      <c r="H734" s="188"/>
      <c r="I734" s="187"/>
      <c r="J734" s="180"/>
      <c r="K734" s="182"/>
      <c r="L734" s="172"/>
      <c r="M734" s="180"/>
      <c r="N734" s="183"/>
      <c r="O734" s="184"/>
      <c r="P734" s="185"/>
    </row>
    <row r="735" spans="1:16" ht="15.75" customHeight="1" x14ac:dyDescent="0.25">
      <c r="A735" s="179"/>
      <c r="B735" s="186"/>
      <c r="C735" s="187"/>
      <c r="D735" s="188"/>
      <c r="E735" s="187"/>
      <c r="F735" s="189"/>
      <c r="G735" s="189"/>
      <c r="H735" s="188"/>
      <c r="I735" s="187"/>
      <c r="J735" s="180"/>
      <c r="K735" s="182"/>
      <c r="L735" s="172"/>
      <c r="M735" s="180"/>
      <c r="N735" s="183"/>
      <c r="O735" s="184"/>
      <c r="P735" s="185"/>
    </row>
    <row r="736" spans="1:16" ht="15.75" customHeight="1" x14ac:dyDescent="0.25">
      <c r="A736" s="179"/>
      <c r="B736" s="186"/>
      <c r="C736" s="187"/>
      <c r="D736" s="188"/>
      <c r="E736" s="187"/>
      <c r="F736" s="189"/>
      <c r="G736" s="189"/>
      <c r="H736" s="188"/>
      <c r="I736" s="187"/>
      <c r="J736" s="180"/>
      <c r="K736" s="182"/>
      <c r="L736" s="172"/>
      <c r="M736" s="180"/>
      <c r="N736" s="183"/>
      <c r="O736" s="184"/>
      <c r="P736" s="185"/>
    </row>
    <row r="737" spans="1:16" ht="15.75" customHeight="1" x14ac:dyDescent="0.25">
      <c r="A737" s="179"/>
      <c r="B737" s="186"/>
      <c r="C737" s="187"/>
      <c r="D737" s="188"/>
      <c r="E737" s="187"/>
      <c r="F737" s="189"/>
      <c r="G737" s="189"/>
      <c r="H737" s="188"/>
      <c r="I737" s="187"/>
      <c r="J737" s="180"/>
      <c r="K737" s="182"/>
      <c r="L737" s="172"/>
      <c r="M737" s="180"/>
      <c r="N737" s="183"/>
      <c r="O737" s="184"/>
      <c r="P737" s="185"/>
    </row>
    <row r="738" spans="1:16" ht="15.75" customHeight="1" x14ac:dyDescent="0.25">
      <c r="A738" s="179"/>
      <c r="B738" s="186"/>
      <c r="C738" s="187"/>
      <c r="D738" s="188"/>
      <c r="E738" s="187"/>
      <c r="F738" s="189"/>
      <c r="G738" s="189"/>
      <c r="H738" s="188"/>
      <c r="I738" s="187"/>
      <c r="J738" s="180"/>
      <c r="K738" s="182"/>
      <c r="L738" s="172"/>
      <c r="M738" s="180"/>
      <c r="N738" s="183"/>
      <c r="O738" s="184"/>
      <c r="P738" s="185"/>
    </row>
    <row r="739" spans="1:16" ht="15.75" customHeight="1" x14ac:dyDescent="0.25">
      <c r="A739" s="179"/>
      <c r="B739" s="186"/>
      <c r="C739" s="187"/>
      <c r="D739" s="188"/>
      <c r="E739" s="187"/>
      <c r="F739" s="189"/>
      <c r="G739" s="189"/>
      <c r="H739" s="188"/>
      <c r="I739" s="187"/>
      <c r="J739" s="180"/>
      <c r="K739" s="182"/>
      <c r="L739" s="172"/>
      <c r="M739" s="180"/>
      <c r="N739" s="183"/>
      <c r="O739" s="184"/>
      <c r="P739" s="185"/>
    </row>
    <row r="740" spans="1:16" ht="15.75" customHeight="1" x14ac:dyDescent="0.25">
      <c r="A740" s="179"/>
      <c r="B740" s="186"/>
      <c r="C740" s="187"/>
      <c r="D740" s="188"/>
      <c r="E740" s="187"/>
      <c r="F740" s="189"/>
      <c r="G740" s="189"/>
      <c r="H740" s="188"/>
      <c r="I740" s="187"/>
      <c r="J740" s="180"/>
      <c r="K740" s="182"/>
      <c r="L740" s="172"/>
      <c r="M740" s="180"/>
      <c r="N740" s="183"/>
      <c r="O740" s="184"/>
      <c r="P740" s="185"/>
    </row>
    <row r="741" spans="1:16" ht="15.75" customHeight="1" x14ac:dyDescent="0.25">
      <c r="A741" s="179"/>
      <c r="B741" s="186"/>
      <c r="C741" s="187"/>
      <c r="D741" s="188"/>
      <c r="E741" s="187"/>
      <c r="F741" s="189"/>
      <c r="G741" s="189"/>
      <c r="H741" s="188"/>
      <c r="I741" s="187"/>
      <c r="J741" s="180"/>
      <c r="K741" s="182"/>
      <c r="L741" s="172"/>
      <c r="M741" s="180"/>
      <c r="N741" s="183"/>
      <c r="O741" s="184"/>
      <c r="P741" s="185"/>
    </row>
    <row r="742" spans="1:16" ht="15.75" customHeight="1" x14ac:dyDescent="0.25">
      <c r="A742" s="179"/>
      <c r="B742" s="186"/>
      <c r="C742" s="187"/>
      <c r="D742" s="188"/>
      <c r="E742" s="187"/>
      <c r="F742" s="189"/>
      <c r="G742" s="189"/>
      <c r="H742" s="188"/>
      <c r="I742" s="187"/>
      <c r="J742" s="180"/>
      <c r="K742" s="182"/>
      <c r="L742" s="172"/>
      <c r="M742" s="180"/>
      <c r="N742" s="183"/>
      <c r="O742" s="184"/>
      <c r="P742" s="185"/>
    </row>
    <row r="743" spans="1:16" ht="15.75" customHeight="1" x14ac:dyDescent="0.25">
      <c r="A743" s="179"/>
      <c r="B743" s="186"/>
      <c r="C743" s="187"/>
      <c r="D743" s="188"/>
      <c r="E743" s="187"/>
      <c r="F743" s="189"/>
      <c r="G743" s="189"/>
      <c r="H743" s="188"/>
      <c r="I743" s="187"/>
      <c r="J743" s="180"/>
      <c r="K743" s="182"/>
      <c r="L743" s="172"/>
      <c r="M743" s="180"/>
      <c r="N743" s="183"/>
      <c r="O743" s="184"/>
      <c r="P743" s="185"/>
    </row>
    <row r="744" spans="1:16" ht="15.75" customHeight="1" x14ac:dyDescent="0.25">
      <c r="A744" s="179"/>
      <c r="B744" s="186"/>
      <c r="C744" s="187"/>
      <c r="D744" s="188"/>
      <c r="E744" s="187"/>
      <c r="F744" s="189"/>
      <c r="G744" s="189"/>
      <c r="H744" s="188"/>
      <c r="I744" s="187"/>
      <c r="J744" s="180"/>
      <c r="K744" s="182"/>
      <c r="L744" s="172"/>
      <c r="M744" s="180"/>
      <c r="N744" s="183"/>
      <c r="O744" s="184"/>
      <c r="P744" s="185"/>
    </row>
    <row r="745" spans="1:16" ht="15.75" customHeight="1" x14ac:dyDescent="0.25">
      <c r="A745" s="179"/>
      <c r="B745" s="186"/>
      <c r="C745" s="187"/>
      <c r="D745" s="188"/>
      <c r="E745" s="187"/>
      <c r="F745" s="189"/>
      <c r="G745" s="189"/>
      <c r="H745" s="188"/>
      <c r="I745" s="187"/>
      <c r="J745" s="180"/>
      <c r="K745" s="182"/>
      <c r="L745" s="172"/>
      <c r="M745" s="180"/>
      <c r="N745" s="183"/>
      <c r="O745" s="184"/>
      <c r="P745" s="185"/>
    </row>
    <row r="746" spans="1:16" ht="15.75" customHeight="1" x14ac:dyDescent="0.25">
      <c r="A746" s="179"/>
      <c r="B746" s="186"/>
      <c r="C746" s="187"/>
      <c r="D746" s="188"/>
      <c r="E746" s="187"/>
      <c r="F746" s="189"/>
      <c r="G746" s="189"/>
      <c r="H746" s="188"/>
      <c r="I746" s="187"/>
      <c r="J746" s="180"/>
      <c r="K746" s="182"/>
      <c r="L746" s="172"/>
      <c r="M746" s="180"/>
      <c r="N746" s="183"/>
      <c r="O746" s="184"/>
      <c r="P746" s="185"/>
    </row>
    <row r="747" spans="1:16" ht="15.75" customHeight="1" x14ac:dyDescent="0.25">
      <c r="A747" s="179"/>
      <c r="B747" s="186"/>
      <c r="C747" s="187"/>
      <c r="D747" s="188"/>
      <c r="E747" s="187"/>
      <c r="F747" s="189"/>
      <c r="G747" s="189"/>
      <c r="H747" s="188"/>
      <c r="I747" s="187"/>
      <c r="J747" s="180"/>
      <c r="K747" s="182"/>
      <c r="L747" s="172"/>
      <c r="M747" s="180"/>
      <c r="N747" s="183"/>
      <c r="O747" s="184"/>
      <c r="P747" s="185"/>
    </row>
    <row r="748" spans="1:16" ht="15.75" customHeight="1" x14ac:dyDescent="0.25">
      <c r="A748" s="179"/>
      <c r="B748" s="186"/>
      <c r="C748" s="187"/>
      <c r="D748" s="188"/>
      <c r="E748" s="187"/>
      <c r="F748" s="189"/>
      <c r="G748" s="189"/>
      <c r="H748" s="188"/>
      <c r="I748" s="187"/>
      <c r="J748" s="180"/>
      <c r="K748" s="182"/>
      <c r="L748" s="172"/>
      <c r="M748" s="180"/>
      <c r="N748" s="183"/>
      <c r="O748" s="184"/>
      <c r="P748" s="185"/>
    </row>
    <row r="749" spans="1:16" ht="15.75" customHeight="1" x14ac:dyDescent="0.25">
      <c r="A749" s="179"/>
      <c r="B749" s="186"/>
      <c r="C749" s="187"/>
      <c r="D749" s="188"/>
      <c r="E749" s="187"/>
      <c r="F749" s="189"/>
      <c r="G749" s="189"/>
      <c r="H749" s="188"/>
      <c r="I749" s="187"/>
      <c r="J749" s="180"/>
      <c r="K749" s="182"/>
      <c r="L749" s="172"/>
      <c r="M749" s="180"/>
      <c r="N749" s="183"/>
      <c r="O749" s="184"/>
      <c r="P749" s="185"/>
    </row>
    <row r="750" spans="1:16" ht="15.75" customHeight="1" x14ac:dyDescent="0.25">
      <c r="A750" s="179"/>
      <c r="B750" s="186"/>
      <c r="C750" s="187"/>
      <c r="D750" s="188"/>
      <c r="E750" s="187"/>
      <c r="F750" s="189"/>
      <c r="G750" s="189"/>
      <c r="H750" s="188"/>
      <c r="I750" s="187"/>
      <c r="J750" s="180"/>
      <c r="K750" s="182"/>
      <c r="L750" s="172"/>
      <c r="M750" s="180"/>
      <c r="N750" s="183"/>
      <c r="O750" s="184"/>
      <c r="P750" s="185"/>
    </row>
    <row r="751" spans="1:16" ht="15.75" customHeight="1" x14ac:dyDescent="0.25">
      <c r="A751" s="179"/>
      <c r="B751" s="186"/>
      <c r="C751" s="187"/>
      <c r="D751" s="188"/>
      <c r="E751" s="187"/>
      <c r="F751" s="189"/>
      <c r="G751" s="189"/>
      <c r="H751" s="188"/>
      <c r="I751" s="187"/>
      <c r="J751" s="180"/>
      <c r="K751" s="182"/>
      <c r="L751" s="172"/>
      <c r="M751" s="180"/>
      <c r="N751" s="183"/>
      <c r="O751" s="184"/>
      <c r="P751" s="185"/>
    </row>
    <row r="752" spans="1:16" ht="15.75" customHeight="1" x14ac:dyDescent="0.25">
      <c r="A752" s="179"/>
      <c r="B752" s="186"/>
      <c r="C752" s="187"/>
      <c r="D752" s="188"/>
      <c r="E752" s="187"/>
      <c r="F752" s="189"/>
      <c r="G752" s="189"/>
      <c r="H752" s="188"/>
      <c r="I752" s="187"/>
      <c r="J752" s="180"/>
      <c r="K752" s="182"/>
      <c r="L752" s="172"/>
      <c r="M752" s="180"/>
      <c r="N752" s="183"/>
      <c r="O752" s="184"/>
      <c r="P752" s="185"/>
    </row>
    <row r="753" spans="1:16" ht="15.75" customHeight="1" x14ac:dyDescent="0.25">
      <c r="A753" s="179"/>
      <c r="B753" s="186"/>
      <c r="C753" s="187"/>
      <c r="D753" s="188"/>
      <c r="E753" s="187"/>
      <c r="F753" s="189"/>
      <c r="G753" s="189"/>
      <c r="H753" s="188"/>
      <c r="I753" s="187"/>
      <c r="J753" s="180"/>
      <c r="K753" s="182"/>
      <c r="L753" s="172"/>
      <c r="M753" s="180"/>
      <c r="N753" s="183"/>
      <c r="O753" s="184"/>
      <c r="P753" s="185"/>
    </row>
    <row r="754" spans="1:16" ht="15.75" customHeight="1" x14ac:dyDescent="0.25">
      <c r="A754" s="179"/>
      <c r="B754" s="186"/>
      <c r="C754" s="187"/>
      <c r="D754" s="188"/>
      <c r="E754" s="187"/>
      <c r="F754" s="189"/>
      <c r="G754" s="189"/>
      <c r="H754" s="188"/>
      <c r="I754" s="187"/>
      <c r="J754" s="180"/>
      <c r="K754" s="182"/>
      <c r="L754" s="172"/>
      <c r="M754" s="180"/>
      <c r="N754" s="183"/>
      <c r="O754" s="184"/>
      <c r="P754" s="185"/>
    </row>
    <row r="755" spans="1:16" ht="15.75" customHeight="1" x14ac:dyDescent="0.25">
      <c r="A755" s="179"/>
      <c r="B755" s="186"/>
      <c r="C755" s="187"/>
      <c r="D755" s="188"/>
      <c r="E755" s="187"/>
      <c r="F755" s="189"/>
      <c r="G755" s="189"/>
      <c r="H755" s="188"/>
      <c r="I755" s="187"/>
      <c r="J755" s="180"/>
      <c r="K755" s="182"/>
      <c r="L755" s="172"/>
      <c r="M755" s="180"/>
      <c r="N755" s="183"/>
      <c r="O755" s="184"/>
      <c r="P755" s="185"/>
    </row>
    <row r="756" spans="1:16" ht="15.75" customHeight="1" x14ac:dyDescent="0.25">
      <c r="A756" s="179"/>
      <c r="B756" s="186"/>
      <c r="C756" s="187"/>
      <c r="D756" s="188"/>
      <c r="E756" s="187"/>
      <c r="F756" s="189"/>
      <c r="G756" s="189"/>
      <c r="H756" s="188"/>
      <c r="I756" s="187"/>
      <c r="J756" s="180"/>
      <c r="K756" s="182"/>
      <c r="L756" s="172"/>
      <c r="M756" s="180"/>
      <c r="N756" s="183"/>
      <c r="O756" s="184"/>
      <c r="P756" s="185"/>
    </row>
    <row r="757" spans="1:16" ht="15.75" customHeight="1" x14ac:dyDescent="0.25">
      <c r="A757" s="179"/>
      <c r="B757" s="186"/>
      <c r="C757" s="187"/>
      <c r="D757" s="188"/>
      <c r="E757" s="187"/>
      <c r="F757" s="189"/>
      <c r="G757" s="189"/>
      <c r="H757" s="188"/>
      <c r="I757" s="187"/>
      <c r="J757" s="180"/>
      <c r="K757" s="182"/>
      <c r="L757" s="172"/>
      <c r="M757" s="180"/>
      <c r="N757" s="183"/>
      <c r="O757" s="184"/>
      <c r="P757" s="185"/>
    </row>
    <row r="758" spans="1:16" ht="15.75" customHeight="1" x14ac:dyDescent="0.25">
      <c r="A758" s="179"/>
      <c r="B758" s="186"/>
      <c r="C758" s="187"/>
      <c r="D758" s="188"/>
      <c r="E758" s="187"/>
      <c r="F758" s="189"/>
      <c r="G758" s="189"/>
      <c r="H758" s="188"/>
      <c r="I758" s="187"/>
      <c r="J758" s="180"/>
      <c r="K758" s="182"/>
      <c r="L758" s="172"/>
      <c r="M758" s="180"/>
      <c r="N758" s="183"/>
      <c r="O758" s="184"/>
      <c r="P758" s="185"/>
    </row>
    <row r="759" spans="1:16" ht="15.75" customHeight="1" x14ac:dyDescent="0.25">
      <c r="A759" s="179"/>
      <c r="B759" s="186"/>
      <c r="C759" s="187"/>
      <c r="D759" s="188"/>
      <c r="E759" s="187"/>
      <c r="F759" s="189"/>
      <c r="G759" s="189"/>
      <c r="H759" s="188"/>
      <c r="I759" s="187"/>
      <c r="J759" s="180"/>
      <c r="K759" s="182"/>
      <c r="L759" s="172"/>
      <c r="M759" s="180"/>
      <c r="N759" s="183"/>
      <c r="O759" s="184"/>
      <c r="P759" s="185"/>
    </row>
    <row r="760" spans="1:16" ht="15.75" customHeight="1" x14ac:dyDescent="0.25">
      <c r="A760" s="179"/>
      <c r="B760" s="186"/>
      <c r="C760" s="187"/>
      <c r="D760" s="188"/>
      <c r="E760" s="187"/>
      <c r="F760" s="189"/>
      <c r="G760" s="189"/>
      <c r="H760" s="188"/>
      <c r="I760" s="187"/>
      <c r="J760" s="180"/>
      <c r="K760" s="182"/>
      <c r="L760" s="172"/>
      <c r="M760" s="180"/>
      <c r="N760" s="183"/>
      <c r="O760" s="184"/>
      <c r="P760" s="185"/>
    </row>
    <row r="761" spans="1:16" ht="15.75" customHeight="1" x14ac:dyDescent="0.25">
      <c r="A761" s="179"/>
      <c r="B761" s="186"/>
      <c r="C761" s="187"/>
      <c r="D761" s="188"/>
      <c r="E761" s="187"/>
      <c r="F761" s="189"/>
      <c r="G761" s="189"/>
      <c r="H761" s="188"/>
      <c r="I761" s="187"/>
      <c r="J761" s="180"/>
      <c r="K761" s="182"/>
      <c r="L761" s="172"/>
      <c r="M761" s="180"/>
      <c r="N761" s="183"/>
      <c r="O761" s="184"/>
      <c r="P761" s="185"/>
    </row>
    <row r="762" spans="1:16" ht="15.75" customHeight="1" x14ac:dyDescent="0.25">
      <c r="A762" s="179"/>
      <c r="B762" s="186"/>
      <c r="C762" s="187"/>
      <c r="D762" s="188"/>
      <c r="E762" s="187"/>
      <c r="F762" s="189"/>
      <c r="G762" s="189"/>
      <c r="H762" s="188"/>
      <c r="I762" s="187"/>
      <c r="J762" s="180"/>
      <c r="K762" s="182"/>
      <c r="L762" s="172"/>
      <c r="M762" s="180"/>
      <c r="N762" s="183"/>
      <c r="O762" s="184"/>
      <c r="P762" s="185"/>
    </row>
    <row r="763" spans="1:16" ht="15.75" customHeight="1" x14ac:dyDescent="0.25">
      <c r="A763" s="179"/>
      <c r="B763" s="186"/>
      <c r="C763" s="187"/>
      <c r="D763" s="188"/>
      <c r="E763" s="187"/>
      <c r="F763" s="189"/>
      <c r="G763" s="189"/>
      <c r="H763" s="188"/>
      <c r="I763" s="187"/>
      <c r="J763" s="180"/>
      <c r="K763" s="182"/>
      <c r="L763" s="172"/>
      <c r="M763" s="180"/>
      <c r="N763" s="183"/>
      <c r="O763" s="184"/>
      <c r="P763" s="185"/>
    </row>
    <row r="764" spans="1:16" ht="15.75" customHeight="1" x14ac:dyDescent="0.25">
      <c r="A764" s="179"/>
      <c r="B764" s="186"/>
      <c r="C764" s="187"/>
      <c r="D764" s="188"/>
      <c r="E764" s="187"/>
      <c r="F764" s="189"/>
      <c r="G764" s="189"/>
      <c r="H764" s="188"/>
      <c r="I764" s="187"/>
      <c r="J764" s="180"/>
      <c r="K764" s="182"/>
      <c r="L764" s="172"/>
      <c r="M764" s="180"/>
      <c r="N764" s="183"/>
      <c r="O764" s="184"/>
      <c r="P764" s="185"/>
    </row>
    <row r="765" spans="1:16" ht="15.75" customHeight="1" x14ac:dyDescent="0.25">
      <c r="A765" s="179"/>
      <c r="B765" s="186"/>
      <c r="C765" s="187"/>
      <c r="D765" s="188"/>
      <c r="E765" s="187"/>
      <c r="F765" s="189"/>
      <c r="G765" s="189"/>
      <c r="H765" s="188"/>
      <c r="I765" s="187"/>
      <c r="J765" s="180"/>
      <c r="K765" s="182"/>
      <c r="L765" s="172"/>
      <c r="M765" s="180"/>
      <c r="N765" s="183"/>
      <c r="O765" s="184"/>
      <c r="P765" s="185"/>
    </row>
    <row r="766" spans="1:16" ht="15.75" customHeight="1" x14ac:dyDescent="0.25">
      <c r="A766" s="179"/>
      <c r="B766" s="186"/>
      <c r="C766" s="187"/>
      <c r="D766" s="188"/>
      <c r="E766" s="187"/>
      <c r="F766" s="189"/>
      <c r="G766" s="189"/>
      <c r="H766" s="188"/>
      <c r="I766" s="187"/>
      <c r="J766" s="180"/>
      <c r="K766" s="182"/>
      <c r="L766" s="172"/>
      <c r="M766" s="180"/>
      <c r="N766" s="183"/>
      <c r="O766" s="184"/>
      <c r="P766" s="185"/>
    </row>
    <row r="767" spans="1:16" ht="15.75" customHeight="1" x14ac:dyDescent="0.25">
      <c r="A767" s="179"/>
      <c r="B767" s="186"/>
      <c r="C767" s="187"/>
      <c r="D767" s="188"/>
      <c r="E767" s="187"/>
      <c r="F767" s="189"/>
      <c r="G767" s="189"/>
      <c r="H767" s="188"/>
      <c r="I767" s="187"/>
      <c r="J767" s="180"/>
      <c r="K767" s="182"/>
      <c r="L767" s="172"/>
      <c r="M767" s="180"/>
      <c r="N767" s="183"/>
      <c r="O767" s="184"/>
      <c r="P767" s="185"/>
    </row>
    <row r="768" spans="1:16" ht="15.75" customHeight="1" x14ac:dyDescent="0.25">
      <c r="A768" s="179"/>
      <c r="B768" s="186"/>
      <c r="C768" s="187"/>
      <c r="D768" s="188"/>
      <c r="E768" s="187"/>
      <c r="F768" s="189"/>
      <c r="G768" s="189"/>
      <c r="H768" s="188"/>
      <c r="I768" s="187"/>
      <c r="J768" s="180"/>
      <c r="K768" s="182"/>
      <c r="L768" s="172"/>
      <c r="M768" s="180"/>
      <c r="N768" s="183"/>
      <c r="O768" s="184"/>
      <c r="P768" s="185"/>
    </row>
    <row r="769" spans="1:16" ht="15.75" customHeight="1" x14ac:dyDescent="0.25">
      <c r="A769" s="179"/>
      <c r="B769" s="186"/>
      <c r="C769" s="187"/>
      <c r="D769" s="188"/>
      <c r="E769" s="187"/>
      <c r="F769" s="189"/>
      <c r="G769" s="189"/>
      <c r="H769" s="188"/>
      <c r="I769" s="187"/>
      <c r="J769" s="180"/>
      <c r="K769" s="182"/>
      <c r="L769" s="172"/>
      <c r="M769" s="180"/>
      <c r="N769" s="183"/>
      <c r="O769" s="184"/>
      <c r="P769" s="185"/>
    </row>
    <row r="770" spans="1:16" ht="15.75" customHeight="1" x14ac:dyDescent="0.25">
      <c r="A770" s="179"/>
      <c r="B770" s="186"/>
      <c r="C770" s="187"/>
      <c r="D770" s="188"/>
      <c r="E770" s="187"/>
      <c r="F770" s="189"/>
      <c r="G770" s="189"/>
      <c r="H770" s="188"/>
      <c r="I770" s="187"/>
      <c r="J770" s="180"/>
      <c r="K770" s="182"/>
      <c r="L770" s="172"/>
      <c r="M770" s="180"/>
      <c r="N770" s="183"/>
      <c r="O770" s="184"/>
      <c r="P770" s="185"/>
    </row>
    <row r="771" spans="1:16" ht="15.75" customHeight="1" x14ac:dyDescent="0.25">
      <c r="A771" s="179"/>
      <c r="B771" s="186"/>
      <c r="C771" s="187"/>
      <c r="D771" s="188"/>
      <c r="E771" s="187"/>
      <c r="F771" s="189"/>
      <c r="G771" s="189"/>
      <c r="H771" s="188"/>
      <c r="I771" s="187"/>
      <c r="J771" s="180"/>
      <c r="K771" s="182"/>
      <c r="L771" s="172"/>
      <c r="M771" s="180"/>
      <c r="N771" s="183"/>
      <c r="O771" s="184"/>
      <c r="P771" s="185"/>
    </row>
    <row r="772" spans="1:16" ht="15.75" customHeight="1" x14ac:dyDescent="0.25">
      <c r="A772" s="179"/>
      <c r="B772" s="186"/>
      <c r="C772" s="187"/>
      <c r="D772" s="188"/>
      <c r="E772" s="187"/>
      <c r="F772" s="189"/>
      <c r="G772" s="189"/>
      <c r="H772" s="188"/>
      <c r="I772" s="187"/>
      <c r="J772" s="180"/>
      <c r="K772" s="182"/>
      <c r="L772" s="172"/>
      <c r="M772" s="180"/>
      <c r="N772" s="183"/>
      <c r="O772" s="184"/>
      <c r="P772" s="185"/>
    </row>
    <row r="773" spans="1:16" ht="15.75" customHeight="1" x14ac:dyDescent="0.25">
      <c r="A773" s="179"/>
      <c r="B773" s="186"/>
      <c r="C773" s="187"/>
      <c r="D773" s="188"/>
      <c r="E773" s="187"/>
      <c r="F773" s="189"/>
      <c r="G773" s="189"/>
      <c r="H773" s="188"/>
      <c r="I773" s="187"/>
      <c r="J773" s="180"/>
      <c r="K773" s="182"/>
      <c r="L773" s="172"/>
      <c r="M773" s="180"/>
      <c r="N773" s="183"/>
      <c r="O773" s="184"/>
      <c r="P773" s="185"/>
    </row>
    <row r="774" spans="1:16" ht="15.75" customHeight="1" x14ac:dyDescent="0.25">
      <c r="A774" s="179"/>
      <c r="B774" s="186"/>
      <c r="C774" s="187"/>
      <c r="D774" s="188"/>
      <c r="E774" s="187"/>
      <c r="F774" s="189"/>
      <c r="G774" s="189"/>
      <c r="H774" s="188"/>
      <c r="I774" s="187"/>
      <c r="J774" s="180"/>
      <c r="K774" s="182"/>
      <c r="L774" s="172"/>
      <c r="M774" s="180"/>
      <c r="N774" s="183"/>
      <c r="O774" s="184"/>
      <c r="P774" s="185"/>
    </row>
    <row r="775" spans="1:16" ht="15.75" customHeight="1" x14ac:dyDescent="0.25">
      <c r="A775" s="179"/>
      <c r="B775" s="186"/>
      <c r="C775" s="187"/>
      <c r="D775" s="188"/>
      <c r="E775" s="187"/>
      <c r="F775" s="189"/>
      <c r="G775" s="189"/>
      <c r="H775" s="188"/>
      <c r="I775" s="187"/>
      <c r="J775" s="180"/>
      <c r="K775" s="182"/>
      <c r="L775" s="172"/>
      <c r="M775" s="180"/>
      <c r="N775" s="183"/>
      <c r="O775" s="184"/>
      <c r="P775" s="185"/>
    </row>
    <row r="776" spans="1:16" ht="15.75" customHeight="1" x14ac:dyDescent="0.25">
      <c r="A776" s="179"/>
      <c r="B776" s="186"/>
      <c r="C776" s="187"/>
      <c r="D776" s="188"/>
      <c r="E776" s="187"/>
      <c r="F776" s="189"/>
      <c r="G776" s="189"/>
      <c r="H776" s="188"/>
      <c r="I776" s="187"/>
      <c r="J776" s="180"/>
      <c r="K776" s="182"/>
      <c r="L776" s="172"/>
      <c r="M776" s="180"/>
      <c r="N776" s="183"/>
      <c r="O776" s="184"/>
      <c r="P776" s="185"/>
    </row>
    <row r="777" spans="1:16" ht="15.75" customHeight="1" x14ac:dyDescent="0.25">
      <c r="A777" s="179"/>
      <c r="B777" s="186"/>
      <c r="C777" s="187"/>
      <c r="D777" s="188"/>
      <c r="E777" s="187"/>
      <c r="F777" s="189"/>
      <c r="G777" s="189"/>
      <c r="H777" s="188"/>
      <c r="I777" s="187"/>
      <c r="J777" s="180"/>
      <c r="K777" s="182"/>
      <c r="L777" s="172"/>
      <c r="M777" s="180"/>
      <c r="N777" s="183"/>
      <c r="O777" s="184"/>
      <c r="P777" s="185"/>
    </row>
    <row r="778" spans="1:16" ht="15.75" customHeight="1" x14ac:dyDescent="0.25">
      <c r="A778" s="179"/>
      <c r="B778" s="186"/>
      <c r="C778" s="187"/>
      <c r="D778" s="188"/>
      <c r="E778" s="187"/>
      <c r="F778" s="189"/>
      <c r="G778" s="189"/>
      <c r="H778" s="188"/>
      <c r="I778" s="187"/>
      <c r="J778" s="180"/>
      <c r="K778" s="182"/>
      <c r="L778" s="172"/>
      <c r="M778" s="180"/>
      <c r="N778" s="183"/>
      <c r="O778" s="184"/>
      <c r="P778" s="185"/>
    </row>
    <row r="779" spans="1:16" ht="15.75" customHeight="1" x14ac:dyDescent="0.25">
      <c r="A779" s="179"/>
      <c r="B779" s="186"/>
      <c r="C779" s="187"/>
      <c r="D779" s="188"/>
      <c r="E779" s="187"/>
      <c r="F779" s="189"/>
      <c r="G779" s="189"/>
      <c r="H779" s="188"/>
      <c r="I779" s="187"/>
      <c r="J779" s="180"/>
      <c r="K779" s="182"/>
      <c r="L779" s="172"/>
      <c r="M779" s="180"/>
      <c r="N779" s="183"/>
      <c r="O779" s="184"/>
      <c r="P779" s="185"/>
    </row>
    <row r="780" spans="1:16" ht="15.75" customHeight="1" x14ac:dyDescent="0.25">
      <c r="A780" s="179"/>
      <c r="B780" s="186"/>
      <c r="C780" s="187"/>
      <c r="D780" s="188"/>
      <c r="E780" s="187"/>
      <c r="F780" s="189"/>
      <c r="G780" s="189"/>
      <c r="H780" s="188"/>
      <c r="I780" s="187"/>
      <c r="J780" s="180"/>
      <c r="K780" s="182"/>
      <c r="L780" s="172"/>
      <c r="M780" s="180"/>
      <c r="N780" s="183"/>
      <c r="O780" s="184"/>
      <c r="P780" s="185"/>
    </row>
    <row r="781" spans="1:16" ht="15.75" customHeight="1" x14ac:dyDescent="0.25">
      <c r="A781" s="179"/>
      <c r="B781" s="186"/>
      <c r="C781" s="187"/>
      <c r="D781" s="188"/>
      <c r="E781" s="187"/>
      <c r="F781" s="189"/>
      <c r="G781" s="189"/>
      <c r="H781" s="188"/>
      <c r="I781" s="187"/>
      <c r="J781" s="180"/>
      <c r="K781" s="182"/>
      <c r="L781" s="172"/>
      <c r="M781" s="180"/>
      <c r="N781" s="183"/>
      <c r="O781" s="184"/>
      <c r="P781" s="185"/>
    </row>
    <row r="782" spans="1:16" ht="15.75" customHeight="1" x14ac:dyDescent="0.25">
      <c r="A782" s="179"/>
      <c r="B782" s="186"/>
      <c r="C782" s="187"/>
      <c r="D782" s="188"/>
      <c r="E782" s="187"/>
      <c r="F782" s="189"/>
      <c r="G782" s="189"/>
      <c r="H782" s="188"/>
      <c r="I782" s="187"/>
      <c r="J782" s="180"/>
      <c r="K782" s="182"/>
      <c r="L782" s="172"/>
      <c r="M782" s="180"/>
      <c r="N782" s="183"/>
      <c r="O782" s="184"/>
      <c r="P782" s="185"/>
    </row>
    <row r="783" spans="1:16" ht="15.75" customHeight="1" x14ac:dyDescent="0.25">
      <c r="A783" s="179"/>
      <c r="B783" s="186"/>
      <c r="C783" s="187"/>
      <c r="D783" s="188"/>
      <c r="E783" s="187"/>
      <c r="F783" s="189"/>
      <c r="G783" s="189"/>
      <c r="H783" s="188"/>
      <c r="I783" s="187"/>
      <c r="J783" s="180"/>
      <c r="K783" s="182"/>
      <c r="L783" s="172"/>
      <c r="M783" s="180"/>
      <c r="N783" s="183"/>
      <c r="O783" s="184"/>
      <c r="P783" s="185"/>
    </row>
    <row r="784" spans="1:16" ht="15.75" customHeight="1" x14ac:dyDescent="0.25">
      <c r="A784" s="179"/>
      <c r="B784" s="186"/>
      <c r="C784" s="187"/>
      <c r="D784" s="188"/>
      <c r="E784" s="187"/>
      <c r="F784" s="189"/>
      <c r="G784" s="189"/>
      <c r="H784" s="188"/>
      <c r="I784" s="187"/>
      <c r="J784" s="180"/>
      <c r="K784" s="182"/>
      <c r="L784" s="172"/>
      <c r="M784" s="180"/>
      <c r="N784" s="183"/>
      <c r="O784" s="184"/>
      <c r="P784" s="185"/>
    </row>
    <row r="785" spans="1:16" ht="15.75" customHeight="1" x14ac:dyDescent="0.25">
      <c r="A785" s="179"/>
      <c r="B785" s="186"/>
      <c r="C785" s="187"/>
      <c r="D785" s="188"/>
      <c r="E785" s="187"/>
      <c r="F785" s="189"/>
      <c r="G785" s="189"/>
      <c r="H785" s="188"/>
      <c r="I785" s="187"/>
      <c r="J785" s="180"/>
      <c r="K785" s="182"/>
      <c r="L785" s="172"/>
      <c r="M785" s="180"/>
      <c r="N785" s="183"/>
      <c r="O785" s="184"/>
      <c r="P785" s="185"/>
    </row>
    <row r="786" spans="1:16" ht="15.75" customHeight="1" x14ac:dyDescent="0.25">
      <c r="A786" s="179"/>
      <c r="B786" s="186"/>
      <c r="C786" s="187"/>
      <c r="D786" s="188"/>
      <c r="E786" s="187"/>
      <c r="F786" s="189"/>
      <c r="G786" s="189"/>
      <c r="H786" s="188"/>
      <c r="I786" s="187"/>
      <c r="J786" s="180"/>
      <c r="K786" s="182"/>
      <c r="L786" s="172"/>
      <c r="M786" s="180"/>
      <c r="N786" s="183"/>
      <c r="O786" s="184"/>
      <c r="P786" s="185"/>
    </row>
    <row r="787" spans="1:16" ht="15.75" customHeight="1" x14ac:dyDescent="0.25">
      <c r="A787" s="179"/>
      <c r="B787" s="186"/>
      <c r="C787" s="187"/>
      <c r="D787" s="188"/>
      <c r="E787" s="187"/>
      <c r="F787" s="189"/>
      <c r="G787" s="189"/>
      <c r="H787" s="188"/>
      <c r="I787" s="187"/>
      <c r="J787" s="180"/>
      <c r="K787" s="182"/>
      <c r="L787" s="172"/>
      <c r="M787" s="180"/>
      <c r="N787" s="183"/>
      <c r="O787" s="184"/>
      <c r="P787" s="185"/>
    </row>
    <row r="788" spans="1:16" ht="15.75" customHeight="1" x14ac:dyDescent="0.25">
      <c r="A788" s="179"/>
      <c r="B788" s="186"/>
      <c r="C788" s="187"/>
      <c r="D788" s="188"/>
      <c r="E788" s="187"/>
      <c r="F788" s="189"/>
      <c r="G788" s="189"/>
      <c r="H788" s="188"/>
      <c r="I788" s="187"/>
      <c r="J788" s="180"/>
      <c r="K788" s="182"/>
      <c r="L788" s="172"/>
      <c r="M788" s="180"/>
      <c r="N788" s="183"/>
      <c r="O788" s="184"/>
      <c r="P788" s="185"/>
    </row>
    <row r="789" spans="1:16" ht="15.75" customHeight="1" x14ac:dyDescent="0.25">
      <c r="A789" s="179"/>
      <c r="B789" s="186"/>
      <c r="C789" s="187"/>
      <c r="D789" s="188"/>
      <c r="E789" s="187"/>
      <c r="F789" s="189"/>
      <c r="G789" s="189"/>
      <c r="H789" s="188"/>
      <c r="I789" s="187"/>
      <c r="J789" s="180"/>
      <c r="K789" s="182"/>
      <c r="L789" s="172"/>
      <c r="M789" s="180"/>
      <c r="N789" s="183"/>
      <c r="O789" s="184"/>
      <c r="P789" s="185"/>
    </row>
    <row r="790" spans="1:16" ht="15.75" customHeight="1" x14ac:dyDescent="0.25">
      <c r="A790" s="179"/>
      <c r="B790" s="186"/>
      <c r="C790" s="187"/>
      <c r="D790" s="188"/>
      <c r="E790" s="187"/>
      <c r="F790" s="189"/>
      <c r="G790" s="189"/>
      <c r="H790" s="188"/>
      <c r="I790" s="187"/>
      <c r="J790" s="180"/>
      <c r="K790" s="182"/>
      <c r="L790" s="172"/>
      <c r="M790" s="180"/>
      <c r="N790" s="183"/>
      <c r="O790" s="184"/>
      <c r="P790" s="185"/>
    </row>
    <row r="791" spans="1:16" ht="15.75" customHeight="1" x14ac:dyDescent="0.25">
      <c r="A791" s="179"/>
      <c r="B791" s="186"/>
      <c r="C791" s="187"/>
      <c r="D791" s="188"/>
      <c r="E791" s="187"/>
      <c r="F791" s="189"/>
      <c r="G791" s="189"/>
      <c r="H791" s="188"/>
      <c r="I791" s="187"/>
      <c r="J791" s="180"/>
      <c r="K791" s="182"/>
      <c r="L791" s="172"/>
      <c r="M791" s="180"/>
      <c r="N791" s="183"/>
      <c r="O791" s="184"/>
      <c r="P791" s="185"/>
    </row>
    <row r="792" spans="1:16" ht="15.75" customHeight="1" x14ac:dyDescent="0.25">
      <c r="A792" s="179"/>
      <c r="B792" s="186"/>
      <c r="C792" s="187"/>
      <c r="D792" s="188"/>
      <c r="E792" s="187"/>
      <c r="F792" s="189"/>
      <c r="G792" s="189"/>
      <c r="H792" s="188"/>
      <c r="I792" s="187"/>
      <c r="J792" s="180"/>
      <c r="K792" s="182"/>
      <c r="L792" s="172"/>
      <c r="M792" s="180"/>
      <c r="N792" s="183"/>
      <c r="O792" s="184"/>
      <c r="P792" s="185"/>
    </row>
    <row r="793" spans="1:16" ht="15.75" customHeight="1" x14ac:dyDescent="0.25">
      <c r="A793" s="179"/>
      <c r="B793" s="186"/>
      <c r="C793" s="187"/>
      <c r="D793" s="188"/>
      <c r="E793" s="187"/>
      <c r="F793" s="189"/>
      <c r="G793" s="189"/>
      <c r="H793" s="188"/>
      <c r="I793" s="187"/>
      <c r="J793" s="180"/>
      <c r="K793" s="182"/>
      <c r="L793" s="172"/>
      <c r="M793" s="180"/>
      <c r="N793" s="183"/>
      <c r="O793" s="184"/>
      <c r="P793" s="185"/>
    </row>
    <row r="794" spans="1:16" ht="15.75" customHeight="1" x14ac:dyDescent="0.25">
      <c r="A794" s="179"/>
      <c r="B794" s="186"/>
      <c r="C794" s="187"/>
      <c r="D794" s="188"/>
      <c r="E794" s="187"/>
      <c r="F794" s="189"/>
      <c r="G794" s="189"/>
      <c r="H794" s="188"/>
      <c r="I794" s="187"/>
      <c r="J794" s="180"/>
      <c r="K794" s="182"/>
      <c r="L794" s="172"/>
      <c r="M794" s="180"/>
      <c r="N794" s="183"/>
      <c r="O794" s="184"/>
      <c r="P794" s="185"/>
    </row>
    <row r="795" spans="1:16" ht="15.75" customHeight="1" x14ac:dyDescent="0.25">
      <c r="A795" s="179"/>
      <c r="B795" s="186"/>
      <c r="C795" s="187"/>
      <c r="D795" s="188"/>
      <c r="E795" s="187"/>
      <c r="F795" s="189"/>
      <c r="G795" s="189"/>
      <c r="H795" s="188"/>
      <c r="I795" s="187"/>
      <c r="J795" s="180"/>
      <c r="K795" s="182"/>
      <c r="L795" s="172"/>
      <c r="M795" s="180"/>
      <c r="N795" s="183"/>
      <c r="O795" s="184"/>
      <c r="P795" s="185"/>
    </row>
    <row r="796" spans="1:16" ht="15.75" customHeight="1" x14ac:dyDescent="0.25">
      <c r="A796" s="179"/>
      <c r="B796" s="186"/>
      <c r="C796" s="187"/>
      <c r="D796" s="188"/>
      <c r="E796" s="187"/>
      <c r="F796" s="189"/>
      <c r="G796" s="189"/>
      <c r="H796" s="188"/>
      <c r="I796" s="187"/>
      <c r="J796" s="180"/>
      <c r="K796" s="182"/>
      <c r="L796" s="172"/>
      <c r="M796" s="180"/>
      <c r="N796" s="183"/>
      <c r="O796" s="184"/>
      <c r="P796" s="185"/>
    </row>
    <row r="797" spans="1:16" ht="15.75" customHeight="1" x14ac:dyDescent="0.25">
      <c r="A797" s="179"/>
      <c r="B797" s="186"/>
      <c r="C797" s="187"/>
      <c r="D797" s="188"/>
      <c r="E797" s="187"/>
      <c r="F797" s="189"/>
      <c r="G797" s="189"/>
      <c r="H797" s="188"/>
      <c r="I797" s="187"/>
      <c r="J797" s="180"/>
      <c r="K797" s="182"/>
      <c r="L797" s="172"/>
      <c r="M797" s="180"/>
      <c r="N797" s="183"/>
      <c r="O797" s="184"/>
      <c r="P797" s="185"/>
    </row>
    <row r="798" spans="1:16" ht="15.75" customHeight="1" x14ac:dyDescent="0.25">
      <c r="A798" s="179"/>
      <c r="B798" s="186"/>
      <c r="C798" s="187"/>
      <c r="D798" s="188"/>
      <c r="E798" s="187"/>
      <c r="F798" s="189"/>
      <c r="G798" s="189"/>
      <c r="H798" s="188"/>
      <c r="I798" s="187"/>
      <c r="J798" s="180"/>
      <c r="K798" s="182"/>
      <c r="L798" s="172"/>
      <c r="M798" s="180"/>
      <c r="N798" s="183"/>
      <c r="O798" s="184"/>
      <c r="P798" s="185"/>
    </row>
    <row r="799" spans="1:16" ht="15.75" customHeight="1" x14ac:dyDescent="0.25">
      <c r="A799" s="179"/>
      <c r="B799" s="186"/>
      <c r="C799" s="187"/>
      <c r="D799" s="188"/>
      <c r="E799" s="187"/>
      <c r="F799" s="189"/>
      <c r="G799" s="189"/>
      <c r="H799" s="188"/>
      <c r="I799" s="187"/>
      <c r="J799" s="180"/>
      <c r="K799" s="182"/>
      <c r="L799" s="172"/>
      <c r="M799" s="180"/>
      <c r="N799" s="183"/>
      <c r="O799" s="184"/>
      <c r="P799" s="185"/>
    </row>
    <row r="800" spans="1:16" ht="15.75" customHeight="1" x14ac:dyDescent="0.25">
      <c r="A800" s="179"/>
      <c r="B800" s="186"/>
      <c r="C800" s="187"/>
      <c r="D800" s="188"/>
      <c r="E800" s="187"/>
      <c r="F800" s="189"/>
      <c r="G800" s="189"/>
      <c r="H800" s="188"/>
      <c r="I800" s="187"/>
      <c r="J800" s="180"/>
      <c r="K800" s="182"/>
      <c r="L800" s="172"/>
      <c r="M800" s="180"/>
      <c r="N800" s="183"/>
      <c r="O800" s="184"/>
      <c r="P800" s="185"/>
    </row>
    <row r="801" spans="1:16" ht="15.75" customHeight="1" x14ac:dyDescent="0.25">
      <c r="A801" s="179"/>
      <c r="B801" s="186"/>
      <c r="C801" s="187"/>
      <c r="D801" s="188"/>
      <c r="E801" s="187"/>
      <c r="F801" s="189"/>
      <c r="G801" s="189"/>
      <c r="H801" s="188"/>
      <c r="I801" s="187"/>
      <c r="J801" s="180"/>
      <c r="K801" s="182"/>
      <c r="L801" s="172"/>
      <c r="M801" s="180"/>
      <c r="N801" s="183"/>
      <c r="O801" s="184"/>
      <c r="P801" s="185"/>
    </row>
    <row r="802" spans="1:16" ht="15.75" customHeight="1" x14ac:dyDescent="0.25">
      <c r="A802" s="179"/>
      <c r="B802" s="186"/>
      <c r="C802" s="187"/>
      <c r="D802" s="188"/>
      <c r="E802" s="187"/>
      <c r="F802" s="189"/>
      <c r="G802" s="189"/>
      <c r="H802" s="188"/>
      <c r="I802" s="187"/>
      <c r="J802" s="180"/>
      <c r="K802" s="182"/>
      <c r="L802" s="172"/>
      <c r="M802" s="180"/>
      <c r="N802" s="183"/>
      <c r="O802" s="184"/>
      <c r="P802" s="185"/>
    </row>
    <row r="803" spans="1:16" ht="15.75" customHeight="1" x14ac:dyDescent="0.25">
      <c r="A803" s="179"/>
      <c r="B803" s="186"/>
      <c r="C803" s="187"/>
      <c r="D803" s="188"/>
      <c r="E803" s="187"/>
      <c r="F803" s="189"/>
      <c r="G803" s="189"/>
      <c r="H803" s="188"/>
      <c r="I803" s="187"/>
      <c r="J803" s="180"/>
      <c r="K803" s="182"/>
      <c r="L803" s="172"/>
      <c r="M803" s="180"/>
      <c r="N803" s="183"/>
      <c r="O803" s="184"/>
      <c r="P803" s="185"/>
    </row>
    <row r="804" spans="1:16" ht="15.75" customHeight="1" x14ac:dyDescent="0.25">
      <c r="A804" s="179"/>
      <c r="B804" s="186"/>
      <c r="C804" s="187"/>
      <c r="D804" s="188"/>
      <c r="E804" s="187"/>
      <c r="F804" s="189"/>
      <c r="G804" s="189"/>
      <c r="H804" s="188"/>
      <c r="I804" s="187"/>
      <c r="J804" s="180"/>
      <c r="K804" s="182"/>
      <c r="L804" s="172"/>
      <c r="M804" s="180"/>
      <c r="N804" s="183"/>
      <c r="O804" s="184"/>
      <c r="P804" s="185"/>
    </row>
    <row r="805" spans="1:16" ht="15.75" customHeight="1" x14ac:dyDescent="0.25">
      <c r="A805" s="179"/>
      <c r="B805" s="186"/>
      <c r="C805" s="187"/>
      <c r="D805" s="188"/>
      <c r="E805" s="187"/>
      <c r="F805" s="189"/>
      <c r="G805" s="189"/>
      <c r="H805" s="188"/>
      <c r="I805" s="187"/>
      <c r="J805" s="180"/>
      <c r="K805" s="182"/>
      <c r="L805" s="172"/>
      <c r="M805" s="180"/>
      <c r="N805" s="183"/>
      <c r="O805" s="184"/>
      <c r="P805" s="185"/>
    </row>
    <row r="806" spans="1:16" ht="15.75" customHeight="1" x14ac:dyDescent="0.25">
      <c r="A806" s="179"/>
      <c r="B806" s="186"/>
      <c r="C806" s="187"/>
      <c r="D806" s="188"/>
      <c r="E806" s="187"/>
      <c r="F806" s="189"/>
      <c r="G806" s="189"/>
      <c r="H806" s="188"/>
      <c r="I806" s="187"/>
      <c r="J806" s="180"/>
      <c r="K806" s="182"/>
      <c r="L806" s="172"/>
      <c r="M806" s="180"/>
      <c r="N806" s="183"/>
      <c r="O806" s="184"/>
      <c r="P806" s="185"/>
    </row>
    <row r="807" spans="1:16" ht="15.75" customHeight="1" x14ac:dyDescent="0.25">
      <c r="A807" s="179"/>
      <c r="B807" s="186"/>
      <c r="C807" s="187"/>
      <c r="D807" s="188"/>
      <c r="E807" s="187"/>
      <c r="F807" s="189"/>
      <c r="G807" s="189"/>
      <c r="H807" s="188"/>
      <c r="I807" s="187"/>
      <c r="J807" s="180"/>
      <c r="K807" s="182"/>
      <c r="L807" s="172"/>
      <c r="M807" s="180"/>
      <c r="N807" s="183"/>
      <c r="O807" s="184"/>
      <c r="P807" s="185"/>
    </row>
    <row r="808" spans="1:16" ht="15.75" customHeight="1" x14ac:dyDescent="0.25">
      <c r="A808" s="179"/>
      <c r="B808" s="186"/>
      <c r="C808" s="187"/>
      <c r="D808" s="188"/>
      <c r="E808" s="187"/>
      <c r="F808" s="189"/>
      <c r="G808" s="189"/>
      <c r="H808" s="188"/>
      <c r="I808" s="187"/>
      <c r="J808" s="180"/>
      <c r="K808" s="182"/>
      <c r="L808" s="172"/>
      <c r="M808" s="180"/>
      <c r="N808" s="183"/>
      <c r="O808" s="184"/>
      <c r="P808" s="185"/>
    </row>
    <row r="809" spans="1:16" ht="15.75" customHeight="1" x14ac:dyDescent="0.25">
      <c r="A809" s="179"/>
      <c r="B809" s="186"/>
      <c r="C809" s="187"/>
      <c r="D809" s="188"/>
      <c r="E809" s="187"/>
      <c r="F809" s="189"/>
      <c r="G809" s="189"/>
      <c r="H809" s="188"/>
      <c r="I809" s="187"/>
      <c r="J809" s="180"/>
      <c r="K809" s="182"/>
      <c r="L809" s="172"/>
      <c r="M809" s="180"/>
      <c r="N809" s="183"/>
      <c r="O809" s="184"/>
      <c r="P809" s="185"/>
    </row>
    <row r="810" spans="1:16" ht="15.75" customHeight="1" x14ac:dyDescent="0.25">
      <c r="A810" s="179"/>
      <c r="B810" s="186"/>
      <c r="C810" s="187"/>
      <c r="D810" s="188"/>
      <c r="E810" s="187"/>
      <c r="F810" s="189"/>
      <c r="G810" s="189"/>
      <c r="H810" s="188"/>
      <c r="I810" s="187"/>
      <c r="J810" s="180"/>
      <c r="K810" s="182"/>
      <c r="L810" s="172"/>
      <c r="M810" s="180"/>
      <c r="N810" s="183"/>
      <c r="O810" s="184"/>
      <c r="P810" s="185"/>
    </row>
    <row r="811" spans="1:16" ht="15.75" customHeight="1" x14ac:dyDescent="0.25">
      <c r="A811" s="179"/>
      <c r="B811" s="186"/>
      <c r="C811" s="187"/>
      <c r="D811" s="188"/>
      <c r="E811" s="187"/>
      <c r="F811" s="189"/>
      <c r="G811" s="189"/>
      <c r="H811" s="188"/>
      <c r="I811" s="187"/>
      <c r="J811" s="180"/>
      <c r="K811" s="182"/>
      <c r="L811" s="172"/>
      <c r="M811" s="180"/>
      <c r="N811" s="183"/>
      <c r="O811" s="184"/>
      <c r="P811" s="185"/>
    </row>
    <row r="812" spans="1:16" ht="15.75" customHeight="1" x14ac:dyDescent="0.25">
      <c r="A812" s="179"/>
      <c r="B812" s="186"/>
      <c r="C812" s="187"/>
      <c r="D812" s="188"/>
      <c r="E812" s="187"/>
      <c r="F812" s="189"/>
      <c r="G812" s="189"/>
      <c r="H812" s="188"/>
      <c r="I812" s="187"/>
      <c r="J812" s="180"/>
      <c r="K812" s="182"/>
      <c r="L812" s="172"/>
      <c r="M812" s="180"/>
      <c r="N812" s="183"/>
      <c r="O812" s="184"/>
      <c r="P812" s="185"/>
    </row>
    <row r="813" spans="1:16" ht="15.75" customHeight="1" x14ac:dyDescent="0.25">
      <c r="A813" s="179"/>
      <c r="B813" s="186"/>
      <c r="C813" s="187"/>
      <c r="D813" s="188"/>
      <c r="E813" s="187"/>
      <c r="F813" s="189"/>
      <c r="G813" s="189"/>
      <c r="H813" s="188"/>
      <c r="I813" s="187"/>
      <c r="J813" s="180"/>
      <c r="K813" s="182"/>
      <c r="L813" s="172"/>
      <c r="M813" s="180"/>
      <c r="N813" s="183"/>
      <c r="O813" s="184"/>
      <c r="P813" s="185"/>
    </row>
    <row r="814" spans="1:16" ht="15.75" customHeight="1" x14ac:dyDescent="0.25">
      <c r="A814" s="179"/>
      <c r="B814" s="186"/>
      <c r="C814" s="187"/>
      <c r="D814" s="188"/>
      <c r="E814" s="187"/>
      <c r="F814" s="189"/>
      <c r="G814" s="189"/>
      <c r="H814" s="188"/>
      <c r="I814" s="187"/>
      <c r="J814" s="180"/>
      <c r="K814" s="182"/>
      <c r="L814" s="172"/>
      <c r="M814" s="180"/>
      <c r="N814" s="183"/>
      <c r="O814" s="184"/>
      <c r="P814" s="185"/>
    </row>
    <row r="815" spans="1:16" ht="15.75" customHeight="1" x14ac:dyDescent="0.25">
      <c r="A815" s="179"/>
      <c r="B815" s="186"/>
      <c r="C815" s="187"/>
      <c r="D815" s="188"/>
      <c r="E815" s="187"/>
      <c r="F815" s="189"/>
      <c r="G815" s="189"/>
      <c r="H815" s="188"/>
      <c r="I815" s="187"/>
      <c r="J815" s="180"/>
      <c r="K815" s="182"/>
      <c r="L815" s="172"/>
      <c r="M815" s="180"/>
      <c r="N815" s="183"/>
      <c r="O815" s="184"/>
      <c r="P815" s="185"/>
    </row>
    <row r="816" spans="1:16" ht="15.75" customHeight="1" x14ac:dyDescent="0.25">
      <c r="A816" s="179"/>
      <c r="B816" s="186"/>
      <c r="C816" s="187"/>
      <c r="D816" s="188"/>
      <c r="E816" s="187"/>
      <c r="F816" s="189"/>
      <c r="G816" s="189"/>
      <c r="H816" s="188"/>
      <c r="I816" s="187"/>
      <c r="J816" s="180"/>
      <c r="K816" s="182"/>
      <c r="L816" s="172"/>
      <c r="M816" s="180"/>
      <c r="N816" s="183"/>
      <c r="O816" s="184"/>
      <c r="P816" s="185"/>
    </row>
    <row r="817" spans="1:16" ht="15.75" customHeight="1" x14ac:dyDescent="0.25">
      <c r="A817" s="179"/>
      <c r="B817" s="186"/>
      <c r="C817" s="187"/>
      <c r="D817" s="188"/>
      <c r="E817" s="187"/>
      <c r="F817" s="189"/>
      <c r="G817" s="189"/>
      <c r="H817" s="188"/>
      <c r="I817" s="187"/>
      <c r="J817" s="180"/>
      <c r="K817" s="182"/>
      <c r="L817" s="172"/>
      <c r="M817" s="180"/>
      <c r="N817" s="183"/>
      <c r="O817" s="184"/>
      <c r="P817" s="185"/>
    </row>
    <row r="818" spans="1:16" ht="15.75" customHeight="1" x14ac:dyDescent="0.25">
      <c r="A818" s="179"/>
      <c r="B818" s="186"/>
      <c r="C818" s="187"/>
      <c r="D818" s="188"/>
      <c r="E818" s="187"/>
      <c r="F818" s="189"/>
      <c r="G818" s="189"/>
      <c r="H818" s="188"/>
      <c r="I818" s="187"/>
      <c r="J818" s="180"/>
      <c r="K818" s="182"/>
      <c r="L818" s="172"/>
      <c r="M818" s="180"/>
      <c r="N818" s="183"/>
      <c r="O818" s="184"/>
      <c r="P818" s="185"/>
    </row>
    <row r="819" spans="1:16" ht="15.75" customHeight="1" x14ac:dyDescent="0.25">
      <c r="A819" s="179"/>
      <c r="B819" s="186"/>
      <c r="C819" s="187"/>
      <c r="D819" s="188"/>
      <c r="E819" s="187"/>
      <c r="F819" s="189"/>
      <c r="G819" s="189"/>
      <c r="H819" s="188"/>
      <c r="I819" s="187"/>
      <c r="J819" s="180"/>
      <c r="K819" s="182"/>
      <c r="L819" s="172"/>
      <c r="M819" s="180"/>
      <c r="N819" s="183"/>
      <c r="O819" s="184"/>
      <c r="P819" s="185"/>
    </row>
    <row r="820" spans="1:16" ht="15.75" customHeight="1" x14ac:dyDescent="0.25">
      <c r="A820" s="179"/>
      <c r="B820" s="186"/>
      <c r="C820" s="187"/>
      <c r="D820" s="188"/>
      <c r="E820" s="187"/>
      <c r="F820" s="189"/>
      <c r="G820" s="189"/>
      <c r="H820" s="188"/>
      <c r="I820" s="187"/>
      <c r="J820" s="180"/>
      <c r="K820" s="182"/>
      <c r="L820" s="172"/>
      <c r="M820" s="180"/>
      <c r="N820" s="183"/>
      <c r="O820" s="184"/>
      <c r="P820" s="185"/>
    </row>
    <row r="821" spans="1:16" ht="15.75" customHeight="1" x14ac:dyDescent="0.25">
      <c r="A821" s="179"/>
      <c r="B821" s="186"/>
      <c r="C821" s="187"/>
      <c r="D821" s="188"/>
      <c r="E821" s="187"/>
      <c r="F821" s="189"/>
      <c r="G821" s="189"/>
      <c r="H821" s="188"/>
      <c r="I821" s="187"/>
      <c r="J821" s="180"/>
      <c r="K821" s="182"/>
      <c r="L821" s="172"/>
      <c r="M821" s="180"/>
      <c r="N821" s="183"/>
      <c r="O821" s="184"/>
      <c r="P821" s="185"/>
    </row>
    <row r="822" spans="1:16" ht="15.75" customHeight="1" x14ac:dyDescent="0.25">
      <c r="A822" s="179"/>
      <c r="B822" s="186"/>
      <c r="C822" s="187"/>
      <c r="D822" s="188"/>
      <c r="E822" s="187"/>
      <c r="F822" s="189"/>
      <c r="G822" s="189"/>
      <c r="H822" s="188"/>
      <c r="I822" s="187"/>
      <c r="J822" s="180"/>
      <c r="K822" s="182"/>
      <c r="L822" s="172"/>
      <c r="M822" s="180"/>
      <c r="N822" s="183"/>
      <c r="O822" s="184"/>
      <c r="P822" s="185"/>
    </row>
    <row r="823" spans="1:16" ht="15.75" customHeight="1" x14ac:dyDescent="0.25">
      <c r="A823" s="179"/>
      <c r="B823" s="186"/>
      <c r="C823" s="187"/>
      <c r="D823" s="188"/>
      <c r="E823" s="187"/>
      <c r="F823" s="189"/>
      <c r="G823" s="189"/>
      <c r="H823" s="188"/>
      <c r="I823" s="187"/>
      <c r="J823" s="180"/>
      <c r="K823" s="182"/>
      <c r="L823" s="172"/>
      <c r="M823" s="180"/>
      <c r="N823" s="183"/>
      <c r="O823" s="184"/>
      <c r="P823" s="185"/>
    </row>
    <row r="824" spans="1:16" ht="15.75" customHeight="1" x14ac:dyDescent="0.25">
      <c r="A824" s="179"/>
      <c r="B824" s="186"/>
      <c r="C824" s="187"/>
      <c r="D824" s="188"/>
      <c r="E824" s="187"/>
      <c r="F824" s="189"/>
      <c r="G824" s="189"/>
      <c r="H824" s="188"/>
      <c r="I824" s="187"/>
      <c r="J824" s="180"/>
      <c r="K824" s="182"/>
      <c r="L824" s="172"/>
      <c r="M824" s="180"/>
      <c r="N824" s="183"/>
      <c r="O824" s="184"/>
      <c r="P824" s="185"/>
    </row>
    <row r="825" spans="1:16" ht="15.75" customHeight="1" x14ac:dyDescent="0.25">
      <c r="A825" s="179"/>
      <c r="B825" s="186"/>
      <c r="C825" s="187"/>
      <c r="D825" s="188"/>
      <c r="E825" s="187"/>
      <c r="F825" s="189"/>
      <c r="G825" s="189"/>
      <c r="H825" s="188"/>
      <c r="I825" s="187"/>
      <c r="J825" s="180"/>
      <c r="K825" s="182"/>
      <c r="L825" s="172"/>
      <c r="M825" s="180"/>
      <c r="N825" s="183"/>
      <c r="O825" s="184"/>
      <c r="P825" s="185"/>
    </row>
    <row r="826" spans="1:16" ht="15.75" customHeight="1" x14ac:dyDescent="0.25">
      <c r="A826" s="179"/>
      <c r="B826" s="186"/>
      <c r="C826" s="187"/>
      <c r="D826" s="188"/>
      <c r="E826" s="187"/>
      <c r="F826" s="189"/>
      <c r="G826" s="189"/>
      <c r="H826" s="188"/>
      <c r="I826" s="187"/>
      <c r="J826" s="180"/>
      <c r="K826" s="182"/>
      <c r="L826" s="172"/>
      <c r="M826" s="180"/>
      <c r="N826" s="183"/>
      <c r="O826" s="184"/>
      <c r="P826" s="185"/>
    </row>
    <row r="827" spans="1:16" ht="15.75" customHeight="1" x14ac:dyDescent="0.25">
      <c r="A827" s="179"/>
      <c r="B827" s="186"/>
      <c r="C827" s="187"/>
      <c r="D827" s="188"/>
      <c r="E827" s="187"/>
      <c r="F827" s="189"/>
      <c r="G827" s="189"/>
      <c r="H827" s="188"/>
      <c r="I827" s="187"/>
      <c r="J827" s="180"/>
      <c r="K827" s="182"/>
      <c r="L827" s="172"/>
      <c r="M827" s="180"/>
      <c r="N827" s="183"/>
      <c r="O827" s="184"/>
      <c r="P827" s="185"/>
    </row>
    <row r="828" spans="1:16" ht="15.75" customHeight="1" x14ac:dyDescent="0.25">
      <c r="A828" s="179"/>
      <c r="B828" s="186"/>
      <c r="C828" s="187"/>
      <c r="D828" s="188"/>
      <c r="E828" s="187"/>
      <c r="F828" s="189"/>
      <c r="G828" s="189"/>
      <c r="H828" s="188"/>
      <c r="I828" s="187"/>
      <c r="J828" s="180"/>
      <c r="K828" s="182"/>
      <c r="L828" s="172"/>
      <c r="M828" s="180"/>
      <c r="N828" s="183"/>
      <c r="O828" s="184"/>
      <c r="P828" s="185"/>
    </row>
    <row r="829" spans="1:16" ht="15.75" customHeight="1" x14ac:dyDescent="0.25">
      <c r="A829" s="179"/>
      <c r="B829" s="186"/>
      <c r="C829" s="187"/>
      <c r="D829" s="188"/>
      <c r="E829" s="187"/>
      <c r="F829" s="189"/>
      <c r="G829" s="189"/>
      <c r="H829" s="188"/>
      <c r="I829" s="187"/>
      <c r="J829" s="180"/>
      <c r="K829" s="182"/>
      <c r="L829" s="172"/>
      <c r="M829" s="180"/>
      <c r="N829" s="183"/>
      <c r="O829" s="184"/>
      <c r="P829" s="185"/>
    </row>
    <row r="830" spans="1:16" ht="15.75" customHeight="1" x14ac:dyDescent="0.25">
      <c r="A830" s="179"/>
      <c r="B830" s="186"/>
      <c r="C830" s="187"/>
      <c r="D830" s="188"/>
      <c r="E830" s="187"/>
      <c r="F830" s="189"/>
      <c r="G830" s="189"/>
      <c r="H830" s="188"/>
      <c r="I830" s="187"/>
      <c r="J830" s="180"/>
      <c r="K830" s="182"/>
      <c r="L830" s="172"/>
      <c r="M830" s="180"/>
      <c r="N830" s="183"/>
      <c r="O830" s="184"/>
      <c r="P830" s="185"/>
    </row>
    <row r="831" spans="1:16" ht="15.75" customHeight="1" x14ac:dyDescent="0.25">
      <c r="A831" s="179"/>
      <c r="B831" s="186"/>
      <c r="C831" s="187"/>
      <c r="D831" s="188"/>
      <c r="E831" s="187"/>
      <c r="F831" s="189"/>
      <c r="G831" s="189"/>
      <c r="H831" s="188"/>
      <c r="I831" s="187"/>
      <c r="J831" s="180"/>
      <c r="K831" s="182"/>
      <c r="L831" s="172"/>
      <c r="M831" s="180"/>
      <c r="N831" s="183"/>
      <c r="O831" s="184"/>
      <c r="P831" s="185"/>
    </row>
    <row r="832" spans="1:16" ht="15.75" customHeight="1" x14ac:dyDescent="0.25">
      <c r="A832" s="179"/>
      <c r="B832" s="186"/>
      <c r="C832" s="187"/>
      <c r="D832" s="188"/>
      <c r="E832" s="187"/>
      <c r="F832" s="189"/>
      <c r="G832" s="189"/>
      <c r="H832" s="188"/>
      <c r="I832" s="187"/>
      <c r="J832" s="180"/>
      <c r="K832" s="182"/>
      <c r="L832" s="172"/>
      <c r="M832" s="180"/>
      <c r="N832" s="183"/>
      <c r="O832" s="184"/>
      <c r="P832" s="185"/>
    </row>
    <row r="833" spans="1:16" ht="15.75" customHeight="1" x14ac:dyDescent="0.25">
      <c r="A833" s="179"/>
      <c r="B833" s="186"/>
      <c r="C833" s="187"/>
      <c r="D833" s="188"/>
      <c r="E833" s="187"/>
      <c r="F833" s="189"/>
      <c r="G833" s="189"/>
      <c r="H833" s="188"/>
      <c r="I833" s="187"/>
      <c r="J833" s="180"/>
      <c r="K833" s="182"/>
      <c r="L833" s="172"/>
      <c r="M833" s="180"/>
      <c r="N833" s="183"/>
      <c r="O833" s="184"/>
      <c r="P833" s="185"/>
    </row>
    <row r="834" spans="1:16" ht="15.75" customHeight="1" x14ac:dyDescent="0.25">
      <c r="A834" s="179"/>
      <c r="B834" s="186"/>
      <c r="C834" s="187"/>
      <c r="D834" s="188"/>
      <c r="E834" s="187"/>
      <c r="F834" s="189"/>
      <c r="G834" s="189"/>
      <c r="H834" s="188"/>
      <c r="I834" s="187"/>
      <c r="J834" s="180"/>
      <c r="K834" s="182"/>
      <c r="L834" s="172"/>
      <c r="M834" s="180"/>
      <c r="N834" s="183"/>
      <c r="O834" s="184"/>
      <c r="P834" s="185"/>
    </row>
    <row r="835" spans="1:16" ht="15.75" customHeight="1" x14ac:dyDescent="0.25">
      <c r="A835" s="179"/>
      <c r="B835" s="186"/>
      <c r="C835" s="187"/>
      <c r="D835" s="188"/>
      <c r="E835" s="187"/>
      <c r="F835" s="189"/>
      <c r="G835" s="189"/>
      <c r="H835" s="188"/>
      <c r="I835" s="187"/>
      <c r="J835" s="180"/>
      <c r="K835" s="182"/>
      <c r="L835" s="172"/>
      <c r="M835" s="180"/>
      <c r="N835" s="183"/>
      <c r="O835" s="184"/>
      <c r="P835" s="185"/>
    </row>
    <row r="836" spans="1:16" ht="15.75" customHeight="1" x14ac:dyDescent="0.25">
      <c r="A836" s="179"/>
      <c r="B836" s="186"/>
      <c r="C836" s="187"/>
      <c r="D836" s="188"/>
      <c r="E836" s="187"/>
      <c r="F836" s="189"/>
      <c r="G836" s="189"/>
      <c r="H836" s="188"/>
      <c r="I836" s="187"/>
      <c r="J836" s="180"/>
      <c r="K836" s="182"/>
      <c r="L836" s="172"/>
      <c r="M836" s="180"/>
      <c r="N836" s="183"/>
      <c r="O836" s="184"/>
      <c r="P836" s="185"/>
    </row>
    <row r="837" spans="1:16" ht="15.75" customHeight="1" x14ac:dyDescent="0.25">
      <c r="A837" s="179"/>
      <c r="B837" s="186"/>
      <c r="C837" s="187"/>
      <c r="D837" s="188"/>
      <c r="E837" s="187"/>
      <c r="F837" s="189"/>
      <c r="G837" s="189"/>
      <c r="H837" s="188"/>
      <c r="I837" s="187"/>
      <c r="J837" s="180"/>
      <c r="K837" s="182"/>
      <c r="L837" s="172"/>
      <c r="M837" s="180"/>
      <c r="N837" s="183"/>
      <c r="O837" s="184"/>
      <c r="P837" s="185"/>
    </row>
    <row r="838" spans="1:16" ht="15.75" customHeight="1" x14ac:dyDescent="0.25">
      <c r="A838" s="179"/>
      <c r="B838" s="186"/>
      <c r="C838" s="187"/>
      <c r="D838" s="188"/>
      <c r="E838" s="187"/>
      <c r="F838" s="189"/>
      <c r="G838" s="189"/>
      <c r="H838" s="188"/>
      <c r="I838" s="187"/>
      <c r="J838" s="180"/>
      <c r="K838" s="182"/>
      <c r="L838" s="172"/>
      <c r="M838" s="180"/>
      <c r="N838" s="183"/>
      <c r="O838" s="184"/>
      <c r="P838" s="185"/>
    </row>
    <row r="839" spans="1:16" ht="15.75" customHeight="1" x14ac:dyDescent="0.25">
      <c r="A839" s="179"/>
      <c r="B839" s="186"/>
      <c r="C839" s="187"/>
      <c r="D839" s="188"/>
      <c r="E839" s="187"/>
      <c r="F839" s="189"/>
      <c r="G839" s="189"/>
      <c r="H839" s="188"/>
      <c r="I839" s="187"/>
      <c r="J839" s="180"/>
      <c r="K839" s="182"/>
      <c r="L839" s="172"/>
      <c r="M839" s="180"/>
      <c r="N839" s="183"/>
      <c r="O839" s="184"/>
      <c r="P839" s="185"/>
    </row>
    <row r="840" spans="1:16" ht="15.75" customHeight="1" x14ac:dyDescent="0.25">
      <c r="A840" s="179"/>
      <c r="B840" s="186"/>
      <c r="C840" s="187"/>
      <c r="D840" s="188"/>
      <c r="E840" s="187"/>
      <c r="F840" s="189"/>
      <c r="G840" s="189"/>
      <c r="H840" s="188"/>
      <c r="I840" s="187"/>
      <c r="J840" s="180"/>
      <c r="K840" s="182"/>
      <c r="L840" s="172"/>
      <c r="M840" s="180"/>
      <c r="N840" s="183"/>
      <c r="O840" s="184"/>
      <c r="P840" s="185"/>
    </row>
    <row r="841" spans="1:16" ht="15.75" customHeight="1" x14ac:dyDescent="0.25">
      <c r="A841" s="179"/>
      <c r="B841" s="186"/>
      <c r="C841" s="187"/>
      <c r="D841" s="188"/>
      <c r="E841" s="187"/>
      <c r="F841" s="189"/>
      <c r="G841" s="189"/>
      <c r="H841" s="188"/>
      <c r="I841" s="187"/>
      <c r="J841" s="180"/>
      <c r="K841" s="182"/>
      <c r="L841" s="172"/>
      <c r="M841" s="180"/>
      <c r="N841" s="183"/>
      <c r="O841" s="184"/>
      <c r="P841" s="185"/>
    </row>
    <row r="842" spans="1:16" ht="15.75" customHeight="1" x14ac:dyDescent="0.25">
      <c r="A842" s="179"/>
      <c r="B842" s="186"/>
      <c r="C842" s="187"/>
      <c r="D842" s="188"/>
      <c r="E842" s="187"/>
      <c r="F842" s="189"/>
      <c r="G842" s="189"/>
      <c r="H842" s="188"/>
      <c r="I842" s="187"/>
      <c r="J842" s="180"/>
      <c r="K842" s="182"/>
      <c r="L842" s="172"/>
      <c r="M842" s="180"/>
      <c r="N842" s="183"/>
      <c r="O842" s="184"/>
      <c r="P842" s="185"/>
    </row>
    <row r="843" spans="1:16" ht="15.75" customHeight="1" x14ac:dyDescent="0.25">
      <c r="A843" s="179"/>
      <c r="B843" s="186"/>
      <c r="C843" s="187"/>
      <c r="D843" s="188"/>
      <c r="E843" s="187"/>
      <c r="F843" s="189"/>
      <c r="G843" s="189"/>
      <c r="H843" s="188"/>
      <c r="I843" s="187"/>
      <c r="J843" s="180"/>
      <c r="K843" s="182"/>
      <c r="L843" s="172"/>
      <c r="M843" s="180"/>
      <c r="N843" s="183"/>
      <c r="O843" s="184"/>
      <c r="P843" s="185"/>
    </row>
    <row r="844" spans="1:16" ht="15.75" customHeight="1" x14ac:dyDescent="0.25">
      <c r="A844" s="179"/>
      <c r="B844" s="186"/>
      <c r="C844" s="187"/>
      <c r="D844" s="188"/>
      <c r="E844" s="187"/>
      <c r="F844" s="189"/>
      <c r="G844" s="189"/>
      <c r="H844" s="188"/>
      <c r="I844" s="187"/>
      <c r="J844" s="180"/>
      <c r="K844" s="182"/>
      <c r="L844" s="172"/>
      <c r="M844" s="180"/>
      <c r="N844" s="183"/>
      <c r="O844" s="184"/>
      <c r="P844" s="185"/>
    </row>
    <row r="845" spans="1:16" ht="15.75" customHeight="1" x14ac:dyDescent="0.25">
      <c r="A845" s="179"/>
      <c r="B845" s="186"/>
      <c r="C845" s="187"/>
      <c r="D845" s="188"/>
      <c r="E845" s="187"/>
      <c r="F845" s="189"/>
      <c r="G845" s="189"/>
      <c r="H845" s="188"/>
      <c r="I845" s="187"/>
      <c r="J845" s="180"/>
      <c r="K845" s="182"/>
      <c r="L845" s="172"/>
      <c r="M845" s="180"/>
      <c r="N845" s="183"/>
      <c r="O845" s="184"/>
      <c r="P845" s="185"/>
    </row>
    <row r="846" spans="1:16" ht="15.75" customHeight="1" x14ac:dyDescent="0.25">
      <c r="A846" s="179"/>
      <c r="B846" s="186"/>
      <c r="C846" s="187"/>
      <c r="D846" s="188"/>
      <c r="E846" s="187"/>
      <c r="F846" s="189"/>
      <c r="G846" s="189"/>
      <c r="H846" s="188"/>
      <c r="I846" s="187"/>
      <c r="J846" s="180"/>
      <c r="K846" s="182"/>
      <c r="L846" s="172"/>
      <c r="M846" s="180"/>
      <c r="N846" s="183"/>
      <c r="O846" s="184"/>
      <c r="P846" s="185"/>
    </row>
    <row r="847" spans="1:16" ht="15.75" customHeight="1" x14ac:dyDescent="0.25">
      <c r="A847" s="179"/>
      <c r="B847" s="186"/>
      <c r="C847" s="187"/>
      <c r="D847" s="188"/>
      <c r="E847" s="187"/>
      <c r="F847" s="189"/>
      <c r="G847" s="189"/>
      <c r="H847" s="188"/>
      <c r="I847" s="187"/>
      <c r="J847" s="180"/>
      <c r="K847" s="182"/>
      <c r="L847" s="172"/>
      <c r="M847" s="180"/>
      <c r="N847" s="183"/>
      <c r="O847" s="184"/>
      <c r="P847" s="185"/>
    </row>
    <row r="848" spans="1:16" ht="15.75" customHeight="1" x14ac:dyDescent="0.25">
      <c r="A848" s="179"/>
      <c r="B848" s="186"/>
      <c r="C848" s="187"/>
      <c r="D848" s="188"/>
      <c r="E848" s="187"/>
      <c r="F848" s="189"/>
      <c r="G848" s="189"/>
      <c r="H848" s="188"/>
      <c r="I848" s="187"/>
      <c r="J848" s="180"/>
      <c r="K848" s="182"/>
      <c r="L848" s="172"/>
      <c r="M848" s="180"/>
      <c r="N848" s="183"/>
      <c r="O848" s="184"/>
      <c r="P848" s="185"/>
    </row>
    <row r="849" spans="1:16" ht="15.75" customHeight="1" x14ac:dyDescent="0.25">
      <c r="A849" s="179"/>
      <c r="B849" s="186"/>
      <c r="C849" s="187"/>
      <c r="D849" s="188"/>
      <c r="E849" s="187"/>
      <c r="F849" s="189"/>
      <c r="G849" s="189"/>
      <c r="H849" s="188"/>
      <c r="I849" s="187"/>
      <c r="J849" s="180"/>
      <c r="K849" s="182"/>
      <c r="L849" s="172"/>
      <c r="M849" s="180"/>
      <c r="N849" s="183"/>
      <c r="O849" s="184"/>
      <c r="P849" s="185"/>
    </row>
    <row r="850" spans="1:16" ht="15.75" customHeight="1" x14ac:dyDescent="0.25">
      <c r="A850" s="179"/>
      <c r="B850" s="186"/>
      <c r="C850" s="187"/>
      <c r="D850" s="188"/>
      <c r="E850" s="187"/>
      <c r="F850" s="189"/>
      <c r="G850" s="189"/>
      <c r="H850" s="188"/>
      <c r="I850" s="187"/>
      <c r="J850" s="180"/>
      <c r="K850" s="182"/>
      <c r="L850" s="172"/>
      <c r="M850" s="180"/>
      <c r="N850" s="183"/>
      <c r="O850" s="184"/>
      <c r="P850" s="185"/>
    </row>
    <row r="851" spans="1:16" ht="15.75" customHeight="1" x14ac:dyDescent="0.25">
      <c r="A851" s="179"/>
      <c r="B851" s="186"/>
      <c r="C851" s="187"/>
      <c r="D851" s="188"/>
      <c r="E851" s="187"/>
      <c r="F851" s="189"/>
      <c r="G851" s="189"/>
      <c r="H851" s="188"/>
      <c r="I851" s="187"/>
      <c r="J851" s="180"/>
      <c r="K851" s="182"/>
      <c r="L851" s="172"/>
      <c r="M851" s="180"/>
      <c r="N851" s="183"/>
      <c r="O851" s="184"/>
      <c r="P851" s="185"/>
    </row>
    <row r="852" spans="1:16" ht="15.75" customHeight="1" x14ac:dyDescent="0.25">
      <c r="A852" s="179"/>
      <c r="B852" s="186"/>
      <c r="C852" s="187"/>
      <c r="D852" s="188"/>
      <c r="E852" s="187"/>
      <c r="F852" s="189"/>
      <c r="G852" s="189"/>
      <c r="H852" s="188"/>
      <c r="I852" s="187"/>
      <c r="J852" s="180"/>
      <c r="K852" s="182"/>
      <c r="L852" s="172"/>
      <c r="M852" s="180"/>
      <c r="N852" s="183"/>
      <c r="O852" s="184"/>
      <c r="P852" s="185"/>
    </row>
    <row r="853" spans="1:16" ht="15.75" customHeight="1" x14ac:dyDescent="0.25">
      <c r="A853" s="179"/>
      <c r="B853" s="186"/>
      <c r="C853" s="187"/>
      <c r="D853" s="188"/>
      <c r="E853" s="187"/>
      <c r="F853" s="189"/>
      <c r="G853" s="189"/>
      <c r="H853" s="188"/>
      <c r="I853" s="187"/>
      <c r="J853" s="180"/>
      <c r="K853" s="182"/>
      <c r="L853" s="172"/>
      <c r="M853" s="180"/>
      <c r="N853" s="183"/>
      <c r="O853" s="184"/>
      <c r="P853" s="185"/>
    </row>
    <row r="854" spans="1:16" ht="15.75" customHeight="1" x14ac:dyDescent="0.25">
      <c r="A854" s="179"/>
      <c r="B854" s="186"/>
      <c r="C854" s="187"/>
      <c r="D854" s="188"/>
      <c r="E854" s="187"/>
      <c r="F854" s="189"/>
      <c r="G854" s="189"/>
      <c r="H854" s="188"/>
      <c r="I854" s="187"/>
      <c r="J854" s="180"/>
      <c r="K854" s="182"/>
      <c r="L854" s="172"/>
      <c r="M854" s="180"/>
      <c r="N854" s="183"/>
      <c r="O854" s="184"/>
      <c r="P854" s="185"/>
    </row>
    <row r="855" spans="1:16" ht="15.75" customHeight="1" x14ac:dyDescent="0.25">
      <c r="A855" s="179"/>
      <c r="B855" s="186"/>
      <c r="C855" s="187"/>
      <c r="D855" s="188"/>
      <c r="E855" s="187"/>
      <c r="F855" s="189"/>
      <c r="G855" s="189"/>
      <c r="H855" s="188"/>
      <c r="I855" s="187"/>
      <c r="J855" s="180"/>
      <c r="K855" s="182"/>
      <c r="L855" s="172"/>
      <c r="M855" s="180"/>
      <c r="N855" s="183"/>
      <c r="O855" s="184"/>
      <c r="P855" s="185"/>
    </row>
    <row r="856" spans="1:16" ht="15.75" customHeight="1" x14ac:dyDescent="0.25">
      <c r="A856" s="179"/>
      <c r="B856" s="186"/>
      <c r="C856" s="187"/>
      <c r="D856" s="188"/>
      <c r="E856" s="187"/>
      <c r="F856" s="189"/>
      <c r="G856" s="189"/>
      <c r="H856" s="188"/>
      <c r="I856" s="187"/>
      <c r="J856" s="180"/>
      <c r="K856" s="182"/>
      <c r="L856" s="172"/>
      <c r="M856" s="180"/>
      <c r="N856" s="183"/>
      <c r="O856" s="184"/>
      <c r="P856" s="185"/>
    </row>
    <row r="857" spans="1:16" ht="15.75" customHeight="1" x14ac:dyDescent="0.25">
      <c r="A857" s="179"/>
      <c r="B857" s="186"/>
      <c r="C857" s="187"/>
      <c r="D857" s="188"/>
      <c r="E857" s="187"/>
      <c r="F857" s="189"/>
      <c r="G857" s="189"/>
      <c r="H857" s="188"/>
      <c r="I857" s="187"/>
      <c r="J857" s="180"/>
      <c r="K857" s="182"/>
      <c r="L857" s="172"/>
      <c r="M857" s="180"/>
      <c r="N857" s="183"/>
      <c r="O857" s="184"/>
      <c r="P857" s="185"/>
    </row>
    <row r="858" spans="1:16" ht="15.75" customHeight="1" x14ac:dyDescent="0.25">
      <c r="A858" s="179"/>
      <c r="B858" s="186"/>
      <c r="C858" s="187"/>
      <c r="D858" s="188"/>
      <c r="E858" s="187"/>
      <c r="F858" s="189"/>
      <c r="G858" s="189"/>
      <c r="H858" s="188"/>
      <c r="I858" s="187"/>
      <c r="J858" s="180"/>
      <c r="K858" s="182"/>
      <c r="L858" s="172"/>
      <c r="M858" s="180"/>
      <c r="N858" s="183"/>
      <c r="O858" s="184"/>
      <c r="P858" s="185"/>
    </row>
    <row r="859" spans="1:16" ht="15.75" customHeight="1" x14ac:dyDescent="0.25">
      <c r="A859" s="179"/>
      <c r="B859" s="186"/>
      <c r="C859" s="187"/>
      <c r="D859" s="188"/>
      <c r="E859" s="187"/>
      <c r="F859" s="189"/>
      <c r="G859" s="189"/>
      <c r="H859" s="188"/>
      <c r="I859" s="187"/>
      <c r="J859" s="180"/>
      <c r="K859" s="182"/>
      <c r="L859" s="172"/>
      <c r="M859" s="180"/>
      <c r="N859" s="183"/>
      <c r="O859" s="184"/>
      <c r="P859" s="185"/>
    </row>
    <row r="860" spans="1:16" ht="15.75" customHeight="1" x14ac:dyDescent="0.25">
      <c r="A860" s="179"/>
      <c r="B860" s="186"/>
      <c r="C860" s="187"/>
      <c r="D860" s="188"/>
      <c r="E860" s="187"/>
      <c r="F860" s="189"/>
      <c r="G860" s="189"/>
      <c r="H860" s="188"/>
      <c r="I860" s="187"/>
      <c r="J860" s="180"/>
      <c r="K860" s="182"/>
      <c r="L860" s="172"/>
      <c r="M860" s="180"/>
      <c r="N860" s="183"/>
      <c r="O860" s="184"/>
      <c r="P860" s="185"/>
    </row>
    <row r="861" spans="1:16" ht="15.75" customHeight="1" x14ac:dyDescent="0.25">
      <c r="A861" s="179"/>
      <c r="B861" s="186"/>
      <c r="C861" s="187"/>
      <c r="D861" s="188"/>
      <c r="E861" s="187"/>
      <c r="F861" s="189"/>
      <c r="G861" s="189"/>
      <c r="H861" s="188"/>
      <c r="I861" s="187"/>
      <c r="J861" s="180"/>
      <c r="K861" s="182"/>
      <c r="L861" s="172"/>
      <c r="M861" s="180"/>
      <c r="N861" s="183"/>
      <c r="O861" s="184"/>
      <c r="P861" s="185"/>
    </row>
    <row r="862" spans="1:16" ht="15.75" customHeight="1" x14ac:dyDescent="0.25">
      <c r="A862" s="179"/>
      <c r="B862" s="186"/>
      <c r="C862" s="187"/>
      <c r="D862" s="188"/>
      <c r="E862" s="187"/>
      <c r="F862" s="189"/>
      <c r="G862" s="189"/>
      <c r="H862" s="188"/>
      <c r="I862" s="187"/>
      <c r="J862" s="180"/>
      <c r="K862" s="182"/>
      <c r="L862" s="172"/>
      <c r="M862" s="180"/>
      <c r="N862" s="183"/>
      <c r="O862" s="184"/>
      <c r="P862" s="185"/>
    </row>
    <row r="863" spans="1:16" ht="15.75" customHeight="1" x14ac:dyDescent="0.25">
      <c r="A863" s="179"/>
      <c r="B863" s="186"/>
      <c r="C863" s="187"/>
      <c r="D863" s="188"/>
      <c r="E863" s="187"/>
      <c r="F863" s="189"/>
      <c r="G863" s="189"/>
      <c r="H863" s="188"/>
      <c r="I863" s="187"/>
      <c r="J863" s="180"/>
      <c r="K863" s="182"/>
      <c r="L863" s="172"/>
      <c r="M863" s="180"/>
      <c r="N863" s="183"/>
      <c r="O863" s="184"/>
      <c r="P863" s="185"/>
    </row>
    <row r="864" spans="1:16" ht="15.75" customHeight="1" x14ac:dyDescent="0.25">
      <c r="A864" s="179"/>
      <c r="B864" s="186"/>
      <c r="C864" s="187"/>
      <c r="D864" s="188"/>
      <c r="E864" s="187"/>
      <c r="F864" s="189"/>
      <c r="G864" s="189"/>
      <c r="H864" s="188"/>
      <c r="I864" s="187"/>
      <c r="J864" s="180"/>
      <c r="K864" s="182"/>
      <c r="L864" s="172"/>
      <c r="M864" s="180"/>
      <c r="N864" s="183"/>
      <c r="O864" s="184"/>
      <c r="P864" s="185"/>
    </row>
    <row r="865" spans="1:16" ht="15.75" customHeight="1" x14ac:dyDescent="0.25">
      <c r="A865" s="179"/>
      <c r="B865" s="186"/>
      <c r="C865" s="187"/>
      <c r="D865" s="188"/>
      <c r="E865" s="187"/>
      <c r="F865" s="189"/>
      <c r="G865" s="189"/>
      <c r="H865" s="188"/>
      <c r="I865" s="187"/>
      <c r="J865" s="180"/>
      <c r="K865" s="182"/>
      <c r="L865" s="172"/>
      <c r="M865" s="180"/>
      <c r="N865" s="183"/>
      <c r="O865" s="184"/>
      <c r="P865" s="185"/>
    </row>
    <row r="866" spans="1:16" ht="15.75" customHeight="1" x14ac:dyDescent="0.25">
      <c r="A866" s="179"/>
      <c r="B866" s="186"/>
      <c r="C866" s="187"/>
      <c r="D866" s="188"/>
      <c r="E866" s="187"/>
      <c r="F866" s="189"/>
      <c r="G866" s="189"/>
      <c r="H866" s="188"/>
      <c r="I866" s="187"/>
      <c r="J866" s="180"/>
      <c r="K866" s="182"/>
      <c r="L866" s="172"/>
      <c r="M866" s="180"/>
      <c r="N866" s="183"/>
      <c r="O866" s="184"/>
      <c r="P866" s="185"/>
    </row>
    <row r="867" spans="1:16" ht="15.75" customHeight="1" x14ac:dyDescent="0.25">
      <c r="A867" s="179"/>
      <c r="B867" s="186"/>
      <c r="C867" s="187"/>
      <c r="D867" s="188"/>
      <c r="E867" s="187"/>
      <c r="F867" s="189"/>
      <c r="G867" s="189"/>
      <c r="H867" s="188"/>
      <c r="I867" s="187"/>
      <c r="J867" s="180"/>
      <c r="K867" s="182"/>
      <c r="L867" s="172"/>
      <c r="M867" s="180"/>
      <c r="N867" s="183"/>
      <c r="O867" s="184"/>
      <c r="P867" s="185"/>
    </row>
    <row r="868" spans="1:16" ht="15.75" customHeight="1" x14ac:dyDescent="0.25">
      <c r="A868" s="179"/>
      <c r="B868" s="186"/>
      <c r="C868" s="187"/>
      <c r="D868" s="188"/>
      <c r="E868" s="187"/>
      <c r="F868" s="189"/>
      <c r="G868" s="189"/>
      <c r="H868" s="188"/>
      <c r="I868" s="187"/>
      <c r="J868" s="180"/>
      <c r="K868" s="182"/>
      <c r="L868" s="172"/>
      <c r="M868" s="180"/>
      <c r="N868" s="183"/>
      <c r="O868" s="184"/>
      <c r="P868" s="185"/>
    </row>
    <row r="869" spans="1:16" ht="15.75" customHeight="1" x14ac:dyDescent="0.25">
      <c r="A869" s="179"/>
      <c r="B869" s="186"/>
      <c r="C869" s="187"/>
      <c r="D869" s="188"/>
      <c r="E869" s="187"/>
      <c r="F869" s="189"/>
      <c r="G869" s="189"/>
      <c r="H869" s="188"/>
      <c r="I869" s="187"/>
      <c r="J869" s="180"/>
      <c r="K869" s="182"/>
      <c r="L869" s="172"/>
      <c r="M869" s="180"/>
      <c r="N869" s="183"/>
      <c r="O869" s="184"/>
      <c r="P869" s="185"/>
    </row>
    <row r="870" spans="1:16" ht="15.75" customHeight="1" x14ac:dyDescent="0.25">
      <c r="A870" s="179"/>
      <c r="B870" s="186"/>
      <c r="C870" s="187"/>
      <c r="D870" s="188"/>
      <c r="E870" s="187"/>
      <c r="F870" s="189"/>
      <c r="G870" s="189"/>
      <c r="H870" s="188"/>
      <c r="I870" s="187"/>
      <c r="J870" s="180"/>
      <c r="K870" s="182"/>
      <c r="L870" s="172"/>
      <c r="M870" s="180"/>
      <c r="N870" s="183"/>
      <c r="O870" s="184"/>
      <c r="P870" s="185"/>
    </row>
    <row r="871" spans="1:16" ht="15.75" customHeight="1" x14ac:dyDescent="0.25">
      <c r="A871" s="179"/>
      <c r="B871" s="186"/>
      <c r="C871" s="187"/>
      <c r="D871" s="188"/>
      <c r="E871" s="187"/>
      <c r="F871" s="189"/>
      <c r="G871" s="189"/>
      <c r="H871" s="188"/>
      <c r="I871" s="187"/>
      <c r="J871" s="180"/>
      <c r="K871" s="182"/>
      <c r="L871" s="172"/>
      <c r="M871" s="180"/>
      <c r="N871" s="183"/>
      <c r="O871" s="184"/>
      <c r="P871" s="185"/>
    </row>
    <row r="872" spans="1:16" ht="15.75" customHeight="1" x14ac:dyDescent="0.25">
      <c r="A872" s="179"/>
      <c r="B872" s="186"/>
      <c r="C872" s="187"/>
      <c r="D872" s="188"/>
      <c r="E872" s="187"/>
      <c r="F872" s="189"/>
      <c r="G872" s="189"/>
      <c r="H872" s="188"/>
      <c r="I872" s="187"/>
      <c r="J872" s="180"/>
      <c r="K872" s="182"/>
      <c r="L872" s="172"/>
      <c r="M872" s="180"/>
      <c r="N872" s="183"/>
      <c r="O872" s="184"/>
      <c r="P872" s="185"/>
    </row>
    <row r="873" spans="1:16" ht="15.75" customHeight="1" x14ac:dyDescent="0.25">
      <c r="A873" s="179"/>
      <c r="B873" s="186"/>
      <c r="C873" s="187"/>
      <c r="D873" s="188"/>
      <c r="E873" s="187"/>
      <c r="F873" s="189"/>
      <c r="G873" s="189"/>
      <c r="H873" s="188"/>
      <c r="I873" s="187"/>
      <c r="J873" s="180"/>
      <c r="K873" s="182"/>
      <c r="L873" s="172"/>
      <c r="M873" s="180"/>
      <c r="N873" s="183"/>
      <c r="O873" s="184"/>
      <c r="P873" s="185"/>
    </row>
    <row r="874" spans="1:16" ht="15.75" customHeight="1" x14ac:dyDescent="0.25">
      <c r="A874" s="179"/>
      <c r="B874" s="186"/>
      <c r="C874" s="187"/>
      <c r="D874" s="188"/>
      <c r="E874" s="187"/>
      <c r="F874" s="189"/>
      <c r="G874" s="189"/>
      <c r="H874" s="188"/>
      <c r="I874" s="187"/>
      <c r="J874" s="180"/>
      <c r="K874" s="182"/>
      <c r="L874" s="172"/>
      <c r="M874" s="180"/>
      <c r="N874" s="183"/>
      <c r="O874" s="184"/>
      <c r="P874" s="185"/>
    </row>
    <row r="875" spans="1:16" ht="15.75" customHeight="1" x14ac:dyDescent="0.25">
      <c r="A875" s="179"/>
      <c r="B875" s="186"/>
      <c r="C875" s="187"/>
      <c r="D875" s="188"/>
      <c r="E875" s="187"/>
      <c r="F875" s="189"/>
      <c r="G875" s="189"/>
      <c r="H875" s="188"/>
      <c r="I875" s="187"/>
      <c r="J875" s="180"/>
      <c r="K875" s="182"/>
      <c r="L875" s="172"/>
      <c r="M875" s="180"/>
      <c r="N875" s="183"/>
      <c r="O875" s="184"/>
      <c r="P875" s="185"/>
    </row>
    <row r="876" spans="1:16" ht="15.75" customHeight="1" x14ac:dyDescent="0.25">
      <c r="A876" s="179"/>
      <c r="B876" s="186"/>
      <c r="C876" s="187"/>
      <c r="D876" s="188"/>
      <c r="E876" s="187"/>
      <c r="F876" s="189"/>
      <c r="G876" s="189"/>
      <c r="H876" s="188"/>
      <c r="I876" s="187"/>
      <c r="J876" s="180"/>
      <c r="K876" s="182"/>
      <c r="L876" s="172"/>
      <c r="M876" s="180"/>
      <c r="N876" s="183"/>
      <c r="O876" s="184"/>
      <c r="P876" s="185"/>
    </row>
    <row r="877" spans="1:16" ht="15.75" customHeight="1" x14ac:dyDescent="0.25">
      <c r="A877" s="179"/>
      <c r="B877" s="186"/>
      <c r="C877" s="187"/>
      <c r="D877" s="188"/>
      <c r="E877" s="187"/>
      <c r="F877" s="189"/>
      <c r="G877" s="189"/>
      <c r="H877" s="188"/>
      <c r="I877" s="187"/>
      <c r="J877" s="180"/>
      <c r="K877" s="182"/>
      <c r="L877" s="172"/>
      <c r="M877" s="180"/>
      <c r="N877" s="183"/>
      <c r="O877" s="184"/>
      <c r="P877" s="185"/>
    </row>
    <row r="878" spans="1:16" ht="15.75" customHeight="1" x14ac:dyDescent="0.25">
      <c r="A878" s="179"/>
      <c r="B878" s="186"/>
      <c r="C878" s="187"/>
      <c r="D878" s="188"/>
      <c r="E878" s="187"/>
      <c r="F878" s="189"/>
      <c r="G878" s="189"/>
      <c r="H878" s="188"/>
      <c r="I878" s="187"/>
      <c r="J878" s="180"/>
      <c r="K878" s="182"/>
      <c r="L878" s="172"/>
      <c r="M878" s="180"/>
      <c r="N878" s="183"/>
      <c r="O878" s="184"/>
      <c r="P878" s="185"/>
    </row>
    <row r="879" spans="1:16" ht="15.75" customHeight="1" x14ac:dyDescent="0.25">
      <c r="A879" s="179"/>
      <c r="B879" s="186"/>
      <c r="C879" s="187"/>
      <c r="D879" s="188"/>
      <c r="E879" s="187"/>
      <c r="F879" s="189"/>
      <c r="G879" s="189"/>
      <c r="H879" s="188"/>
      <c r="I879" s="187"/>
      <c r="J879" s="180"/>
      <c r="K879" s="182"/>
      <c r="L879" s="172"/>
      <c r="M879" s="180"/>
      <c r="N879" s="183"/>
      <c r="O879" s="184"/>
      <c r="P879" s="185"/>
    </row>
    <row r="880" spans="1:16" ht="15.75" customHeight="1" x14ac:dyDescent="0.25">
      <c r="A880" s="179"/>
      <c r="B880" s="186"/>
      <c r="C880" s="187"/>
      <c r="D880" s="188"/>
      <c r="E880" s="187"/>
      <c r="F880" s="189"/>
      <c r="G880" s="189"/>
      <c r="H880" s="188"/>
      <c r="I880" s="187"/>
      <c r="J880" s="180"/>
      <c r="K880" s="182"/>
      <c r="L880" s="172"/>
      <c r="M880" s="180"/>
      <c r="N880" s="183"/>
      <c r="O880" s="184"/>
      <c r="P880" s="185"/>
    </row>
    <row r="881" spans="1:16" ht="15.75" customHeight="1" x14ac:dyDescent="0.25">
      <c r="A881" s="179"/>
      <c r="B881" s="186"/>
      <c r="C881" s="187"/>
      <c r="D881" s="188"/>
      <c r="E881" s="187"/>
      <c r="F881" s="189"/>
      <c r="G881" s="189"/>
      <c r="H881" s="188"/>
      <c r="I881" s="187"/>
      <c r="J881" s="180"/>
      <c r="K881" s="182"/>
      <c r="L881" s="172"/>
      <c r="M881" s="180"/>
      <c r="N881" s="183"/>
      <c r="O881" s="184"/>
      <c r="P881" s="185"/>
    </row>
    <row r="882" spans="1:16" ht="15.75" customHeight="1" x14ac:dyDescent="0.25">
      <c r="A882" s="179"/>
      <c r="B882" s="186"/>
      <c r="C882" s="187"/>
      <c r="D882" s="188"/>
      <c r="E882" s="187"/>
      <c r="F882" s="189"/>
      <c r="G882" s="189"/>
      <c r="H882" s="188"/>
      <c r="I882" s="187"/>
      <c r="J882" s="180"/>
      <c r="K882" s="182"/>
      <c r="L882" s="172"/>
      <c r="M882" s="180"/>
      <c r="N882" s="183"/>
      <c r="O882" s="184"/>
      <c r="P882" s="185"/>
    </row>
    <row r="883" spans="1:16" ht="15.75" customHeight="1" x14ac:dyDescent="0.25">
      <c r="A883" s="179"/>
      <c r="B883" s="186"/>
      <c r="C883" s="187"/>
      <c r="D883" s="188"/>
      <c r="E883" s="187"/>
      <c r="F883" s="189"/>
      <c r="G883" s="189"/>
      <c r="H883" s="188"/>
      <c r="I883" s="187"/>
      <c r="J883" s="180"/>
      <c r="K883" s="182"/>
      <c r="L883" s="172"/>
      <c r="M883" s="180"/>
      <c r="N883" s="183"/>
      <c r="O883" s="184"/>
      <c r="P883" s="185"/>
    </row>
    <row r="884" spans="1:16" ht="15.75" customHeight="1" x14ac:dyDescent="0.25">
      <c r="A884" s="179"/>
      <c r="B884" s="186"/>
      <c r="C884" s="187"/>
      <c r="D884" s="188"/>
      <c r="E884" s="187"/>
      <c r="F884" s="189"/>
      <c r="G884" s="189"/>
      <c r="H884" s="188"/>
      <c r="I884" s="187"/>
      <c r="J884" s="180"/>
      <c r="K884" s="182"/>
      <c r="L884" s="172"/>
      <c r="M884" s="180"/>
      <c r="N884" s="183"/>
      <c r="O884" s="184"/>
      <c r="P884" s="185"/>
    </row>
    <row r="885" spans="1:16" ht="15.75" customHeight="1" x14ac:dyDescent="0.25">
      <c r="A885" s="179"/>
      <c r="B885" s="186"/>
      <c r="C885" s="187"/>
      <c r="D885" s="188"/>
      <c r="E885" s="187"/>
      <c r="F885" s="189"/>
      <c r="G885" s="189"/>
      <c r="H885" s="188"/>
      <c r="I885" s="187"/>
      <c r="J885" s="180"/>
      <c r="K885" s="182"/>
      <c r="L885" s="172"/>
      <c r="M885" s="180"/>
      <c r="N885" s="183"/>
      <c r="O885" s="184"/>
      <c r="P885" s="185"/>
    </row>
    <row r="886" spans="1:16" ht="15.75" customHeight="1" x14ac:dyDescent="0.25">
      <c r="A886" s="179"/>
      <c r="B886" s="186"/>
      <c r="C886" s="187"/>
      <c r="D886" s="188"/>
      <c r="E886" s="187"/>
      <c r="F886" s="189"/>
      <c r="G886" s="189"/>
      <c r="H886" s="188"/>
      <c r="I886" s="187"/>
      <c r="J886" s="180"/>
      <c r="K886" s="182"/>
      <c r="L886" s="172"/>
      <c r="M886" s="180"/>
      <c r="N886" s="183"/>
      <c r="O886" s="184"/>
      <c r="P886" s="185"/>
    </row>
    <row r="887" spans="1:16" ht="15.75" customHeight="1" x14ac:dyDescent="0.25">
      <c r="A887" s="179"/>
      <c r="B887" s="186"/>
      <c r="C887" s="187"/>
      <c r="D887" s="188"/>
      <c r="E887" s="187"/>
      <c r="F887" s="189"/>
      <c r="G887" s="189"/>
      <c r="H887" s="188"/>
      <c r="I887" s="187"/>
      <c r="J887" s="180"/>
      <c r="K887" s="182"/>
      <c r="L887" s="172"/>
      <c r="M887" s="180"/>
      <c r="N887" s="183"/>
      <c r="O887" s="184"/>
      <c r="P887" s="185"/>
    </row>
    <row r="888" spans="1:16" ht="15.75" customHeight="1" x14ac:dyDescent="0.25">
      <c r="A888" s="179"/>
      <c r="B888" s="186"/>
      <c r="C888" s="187"/>
      <c r="D888" s="188"/>
      <c r="E888" s="187"/>
      <c r="F888" s="189"/>
      <c r="G888" s="189"/>
      <c r="H888" s="188"/>
      <c r="I888" s="187"/>
      <c r="J888" s="180"/>
      <c r="K888" s="182"/>
      <c r="L888" s="172"/>
      <c r="M888" s="180"/>
      <c r="N888" s="183"/>
      <c r="O888" s="184"/>
      <c r="P888" s="185"/>
    </row>
    <row r="889" spans="1:16" ht="15.75" customHeight="1" x14ac:dyDescent="0.25">
      <c r="A889" s="179"/>
      <c r="B889" s="186"/>
      <c r="C889" s="187"/>
      <c r="D889" s="188"/>
      <c r="E889" s="187"/>
      <c r="F889" s="189"/>
      <c r="G889" s="189"/>
      <c r="H889" s="188"/>
      <c r="I889" s="187"/>
      <c r="J889" s="180"/>
      <c r="K889" s="182"/>
      <c r="L889" s="172"/>
      <c r="M889" s="180"/>
      <c r="N889" s="183"/>
      <c r="O889" s="184"/>
      <c r="P889" s="185"/>
    </row>
    <row r="890" spans="1:16" ht="15.75" customHeight="1" x14ac:dyDescent="0.25">
      <c r="A890" s="179"/>
      <c r="B890" s="186"/>
      <c r="C890" s="187"/>
      <c r="D890" s="188"/>
      <c r="E890" s="187"/>
      <c r="F890" s="189"/>
      <c r="G890" s="189"/>
      <c r="H890" s="188"/>
      <c r="I890" s="187"/>
      <c r="J890" s="180"/>
      <c r="K890" s="182"/>
      <c r="L890" s="172"/>
      <c r="M890" s="180"/>
      <c r="N890" s="183"/>
      <c r="O890" s="184"/>
      <c r="P890" s="185"/>
    </row>
    <row r="891" spans="1:16" ht="15.75" customHeight="1" x14ac:dyDescent="0.25">
      <c r="A891" s="179"/>
      <c r="B891" s="186"/>
      <c r="C891" s="187"/>
      <c r="D891" s="188"/>
      <c r="E891" s="187"/>
      <c r="F891" s="189"/>
      <c r="G891" s="189"/>
      <c r="H891" s="188"/>
      <c r="I891" s="187"/>
      <c r="J891" s="180"/>
      <c r="K891" s="182"/>
      <c r="L891" s="172"/>
      <c r="M891" s="180"/>
      <c r="N891" s="183"/>
      <c r="O891" s="184"/>
      <c r="P891" s="185"/>
    </row>
    <row r="892" spans="1:16" ht="15.75" customHeight="1" x14ac:dyDescent="0.25">
      <c r="A892" s="179"/>
      <c r="B892" s="186"/>
      <c r="C892" s="187"/>
      <c r="D892" s="188"/>
      <c r="E892" s="187"/>
      <c r="F892" s="189"/>
      <c r="G892" s="189"/>
      <c r="H892" s="188"/>
      <c r="I892" s="187"/>
      <c r="J892" s="180"/>
      <c r="K892" s="182"/>
      <c r="L892" s="172"/>
      <c r="M892" s="180"/>
      <c r="N892" s="183"/>
      <c r="O892" s="184"/>
      <c r="P892" s="185"/>
    </row>
    <row r="893" spans="1:16" ht="15.75" customHeight="1" x14ac:dyDescent="0.25">
      <c r="A893" s="179"/>
      <c r="B893" s="186"/>
      <c r="C893" s="187"/>
      <c r="D893" s="188"/>
      <c r="E893" s="187"/>
      <c r="F893" s="189"/>
      <c r="G893" s="189"/>
      <c r="H893" s="188"/>
      <c r="I893" s="187"/>
      <c r="J893" s="180"/>
      <c r="K893" s="182"/>
      <c r="L893" s="172"/>
      <c r="M893" s="180"/>
      <c r="N893" s="183"/>
      <c r="O893" s="184"/>
      <c r="P893" s="185"/>
    </row>
    <row r="894" spans="1:16" ht="15.75" customHeight="1" x14ac:dyDescent="0.25">
      <c r="A894" s="179"/>
      <c r="B894" s="186"/>
      <c r="C894" s="187"/>
      <c r="D894" s="188"/>
      <c r="E894" s="187"/>
      <c r="F894" s="189"/>
      <c r="G894" s="189"/>
      <c r="H894" s="188"/>
      <c r="I894" s="187"/>
      <c r="J894" s="180"/>
      <c r="K894" s="182"/>
      <c r="L894" s="172"/>
      <c r="M894" s="180"/>
      <c r="N894" s="183"/>
      <c r="O894" s="184"/>
      <c r="P894" s="185"/>
    </row>
    <row r="895" spans="1:16" ht="15.75" customHeight="1" x14ac:dyDescent="0.25">
      <c r="A895" s="179"/>
      <c r="B895" s="186"/>
      <c r="C895" s="187"/>
      <c r="D895" s="188"/>
      <c r="E895" s="187"/>
      <c r="F895" s="189"/>
      <c r="G895" s="189"/>
      <c r="H895" s="188"/>
      <c r="I895" s="187"/>
      <c r="J895" s="180"/>
      <c r="K895" s="182"/>
      <c r="L895" s="172"/>
      <c r="M895" s="180"/>
      <c r="N895" s="183"/>
      <c r="O895" s="184"/>
      <c r="P895" s="185"/>
    </row>
    <row r="896" spans="1:16" ht="15.75" customHeight="1" x14ac:dyDescent="0.25">
      <c r="A896" s="179"/>
      <c r="B896" s="186"/>
      <c r="C896" s="187"/>
      <c r="D896" s="188"/>
      <c r="E896" s="187"/>
      <c r="F896" s="189"/>
      <c r="G896" s="189"/>
      <c r="H896" s="188"/>
      <c r="I896" s="187"/>
      <c r="J896" s="180"/>
      <c r="K896" s="182"/>
      <c r="L896" s="172"/>
      <c r="M896" s="180"/>
      <c r="N896" s="183"/>
      <c r="O896" s="184"/>
      <c r="P896" s="185"/>
    </row>
    <row r="897" spans="1:16" ht="15.75" customHeight="1" x14ac:dyDescent="0.25">
      <c r="A897" s="179"/>
      <c r="B897" s="186"/>
      <c r="C897" s="187"/>
      <c r="D897" s="188"/>
      <c r="E897" s="187"/>
      <c r="F897" s="189"/>
      <c r="G897" s="189"/>
      <c r="H897" s="188"/>
      <c r="I897" s="187"/>
      <c r="J897" s="180"/>
      <c r="K897" s="182"/>
      <c r="L897" s="172"/>
      <c r="M897" s="180"/>
      <c r="N897" s="183"/>
      <c r="O897" s="184"/>
      <c r="P897" s="185"/>
    </row>
    <row r="898" spans="1:16" ht="15.75" customHeight="1" x14ac:dyDescent="0.25">
      <c r="A898" s="179"/>
      <c r="B898" s="186"/>
      <c r="C898" s="187"/>
      <c r="D898" s="188"/>
      <c r="E898" s="187"/>
      <c r="F898" s="189"/>
      <c r="G898" s="189"/>
      <c r="H898" s="188"/>
      <c r="I898" s="187"/>
      <c r="J898" s="180"/>
      <c r="K898" s="182"/>
      <c r="L898" s="172"/>
      <c r="M898" s="180"/>
      <c r="N898" s="183"/>
      <c r="O898" s="184"/>
      <c r="P898" s="185"/>
    </row>
    <row r="899" spans="1:16" ht="15.75" customHeight="1" x14ac:dyDescent="0.25">
      <c r="A899" s="179"/>
      <c r="B899" s="186"/>
      <c r="C899" s="187"/>
      <c r="D899" s="188"/>
      <c r="E899" s="187"/>
      <c r="F899" s="189"/>
      <c r="G899" s="189"/>
      <c r="H899" s="188"/>
      <c r="I899" s="187"/>
      <c r="J899" s="180"/>
      <c r="K899" s="182"/>
      <c r="L899" s="172"/>
      <c r="M899" s="180"/>
      <c r="N899" s="183"/>
      <c r="O899" s="184"/>
      <c r="P899" s="185"/>
    </row>
    <row r="900" spans="1:16" ht="15.75" customHeight="1" x14ac:dyDescent="0.25">
      <c r="A900" s="179"/>
      <c r="B900" s="186"/>
      <c r="C900" s="187"/>
      <c r="D900" s="188"/>
      <c r="E900" s="187"/>
      <c r="F900" s="189"/>
      <c r="G900" s="189"/>
      <c r="H900" s="188"/>
      <c r="I900" s="187"/>
      <c r="J900" s="180"/>
      <c r="K900" s="182"/>
      <c r="L900" s="172"/>
      <c r="M900" s="180"/>
      <c r="N900" s="183"/>
      <c r="O900" s="184"/>
      <c r="P900" s="185"/>
    </row>
    <row r="901" spans="1:16" ht="15.75" customHeight="1" x14ac:dyDescent="0.25">
      <c r="A901" s="179"/>
      <c r="B901" s="186"/>
      <c r="C901" s="187"/>
      <c r="D901" s="188"/>
      <c r="E901" s="187"/>
      <c r="F901" s="189"/>
      <c r="G901" s="189"/>
      <c r="H901" s="188"/>
      <c r="I901" s="187"/>
      <c r="J901" s="180"/>
      <c r="K901" s="182"/>
      <c r="L901" s="172"/>
      <c r="M901" s="180"/>
      <c r="N901" s="183"/>
      <c r="O901" s="184"/>
      <c r="P901" s="185"/>
    </row>
    <row r="902" spans="1:16" ht="15.75" customHeight="1" x14ac:dyDescent="0.25">
      <c r="A902" s="179"/>
      <c r="B902" s="186"/>
      <c r="C902" s="187"/>
      <c r="D902" s="188"/>
      <c r="E902" s="187"/>
      <c r="F902" s="189"/>
      <c r="G902" s="189"/>
      <c r="H902" s="188"/>
      <c r="I902" s="187"/>
      <c r="J902" s="180"/>
      <c r="K902" s="182"/>
      <c r="L902" s="172"/>
      <c r="M902" s="180"/>
      <c r="N902" s="183"/>
      <c r="O902" s="184"/>
      <c r="P902" s="185"/>
    </row>
    <row r="903" spans="1:16" ht="15.75" customHeight="1" x14ac:dyDescent="0.25">
      <c r="A903" s="179"/>
      <c r="B903" s="186"/>
      <c r="C903" s="187"/>
      <c r="D903" s="188"/>
      <c r="E903" s="187"/>
      <c r="F903" s="189"/>
      <c r="G903" s="189"/>
      <c r="H903" s="188"/>
      <c r="I903" s="187"/>
      <c r="J903" s="180"/>
      <c r="K903" s="182"/>
      <c r="L903" s="172"/>
      <c r="M903" s="180"/>
      <c r="N903" s="183"/>
      <c r="O903" s="184"/>
      <c r="P903" s="185"/>
    </row>
    <row r="904" spans="1:16" ht="15.75" customHeight="1" x14ac:dyDescent="0.25">
      <c r="A904" s="179"/>
      <c r="B904" s="186"/>
      <c r="C904" s="187"/>
      <c r="D904" s="188"/>
      <c r="E904" s="187"/>
      <c r="F904" s="189"/>
      <c r="G904" s="189"/>
      <c r="H904" s="188"/>
      <c r="I904" s="187"/>
      <c r="J904" s="180"/>
      <c r="K904" s="182"/>
      <c r="L904" s="172"/>
      <c r="M904" s="180"/>
      <c r="N904" s="183"/>
      <c r="O904" s="184"/>
      <c r="P904" s="185"/>
    </row>
    <row r="905" spans="1:16" ht="15.75" customHeight="1" x14ac:dyDescent="0.25">
      <c r="A905" s="179"/>
      <c r="B905" s="186"/>
      <c r="C905" s="187"/>
      <c r="D905" s="188"/>
      <c r="E905" s="187"/>
      <c r="F905" s="189"/>
      <c r="G905" s="189"/>
      <c r="H905" s="188"/>
      <c r="I905" s="187"/>
      <c r="J905" s="180"/>
      <c r="K905" s="182"/>
      <c r="L905" s="172"/>
      <c r="M905" s="180"/>
      <c r="N905" s="183"/>
      <c r="O905" s="184"/>
      <c r="P905" s="185"/>
    </row>
    <row r="906" spans="1:16" ht="15.75" customHeight="1" x14ac:dyDescent="0.25">
      <c r="A906" s="179"/>
      <c r="B906" s="186"/>
      <c r="C906" s="187"/>
      <c r="D906" s="188"/>
      <c r="E906" s="187"/>
      <c r="F906" s="189"/>
      <c r="G906" s="189"/>
      <c r="H906" s="188"/>
      <c r="I906" s="187"/>
      <c r="J906" s="180"/>
      <c r="K906" s="182"/>
      <c r="L906" s="172"/>
      <c r="M906" s="180"/>
      <c r="N906" s="183"/>
      <c r="O906" s="184"/>
      <c r="P906" s="185"/>
    </row>
    <row r="907" spans="1:16" ht="15.75" customHeight="1" x14ac:dyDescent="0.25">
      <c r="A907" s="179"/>
      <c r="B907" s="186"/>
      <c r="C907" s="187"/>
      <c r="D907" s="188"/>
      <c r="E907" s="187"/>
      <c r="F907" s="189"/>
      <c r="G907" s="189"/>
      <c r="H907" s="188"/>
      <c r="I907" s="187"/>
      <c r="J907" s="180"/>
      <c r="K907" s="182"/>
      <c r="L907" s="172"/>
      <c r="M907" s="180"/>
      <c r="N907" s="183"/>
      <c r="O907" s="184"/>
      <c r="P907" s="185"/>
    </row>
    <row r="908" spans="1:16" ht="15.75" customHeight="1" x14ac:dyDescent="0.25">
      <c r="A908" s="179"/>
      <c r="B908" s="186"/>
      <c r="C908" s="187"/>
      <c r="D908" s="188"/>
      <c r="E908" s="187"/>
      <c r="F908" s="189"/>
      <c r="G908" s="189"/>
      <c r="H908" s="188"/>
      <c r="I908" s="187"/>
      <c r="J908" s="180"/>
      <c r="K908" s="182"/>
      <c r="L908" s="172"/>
      <c r="M908" s="180"/>
      <c r="N908" s="183"/>
      <c r="O908" s="184"/>
      <c r="P908" s="185"/>
    </row>
    <row r="909" spans="1:16" ht="15.75" customHeight="1" x14ac:dyDescent="0.25">
      <c r="A909" s="179"/>
      <c r="B909" s="186"/>
      <c r="C909" s="187"/>
      <c r="D909" s="188"/>
      <c r="E909" s="187"/>
      <c r="F909" s="189"/>
      <c r="G909" s="189"/>
      <c r="H909" s="188"/>
      <c r="I909" s="187"/>
      <c r="J909" s="180"/>
      <c r="K909" s="182"/>
      <c r="L909" s="172"/>
      <c r="M909" s="180"/>
      <c r="N909" s="183"/>
      <c r="O909" s="184"/>
      <c r="P909" s="185"/>
    </row>
    <row r="910" spans="1:16" ht="15.75" customHeight="1" x14ac:dyDescent="0.25">
      <c r="A910" s="179"/>
      <c r="B910" s="186"/>
      <c r="C910" s="187"/>
      <c r="D910" s="188"/>
      <c r="E910" s="187"/>
      <c r="F910" s="189"/>
      <c r="G910" s="189"/>
      <c r="H910" s="188"/>
      <c r="I910" s="187"/>
      <c r="J910" s="180"/>
      <c r="K910" s="182"/>
      <c r="L910" s="172"/>
      <c r="M910" s="180"/>
      <c r="N910" s="183"/>
      <c r="O910" s="184"/>
      <c r="P910" s="185"/>
    </row>
    <row r="911" spans="1:16" ht="15.75" customHeight="1" x14ac:dyDescent="0.25">
      <c r="A911" s="179"/>
      <c r="B911" s="186"/>
      <c r="C911" s="187"/>
      <c r="D911" s="188"/>
      <c r="E911" s="187"/>
      <c r="F911" s="189"/>
      <c r="G911" s="189"/>
      <c r="H911" s="188"/>
      <c r="I911" s="187"/>
      <c r="J911" s="180"/>
      <c r="K911" s="182"/>
      <c r="L911" s="172"/>
      <c r="M911" s="180"/>
      <c r="N911" s="183"/>
      <c r="O911" s="184"/>
      <c r="P911" s="185"/>
    </row>
    <row r="912" spans="1:16" ht="15.75" customHeight="1" x14ac:dyDescent="0.25">
      <c r="A912" s="179"/>
      <c r="B912" s="186"/>
      <c r="C912" s="187"/>
      <c r="D912" s="188"/>
      <c r="E912" s="187"/>
      <c r="F912" s="189"/>
      <c r="G912" s="189"/>
      <c r="H912" s="188"/>
      <c r="I912" s="187"/>
      <c r="J912" s="180"/>
      <c r="K912" s="182"/>
      <c r="L912" s="172"/>
      <c r="M912" s="180"/>
      <c r="N912" s="183"/>
      <c r="O912" s="184"/>
      <c r="P912" s="185"/>
    </row>
    <row r="913" spans="1:16" ht="15.75" customHeight="1" x14ac:dyDescent="0.25">
      <c r="A913" s="179"/>
      <c r="B913" s="186"/>
      <c r="C913" s="187"/>
      <c r="D913" s="188"/>
      <c r="E913" s="187"/>
      <c r="F913" s="189"/>
      <c r="G913" s="189"/>
      <c r="H913" s="188"/>
      <c r="I913" s="187"/>
      <c r="J913" s="180"/>
      <c r="K913" s="182"/>
      <c r="L913" s="172"/>
      <c r="M913" s="180"/>
      <c r="N913" s="183"/>
      <c r="O913" s="184"/>
      <c r="P913" s="185"/>
    </row>
    <row r="914" spans="1:16" ht="15.75" customHeight="1" x14ac:dyDescent="0.25">
      <c r="A914" s="179"/>
      <c r="B914" s="186"/>
      <c r="C914" s="187"/>
      <c r="D914" s="188"/>
      <c r="E914" s="187"/>
      <c r="F914" s="189"/>
      <c r="G914" s="189"/>
      <c r="H914" s="188"/>
      <c r="I914" s="187"/>
      <c r="J914" s="180"/>
      <c r="K914" s="182"/>
      <c r="L914" s="172"/>
      <c r="M914" s="180"/>
      <c r="N914" s="183"/>
      <c r="O914" s="184"/>
      <c r="P914" s="185"/>
    </row>
    <row r="915" spans="1:16" ht="15.75" customHeight="1" x14ac:dyDescent="0.25">
      <c r="A915" s="179"/>
      <c r="B915" s="186"/>
      <c r="C915" s="187"/>
      <c r="D915" s="188"/>
      <c r="E915" s="187"/>
      <c r="F915" s="189"/>
      <c r="G915" s="189"/>
      <c r="H915" s="188"/>
      <c r="I915" s="187"/>
      <c r="J915" s="180"/>
      <c r="K915" s="182"/>
      <c r="L915" s="172"/>
      <c r="M915" s="180"/>
      <c r="N915" s="183"/>
      <c r="O915" s="184"/>
      <c r="P915" s="185"/>
    </row>
    <row r="916" spans="1:16" ht="15.75" customHeight="1" x14ac:dyDescent="0.25">
      <c r="A916" s="179"/>
      <c r="B916" s="186"/>
      <c r="C916" s="187"/>
      <c r="D916" s="188"/>
      <c r="E916" s="187"/>
      <c r="F916" s="189"/>
      <c r="G916" s="189"/>
      <c r="H916" s="188"/>
      <c r="I916" s="187"/>
      <c r="J916" s="180"/>
      <c r="K916" s="182"/>
      <c r="L916" s="172"/>
      <c r="M916" s="180"/>
      <c r="N916" s="183"/>
      <c r="O916" s="184"/>
      <c r="P916" s="185"/>
    </row>
    <row r="917" spans="1:16" ht="15.75" customHeight="1" x14ac:dyDescent="0.25">
      <c r="A917" s="179"/>
      <c r="B917" s="186"/>
      <c r="C917" s="187"/>
      <c r="D917" s="188"/>
      <c r="E917" s="187"/>
      <c r="F917" s="189"/>
      <c r="G917" s="189"/>
      <c r="H917" s="188"/>
      <c r="I917" s="187"/>
      <c r="J917" s="180"/>
      <c r="K917" s="182"/>
      <c r="L917" s="172"/>
      <c r="M917" s="180"/>
      <c r="N917" s="183"/>
      <c r="O917" s="184"/>
      <c r="P917" s="185"/>
    </row>
    <row r="918" spans="1:16" ht="15.75" customHeight="1" x14ac:dyDescent="0.25">
      <c r="A918" s="179"/>
      <c r="B918" s="186"/>
      <c r="C918" s="187"/>
      <c r="D918" s="188"/>
      <c r="E918" s="187"/>
      <c r="F918" s="189"/>
      <c r="G918" s="189"/>
      <c r="H918" s="188"/>
      <c r="I918" s="187"/>
      <c r="J918" s="180"/>
      <c r="K918" s="182"/>
      <c r="L918" s="172"/>
      <c r="M918" s="180"/>
      <c r="N918" s="183"/>
      <c r="O918" s="184"/>
      <c r="P918" s="185"/>
    </row>
    <row r="919" spans="1:16" ht="15.75" customHeight="1" x14ac:dyDescent="0.25">
      <c r="A919" s="179"/>
      <c r="B919" s="186"/>
      <c r="C919" s="187"/>
      <c r="D919" s="188"/>
      <c r="E919" s="187"/>
      <c r="F919" s="189"/>
      <c r="G919" s="189"/>
      <c r="H919" s="188"/>
      <c r="I919" s="187"/>
      <c r="J919" s="180"/>
      <c r="K919" s="182"/>
      <c r="L919" s="172"/>
      <c r="M919" s="180"/>
      <c r="N919" s="183"/>
      <c r="O919" s="184"/>
      <c r="P919" s="185"/>
    </row>
    <row r="920" spans="1:16" ht="15.75" customHeight="1" x14ac:dyDescent="0.25">
      <c r="A920" s="179"/>
      <c r="B920" s="186"/>
      <c r="C920" s="187"/>
      <c r="D920" s="188"/>
      <c r="E920" s="187"/>
      <c r="F920" s="189"/>
      <c r="G920" s="189"/>
      <c r="H920" s="188"/>
      <c r="I920" s="187"/>
      <c r="J920" s="180"/>
      <c r="K920" s="182"/>
      <c r="L920" s="172"/>
      <c r="M920" s="180"/>
      <c r="N920" s="183"/>
      <c r="O920" s="184"/>
      <c r="P920" s="185"/>
    </row>
    <row r="921" spans="1:16" ht="15.75" customHeight="1" x14ac:dyDescent="0.25">
      <c r="A921" s="179"/>
      <c r="B921" s="186"/>
      <c r="C921" s="187"/>
      <c r="D921" s="188"/>
      <c r="E921" s="187"/>
      <c r="F921" s="189"/>
      <c r="G921" s="189"/>
      <c r="H921" s="188"/>
      <c r="I921" s="187"/>
      <c r="J921" s="180"/>
      <c r="K921" s="182"/>
      <c r="L921" s="172"/>
      <c r="M921" s="180"/>
      <c r="N921" s="183"/>
      <c r="O921" s="184"/>
      <c r="P921" s="185"/>
    </row>
    <row r="922" spans="1:16" ht="15.75" customHeight="1" x14ac:dyDescent="0.25">
      <c r="A922" s="179"/>
      <c r="B922" s="186"/>
      <c r="C922" s="187"/>
      <c r="D922" s="188"/>
      <c r="E922" s="187"/>
      <c r="F922" s="189"/>
      <c r="G922" s="189"/>
      <c r="H922" s="188"/>
      <c r="I922" s="187"/>
      <c r="J922" s="180"/>
      <c r="K922" s="182"/>
      <c r="L922" s="172"/>
      <c r="M922" s="180"/>
      <c r="N922" s="183"/>
      <c r="O922" s="184"/>
      <c r="P922" s="185"/>
    </row>
    <row r="923" spans="1:16" ht="15.75" customHeight="1" x14ac:dyDescent="0.25">
      <c r="A923" s="179"/>
      <c r="B923" s="186"/>
      <c r="C923" s="187"/>
      <c r="D923" s="188"/>
      <c r="E923" s="187"/>
      <c r="F923" s="189"/>
      <c r="G923" s="189"/>
      <c r="H923" s="188"/>
      <c r="I923" s="187"/>
      <c r="J923" s="180"/>
      <c r="K923" s="182"/>
      <c r="L923" s="172"/>
      <c r="M923" s="180"/>
      <c r="N923" s="183"/>
      <c r="O923" s="184"/>
      <c r="P923" s="185"/>
    </row>
    <row r="924" spans="1:16" ht="15.75" customHeight="1" x14ac:dyDescent="0.25">
      <c r="A924" s="179"/>
      <c r="B924" s="186"/>
      <c r="C924" s="187"/>
      <c r="D924" s="188"/>
      <c r="E924" s="187"/>
      <c r="F924" s="189"/>
      <c r="G924" s="189"/>
      <c r="H924" s="188"/>
      <c r="I924" s="187"/>
      <c r="J924" s="180"/>
      <c r="K924" s="182"/>
      <c r="L924" s="172"/>
      <c r="M924" s="180"/>
      <c r="N924" s="183"/>
      <c r="O924" s="184"/>
      <c r="P924" s="185"/>
    </row>
    <row r="925" spans="1:16" ht="15.75" customHeight="1" x14ac:dyDescent="0.25">
      <c r="A925" s="179"/>
      <c r="B925" s="186"/>
      <c r="C925" s="187"/>
      <c r="D925" s="188"/>
      <c r="E925" s="187"/>
      <c r="F925" s="189"/>
      <c r="G925" s="189"/>
      <c r="H925" s="188"/>
      <c r="I925" s="187"/>
      <c r="J925" s="180"/>
      <c r="K925" s="182"/>
      <c r="L925" s="172"/>
      <c r="M925" s="180"/>
      <c r="N925" s="183"/>
      <c r="O925" s="184"/>
      <c r="P925" s="185"/>
    </row>
    <row r="926" spans="1:16" ht="15.75" customHeight="1" x14ac:dyDescent="0.25">
      <c r="A926" s="179"/>
      <c r="B926" s="186"/>
      <c r="C926" s="187"/>
      <c r="D926" s="188"/>
      <c r="E926" s="187"/>
      <c r="F926" s="189"/>
      <c r="G926" s="189"/>
      <c r="H926" s="188"/>
      <c r="I926" s="187"/>
      <c r="J926" s="180"/>
      <c r="K926" s="182"/>
      <c r="L926" s="172"/>
      <c r="M926" s="180"/>
      <c r="N926" s="183"/>
      <c r="O926" s="184"/>
      <c r="P926" s="185"/>
    </row>
    <row r="927" spans="1:16" ht="15.75" customHeight="1" x14ac:dyDescent="0.25">
      <c r="A927" s="179"/>
      <c r="B927" s="186"/>
      <c r="C927" s="187"/>
      <c r="D927" s="188"/>
      <c r="E927" s="187"/>
      <c r="F927" s="189"/>
      <c r="G927" s="189"/>
      <c r="H927" s="188"/>
      <c r="I927" s="187"/>
      <c r="J927" s="180"/>
      <c r="K927" s="182"/>
      <c r="L927" s="172"/>
      <c r="M927" s="180"/>
      <c r="N927" s="183"/>
      <c r="O927" s="184"/>
      <c r="P927" s="185"/>
    </row>
    <row r="928" spans="1:16" ht="15.75" customHeight="1" x14ac:dyDescent="0.25">
      <c r="A928" s="179"/>
      <c r="B928" s="186"/>
      <c r="C928" s="187"/>
      <c r="D928" s="188"/>
      <c r="E928" s="187"/>
      <c r="F928" s="189"/>
      <c r="G928" s="189"/>
      <c r="H928" s="188"/>
      <c r="I928" s="187"/>
      <c r="J928" s="180"/>
      <c r="K928" s="182"/>
      <c r="L928" s="172"/>
      <c r="M928" s="180"/>
      <c r="N928" s="183"/>
      <c r="O928" s="184"/>
      <c r="P928" s="185"/>
    </row>
    <row r="929" spans="1:16" ht="15.75" customHeight="1" x14ac:dyDescent="0.25">
      <c r="A929" s="179"/>
      <c r="B929" s="186"/>
      <c r="C929" s="187"/>
      <c r="D929" s="188"/>
      <c r="E929" s="187"/>
      <c r="F929" s="189"/>
      <c r="G929" s="189"/>
      <c r="H929" s="188"/>
      <c r="I929" s="187"/>
      <c r="J929" s="180"/>
      <c r="K929" s="182"/>
      <c r="L929" s="172"/>
      <c r="M929" s="180"/>
      <c r="N929" s="183"/>
      <c r="O929" s="184"/>
      <c r="P929" s="185"/>
    </row>
    <row r="930" spans="1:16" ht="15.75" customHeight="1" x14ac:dyDescent="0.25">
      <c r="A930" s="179"/>
      <c r="B930" s="186"/>
      <c r="C930" s="187"/>
      <c r="D930" s="188"/>
      <c r="E930" s="187"/>
      <c r="F930" s="189"/>
      <c r="G930" s="189"/>
      <c r="H930" s="188"/>
      <c r="I930" s="187"/>
      <c r="J930" s="180"/>
      <c r="K930" s="182"/>
      <c r="L930" s="172"/>
      <c r="M930" s="180"/>
      <c r="N930" s="183"/>
      <c r="O930" s="184"/>
      <c r="P930" s="185"/>
    </row>
    <row r="931" spans="1:16" ht="15.75" customHeight="1" x14ac:dyDescent="0.25">
      <c r="A931" s="179"/>
      <c r="B931" s="186"/>
      <c r="C931" s="187"/>
      <c r="D931" s="188"/>
      <c r="E931" s="187"/>
      <c r="F931" s="189"/>
      <c r="G931" s="189"/>
      <c r="H931" s="188"/>
      <c r="I931" s="187"/>
      <c r="J931" s="180"/>
      <c r="K931" s="182"/>
      <c r="L931" s="172"/>
      <c r="M931" s="180"/>
      <c r="N931" s="183"/>
      <c r="O931" s="184"/>
      <c r="P931" s="185"/>
    </row>
    <row r="932" spans="1:16" ht="15.75" customHeight="1" x14ac:dyDescent="0.25">
      <c r="A932" s="179"/>
      <c r="B932" s="186"/>
      <c r="C932" s="187"/>
      <c r="D932" s="188"/>
      <c r="E932" s="187"/>
      <c r="F932" s="189"/>
      <c r="G932" s="189"/>
      <c r="H932" s="188"/>
      <c r="I932" s="187"/>
      <c r="J932" s="180"/>
      <c r="K932" s="182"/>
      <c r="L932" s="172"/>
      <c r="M932" s="180"/>
      <c r="N932" s="183"/>
      <c r="O932" s="184"/>
      <c r="P932" s="185"/>
    </row>
    <row r="933" spans="1:16" ht="15.75" customHeight="1" x14ac:dyDescent="0.25">
      <c r="A933" s="179"/>
      <c r="B933" s="186"/>
      <c r="C933" s="187"/>
      <c r="D933" s="188"/>
      <c r="E933" s="187"/>
      <c r="F933" s="189"/>
      <c r="G933" s="189"/>
      <c r="H933" s="188"/>
      <c r="I933" s="187"/>
      <c r="J933" s="180"/>
      <c r="K933" s="182"/>
      <c r="L933" s="172"/>
      <c r="M933" s="180"/>
      <c r="N933" s="183"/>
      <c r="O933" s="184"/>
      <c r="P933" s="185"/>
    </row>
    <row r="934" spans="1:16" ht="15.75" customHeight="1" x14ac:dyDescent="0.25">
      <c r="A934" s="179"/>
      <c r="B934" s="186"/>
      <c r="C934" s="187"/>
      <c r="D934" s="188"/>
      <c r="E934" s="187"/>
      <c r="F934" s="189"/>
      <c r="G934" s="189"/>
      <c r="H934" s="188"/>
      <c r="I934" s="187"/>
      <c r="J934" s="180"/>
      <c r="K934" s="182"/>
      <c r="L934" s="172"/>
      <c r="M934" s="180"/>
      <c r="N934" s="183"/>
      <c r="O934" s="184"/>
      <c r="P934" s="185"/>
    </row>
    <row r="935" spans="1:16" ht="15.75" customHeight="1" x14ac:dyDescent="0.25">
      <c r="A935" s="179"/>
      <c r="B935" s="186"/>
      <c r="C935" s="187"/>
      <c r="D935" s="188"/>
      <c r="E935" s="187"/>
      <c r="F935" s="189"/>
      <c r="G935" s="189"/>
      <c r="H935" s="188"/>
      <c r="I935" s="187"/>
      <c r="J935" s="180"/>
      <c r="K935" s="182"/>
      <c r="L935" s="172"/>
      <c r="M935" s="180"/>
      <c r="N935" s="183"/>
      <c r="O935" s="184"/>
      <c r="P935" s="185"/>
    </row>
    <row r="936" spans="1:16" ht="15.75" customHeight="1" x14ac:dyDescent="0.25">
      <c r="A936" s="179"/>
      <c r="B936" s="186"/>
      <c r="C936" s="187"/>
      <c r="D936" s="188"/>
      <c r="E936" s="187"/>
      <c r="F936" s="189"/>
      <c r="G936" s="189"/>
      <c r="H936" s="188"/>
      <c r="I936" s="187"/>
      <c r="J936" s="180"/>
      <c r="K936" s="182"/>
      <c r="L936" s="172"/>
      <c r="M936" s="180"/>
      <c r="N936" s="183"/>
      <c r="O936" s="184"/>
      <c r="P936" s="185"/>
    </row>
    <row r="937" spans="1:16" ht="15.75" customHeight="1" x14ac:dyDescent="0.25">
      <c r="A937" s="179"/>
      <c r="B937" s="186"/>
      <c r="C937" s="187"/>
      <c r="D937" s="188"/>
      <c r="E937" s="187"/>
      <c r="F937" s="189"/>
      <c r="G937" s="189"/>
      <c r="H937" s="188"/>
      <c r="I937" s="187"/>
      <c r="J937" s="180"/>
      <c r="K937" s="182"/>
      <c r="L937" s="172"/>
      <c r="M937" s="180"/>
      <c r="N937" s="183"/>
      <c r="O937" s="184"/>
      <c r="P937" s="185"/>
    </row>
    <row r="938" spans="1:16" ht="15.75" customHeight="1" x14ac:dyDescent="0.25">
      <c r="A938" s="179"/>
      <c r="B938" s="186"/>
      <c r="C938" s="187"/>
      <c r="D938" s="188"/>
      <c r="E938" s="187"/>
      <c r="F938" s="189"/>
      <c r="G938" s="189"/>
      <c r="H938" s="188"/>
      <c r="I938" s="187"/>
      <c r="J938" s="180"/>
      <c r="K938" s="182"/>
      <c r="L938" s="172"/>
      <c r="M938" s="180"/>
      <c r="N938" s="183"/>
      <c r="O938" s="184"/>
      <c r="P938" s="185"/>
    </row>
    <row r="939" spans="1:16" ht="15.75" customHeight="1" x14ac:dyDescent="0.25">
      <c r="A939" s="179"/>
      <c r="B939" s="186"/>
      <c r="C939" s="187"/>
      <c r="D939" s="188"/>
      <c r="E939" s="187"/>
      <c r="F939" s="189"/>
      <c r="G939" s="189"/>
      <c r="H939" s="188"/>
      <c r="I939" s="187"/>
      <c r="J939" s="180"/>
      <c r="K939" s="182"/>
      <c r="L939" s="172"/>
      <c r="M939" s="180"/>
      <c r="N939" s="183"/>
      <c r="O939" s="184"/>
      <c r="P939" s="185"/>
    </row>
    <row r="940" spans="1:16" ht="15.75" customHeight="1" x14ac:dyDescent="0.25">
      <c r="A940" s="179"/>
      <c r="B940" s="186"/>
      <c r="C940" s="187"/>
      <c r="D940" s="188"/>
      <c r="E940" s="187"/>
      <c r="F940" s="189"/>
      <c r="G940" s="189"/>
      <c r="H940" s="188"/>
      <c r="I940" s="187"/>
      <c r="J940" s="180"/>
      <c r="K940" s="182"/>
      <c r="L940" s="172"/>
      <c r="M940" s="180"/>
      <c r="N940" s="183"/>
      <c r="O940" s="184"/>
      <c r="P940" s="185"/>
    </row>
    <row r="941" spans="1:16" ht="15.75" customHeight="1" x14ac:dyDescent="0.25">
      <c r="A941" s="179"/>
      <c r="B941" s="186"/>
      <c r="C941" s="187"/>
      <c r="D941" s="188"/>
      <c r="E941" s="187"/>
      <c r="F941" s="189"/>
      <c r="G941" s="189"/>
      <c r="H941" s="188"/>
      <c r="I941" s="187"/>
      <c r="J941" s="180"/>
      <c r="K941" s="182"/>
      <c r="L941" s="172"/>
      <c r="M941" s="180"/>
      <c r="N941" s="183"/>
      <c r="O941" s="184"/>
      <c r="P941" s="185"/>
    </row>
    <row r="942" spans="1:16" ht="15.75" customHeight="1" x14ac:dyDescent="0.25">
      <c r="A942" s="179"/>
      <c r="B942" s="186"/>
      <c r="C942" s="187"/>
      <c r="D942" s="188"/>
      <c r="E942" s="187"/>
      <c r="F942" s="189"/>
      <c r="G942" s="189"/>
      <c r="H942" s="188"/>
      <c r="I942" s="187"/>
      <c r="J942" s="180"/>
      <c r="K942" s="182"/>
      <c r="L942" s="172"/>
      <c r="M942" s="180"/>
      <c r="N942" s="183"/>
      <c r="O942" s="184"/>
      <c r="P942" s="185"/>
    </row>
    <row r="943" spans="1:16" ht="15.75" customHeight="1" x14ac:dyDescent="0.25">
      <c r="A943" s="179"/>
      <c r="B943" s="186"/>
      <c r="C943" s="187"/>
      <c r="D943" s="188"/>
      <c r="E943" s="187"/>
      <c r="F943" s="189"/>
      <c r="G943" s="189"/>
      <c r="H943" s="188"/>
      <c r="I943" s="187"/>
      <c r="J943" s="180"/>
      <c r="K943" s="182"/>
      <c r="L943" s="172"/>
      <c r="M943" s="180"/>
      <c r="N943" s="183"/>
      <c r="O943" s="184"/>
      <c r="P943" s="185"/>
    </row>
    <row r="944" spans="1:16" ht="15.75" customHeight="1" x14ac:dyDescent="0.25">
      <c r="A944" s="179"/>
      <c r="B944" s="186"/>
      <c r="C944" s="187"/>
      <c r="D944" s="188"/>
      <c r="E944" s="187"/>
      <c r="F944" s="189"/>
      <c r="G944" s="189"/>
      <c r="H944" s="188"/>
      <c r="I944" s="187"/>
      <c r="J944" s="180"/>
      <c r="K944" s="182"/>
      <c r="L944" s="172"/>
      <c r="M944" s="180"/>
      <c r="N944" s="183"/>
      <c r="O944" s="184"/>
      <c r="P944" s="185"/>
    </row>
    <row r="945" spans="1:16" ht="15.75" customHeight="1" x14ac:dyDescent="0.25">
      <c r="A945" s="179"/>
      <c r="B945" s="186"/>
      <c r="C945" s="187"/>
      <c r="D945" s="188"/>
      <c r="E945" s="187"/>
      <c r="F945" s="189"/>
      <c r="G945" s="189"/>
      <c r="H945" s="188"/>
      <c r="I945" s="187"/>
      <c r="J945" s="180"/>
      <c r="K945" s="182"/>
      <c r="L945" s="172"/>
      <c r="M945" s="180"/>
      <c r="N945" s="183"/>
      <c r="O945" s="184"/>
      <c r="P945" s="185"/>
    </row>
    <row r="946" spans="1:16" ht="15.75" customHeight="1" x14ac:dyDescent="0.25">
      <c r="A946" s="179"/>
      <c r="B946" s="186"/>
      <c r="C946" s="187"/>
      <c r="D946" s="188"/>
      <c r="E946" s="187"/>
      <c r="F946" s="189"/>
      <c r="G946" s="189"/>
      <c r="H946" s="188"/>
      <c r="I946" s="187"/>
      <c r="J946" s="180"/>
      <c r="K946" s="182"/>
      <c r="L946" s="172"/>
      <c r="M946" s="180"/>
      <c r="N946" s="183"/>
      <c r="O946" s="184"/>
      <c r="P946" s="185"/>
    </row>
    <row r="947" spans="1:16" ht="15.75" customHeight="1" x14ac:dyDescent="0.25">
      <c r="A947" s="179"/>
      <c r="B947" s="186"/>
      <c r="C947" s="187"/>
      <c r="D947" s="188"/>
      <c r="E947" s="187"/>
      <c r="F947" s="189"/>
      <c r="G947" s="189"/>
      <c r="H947" s="188"/>
      <c r="I947" s="187"/>
      <c r="J947" s="180"/>
      <c r="K947" s="182"/>
      <c r="L947" s="172"/>
      <c r="M947" s="180"/>
      <c r="N947" s="183"/>
      <c r="O947" s="184"/>
      <c r="P947" s="185"/>
    </row>
    <row r="948" spans="1:16" ht="15.75" customHeight="1" x14ac:dyDescent="0.25">
      <c r="A948" s="179"/>
      <c r="B948" s="186"/>
      <c r="C948" s="187"/>
      <c r="D948" s="188"/>
      <c r="E948" s="187"/>
      <c r="F948" s="189"/>
      <c r="G948" s="189"/>
      <c r="H948" s="188"/>
      <c r="I948" s="187"/>
      <c r="J948" s="180"/>
      <c r="K948" s="182"/>
      <c r="L948" s="172"/>
      <c r="M948" s="180"/>
      <c r="N948" s="183"/>
      <c r="O948" s="184"/>
      <c r="P948" s="185"/>
    </row>
    <row r="949" spans="1:16" ht="15.75" customHeight="1" x14ac:dyDescent="0.25">
      <c r="A949" s="179"/>
      <c r="B949" s="186"/>
      <c r="C949" s="187"/>
      <c r="D949" s="188"/>
      <c r="E949" s="187"/>
      <c r="F949" s="189"/>
      <c r="G949" s="189"/>
      <c r="H949" s="188"/>
      <c r="I949" s="187"/>
      <c r="J949" s="180"/>
      <c r="K949" s="182"/>
      <c r="L949" s="172"/>
      <c r="M949" s="180"/>
      <c r="N949" s="183"/>
      <c r="O949" s="184"/>
      <c r="P949" s="185"/>
    </row>
    <row r="950" spans="1:16" ht="15.75" customHeight="1" x14ac:dyDescent="0.25">
      <c r="A950" s="179"/>
      <c r="B950" s="186"/>
      <c r="C950" s="187"/>
      <c r="D950" s="188"/>
      <c r="E950" s="187"/>
      <c r="F950" s="189"/>
      <c r="G950" s="189"/>
      <c r="H950" s="188"/>
      <c r="I950" s="187"/>
      <c r="J950" s="180"/>
      <c r="K950" s="182"/>
      <c r="L950" s="172"/>
      <c r="M950" s="180"/>
      <c r="N950" s="183"/>
      <c r="O950" s="184"/>
      <c r="P950" s="185"/>
    </row>
    <row r="951" spans="1:16" ht="15.75" customHeight="1" x14ac:dyDescent="0.25">
      <c r="A951" s="179"/>
      <c r="B951" s="186"/>
      <c r="C951" s="187"/>
      <c r="D951" s="188"/>
      <c r="E951" s="187"/>
      <c r="F951" s="189"/>
      <c r="G951" s="189"/>
      <c r="H951" s="188"/>
      <c r="I951" s="187"/>
      <c r="J951" s="180"/>
      <c r="K951" s="182"/>
      <c r="L951" s="172"/>
      <c r="M951" s="180"/>
      <c r="N951" s="183"/>
      <c r="O951" s="184"/>
      <c r="P951" s="185"/>
    </row>
    <row r="952" spans="1:16" ht="15.75" customHeight="1" x14ac:dyDescent="0.25">
      <c r="A952" s="179"/>
      <c r="B952" s="186"/>
      <c r="C952" s="187"/>
      <c r="D952" s="188"/>
      <c r="E952" s="187"/>
      <c r="F952" s="189"/>
      <c r="G952" s="189"/>
      <c r="H952" s="188"/>
      <c r="I952" s="187"/>
      <c r="J952" s="180"/>
      <c r="K952" s="182"/>
      <c r="L952" s="172"/>
      <c r="M952" s="180"/>
      <c r="N952" s="183"/>
      <c r="O952" s="184"/>
      <c r="P952" s="185"/>
    </row>
    <row r="953" spans="1:16" ht="15.75" customHeight="1" x14ac:dyDescent="0.25">
      <c r="A953" s="179"/>
      <c r="B953" s="186"/>
      <c r="C953" s="187"/>
      <c r="D953" s="188"/>
      <c r="E953" s="187"/>
      <c r="F953" s="189"/>
      <c r="G953" s="189"/>
      <c r="H953" s="188"/>
      <c r="I953" s="187"/>
      <c r="J953" s="180"/>
      <c r="K953" s="182"/>
      <c r="L953" s="172"/>
      <c r="M953" s="180"/>
      <c r="N953" s="183"/>
      <c r="O953" s="184"/>
      <c r="P953" s="185"/>
    </row>
    <row r="954" spans="1:16" ht="15.75" customHeight="1" x14ac:dyDescent="0.25">
      <c r="A954" s="179"/>
      <c r="B954" s="186"/>
      <c r="C954" s="187"/>
      <c r="D954" s="188"/>
      <c r="E954" s="187"/>
      <c r="F954" s="189"/>
      <c r="G954" s="189"/>
      <c r="H954" s="188"/>
      <c r="I954" s="187"/>
      <c r="J954" s="180"/>
      <c r="K954" s="182"/>
      <c r="L954" s="172"/>
      <c r="M954" s="180"/>
      <c r="N954" s="183"/>
      <c r="O954" s="184"/>
      <c r="P954" s="185"/>
    </row>
    <row r="955" spans="1:16" ht="15.75" customHeight="1" x14ac:dyDescent="0.25">
      <c r="A955" s="179"/>
      <c r="B955" s="186"/>
      <c r="C955" s="187"/>
      <c r="D955" s="188"/>
      <c r="E955" s="187"/>
      <c r="F955" s="189"/>
      <c r="G955" s="189"/>
      <c r="H955" s="188"/>
      <c r="I955" s="187"/>
      <c r="J955" s="180"/>
      <c r="K955" s="182"/>
      <c r="L955" s="172"/>
      <c r="M955" s="180"/>
      <c r="N955" s="183"/>
      <c r="O955" s="184"/>
      <c r="P955" s="185"/>
    </row>
    <row r="956" spans="1:16" ht="15.75" customHeight="1" x14ac:dyDescent="0.25">
      <c r="A956" s="179"/>
      <c r="B956" s="186"/>
      <c r="C956" s="187"/>
      <c r="D956" s="188"/>
      <c r="E956" s="187"/>
      <c r="F956" s="189"/>
      <c r="G956" s="189"/>
      <c r="H956" s="188"/>
      <c r="I956" s="187"/>
      <c r="J956" s="180"/>
      <c r="K956" s="182"/>
      <c r="L956" s="172"/>
      <c r="M956" s="180"/>
      <c r="N956" s="183"/>
      <c r="O956" s="184"/>
      <c r="P956" s="185"/>
    </row>
    <row r="957" spans="1:16" ht="15.75" customHeight="1" x14ac:dyDescent="0.25">
      <c r="A957" s="179"/>
      <c r="B957" s="186"/>
      <c r="C957" s="187"/>
      <c r="D957" s="188"/>
      <c r="E957" s="187"/>
      <c r="F957" s="189"/>
      <c r="G957" s="189"/>
      <c r="H957" s="188"/>
      <c r="I957" s="187"/>
      <c r="J957" s="180"/>
      <c r="K957" s="182"/>
      <c r="L957" s="172"/>
      <c r="M957" s="180"/>
      <c r="N957" s="183"/>
      <c r="O957" s="184"/>
      <c r="P957" s="185"/>
    </row>
    <row r="958" spans="1:16" ht="15.75" customHeight="1" x14ac:dyDescent="0.25">
      <c r="A958" s="179"/>
      <c r="B958" s="186"/>
      <c r="C958" s="187"/>
      <c r="D958" s="188"/>
      <c r="E958" s="187"/>
      <c r="F958" s="189"/>
      <c r="G958" s="189"/>
      <c r="H958" s="188"/>
      <c r="I958" s="187"/>
      <c r="J958" s="180"/>
      <c r="K958" s="182"/>
      <c r="L958" s="172"/>
      <c r="M958" s="180"/>
      <c r="N958" s="183"/>
      <c r="O958" s="184"/>
      <c r="P958" s="185"/>
    </row>
    <row r="959" spans="1:16" ht="15.75" customHeight="1" x14ac:dyDescent="0.25">
      <c r="A959" s="179"/>
      <c r="B959" s="186"/>
      <c r="C959" s="187"/>
      <c r="D959" s="188"/>
      <c r="E959" s="187"/>
      <c r="F959" s="189"/>
      <c r="G959" s="189"/>
      <c r="H959" s="188"/>
      <c r="I959" s="187"/>
      <c r="J959" s="180"/>
      <c r="K959" s="182"/>
      <c r="L959" s="172"/>
      <c r="M959" s="180"/>
      <c r="N959" s="183"/>
      <c r="O959" s="184"/>
      <c r="P959" s="185"/>
    </row>
    <row r="960" spans="1:16" ht="15.75" customHeight="1" x14ac:dyDescent="0.25">
      <c r="A960" s="179"/>
      <c r="B960" s="186"/>
      <c r="C960" s="187"/>
      <c r="D960" s="188"/>
      <c r="E960" s="187"/>
      <c r="F960" s="189"/>
      <c r="G960" s="189"/>
      <c r="H960" s="188"/>
      <c r="I960" s="187"/>
      <c r="J960" s="180"/>
      <c r="K960" s="182"/>
      <c r="L960" s="172"/>
      <c r="M960" s="180"/>
      <c r="N960" s="183"/>
      <c r="O960" s="184"/>
      <c r="P960" s="185"/>
    </row>
    <row r="961" spans="1:16" ht="15.75" customHeight="1" x14ac:dyDescent="0.25">
      <c r="A961" s="179"/>
      <c r="B961" s="186"/>
      <c r="C961" s="187"/>
      <c r="D961" s="188"/>
      <c r="E961" s="187"/>
      <c r="F961" s="189"/>
      <c r="G961" s="189"/>
      <c r="H961" s="188"/>
      <c r="I961" s="187"/>
      <c r="J961" s="180"/>
      <c r="K961" s="182"/>
      <c r="L961" s="172"/>
      <c r="M961" s="180"/>
      <c r="N961" s="183"/>
      <c r="O961" s="184"/>
      <c r="P961" s="185"/>
    </row>
    <row r="962" spans="1:16" ht="15.75" customHeight="1" x14ac:dyDescent="0.25">
      <c r="A962" s="179"/>
      <c r="B962" s="186"/>
      <c r="C962" s="187"/>
      <c r="D962" s="188"/>
      <c r="E962" s="187"/>
      <c r="F962" s="189"/>
      <c r="G962" s="189"/>
      <c r="H962" s="188"/>
      <c r="I962" s="187"/>
      <c r="J962" s="180"/>
      <c r="K962" s="182"/>
      <c r="L962" s="172"/>
      <c r="M962" s="180"/>
      <c r="N962" s="183"/>
      <c r="O962" s="184"/>
      <c r="P962" s="185"/>
    </row>
    <row r="963" spans="1:16" ht="15.75" customHeight="1" x14ac:dyDescent="0.25">
      <c r="A963" s="179"/>
      <c r="B963" s="186"/>
      <c r="C963" s="187"/>
      <c r="D963" s="188"/>
      <c r="E963" s="187"/>
      <c r="F963" s="189"/>
      <c r="G963" s="189"/>
      <c r="H963" s="188"/>
      <c r="I963" s="187"/>
      <c r="J963" s="180"/>
      <c r="K963" s="182"/>
      <c r="L963" s="172"/>
      <c r="M963" s="180"/>
      <c r="N963" s="183"/>
      <c r="O963" s="184"/>
      <c r="P963" s="185"/>
    </row>
    <row r="964" spans="1:16" ht="15.75" customHeight="1" x14ac:dyDescent="0.25">
      <c r="A964" s="179"/>
      <c r="B964" s="186"/>
      <c r="C964" s="187"/>
      <c r="D964" s="188"/>
      <c r="E964" s="187"/>
      <c r="F964" s="189"/>
      <c r="G964" s="189"/>
      <c r="H964" s="188"/>
      <c r="I964" s="187"/>
      <c r="J964" s="180"/>
      <c r="K964" s="182"/>
      <c r="L964" s="172"/>
      <c r="M964" s="180"/>
      <c r="N964" s="183"/>
      <c r="O964" s="184"/>
      <c r="P964" s="185"/>
    </row>
    <row r="965" spans="1:16" ht="15.75" customHeight="1" x14ac:dyDescent="0.25">
      <c r="A965" s="179"/>
      <c r="B965" s="186"/>
      <c r="C965" s="187"/>
      <c r="D965" s="188"/>
      <c r="E965" s="187"/>
      <c r="F965" s="189"/>
      <c r="G965" s="189"/>
      <c r="H965" s="188"/>
      <c r="I965" s="187"/>
      <c r="J965" s="180"/>
      <c r="K965" s="182"/>
      <c r="L965" s="172"/>
      <c r="M965" s="180"/>
      <c r="N965" s="183"/>
      <c r="O965" s="184"/>
      <c r="P965" s="185"/>
    </row>
    <row r="966" spans="1:16" ht="15.75" customHeight="1" x14ac:dyDescent="0.25">
      <c r="A966" s="179"/>
      <c r="B966" s="186"/>
      <c r="C966" s="187"/>
      <c r="D966" s="188"/>
      <c r="E966" s="187"/>
      <c r="F966" s="189"/>
      <c r="G966" s="189"/>
      <c r="H966" s="188"/>
      <c r="I966" s="187"/>
      <c r="J966" s="180"/>
      <c r="K966" s="182"/>
      <c r="L966" s="172"/>
      <c r="M966" s="180"/>
      <c r="N966" s="183"/>
      <c r="O966" s="184"/>
      <c r="P966" s="185"/>
    </row>
    <row r="967" spans="1:16" ht="15.75" customHeight="1" x14ac:dyDescent="0.25">
      <c r="A967" s="179"/>
      <c r="B967" s="186"/>
      <c r="C967" s="187"/>
      <c r="D967" s="188"/>
      <c r="E967" s="187"/>
      <c r="F967" s="189"/>
      <c r="G967" s="189"/>
      <c r="H967" s="188"/>
      <c r="I967" s="187"/>
      <c r="J967" s="180"/>
      <c r="K967" s="182"/>
      <c r="L967" s="172"/>
      <c r="M967" s="180"/>
      <c r="N967" s="183"/>
      <c r="O967" s="184"/>
      <c r="P967" s="185"/>
    </row>
    <row r="968" spans="1:16" ht="15.75" customHeight="1" x14ac:dyDescent="0.25">
      <c r="A968" s="179"/>
      <c r="B968" s="186"/>
      <c r="C968" s="187"/>
      <c r="D968" s="188"/>
      <c r="E968" s="187"/>
      <c r="F968" s="189"/>
      <c r="G968" s="189"/>
      <c r="H968" s="188"/>
      <c r="I968" s="187"/>
      <c r="J968" s="180"/>
      <c r="K968" s="182"/>
      <c r="L968" s="172"/>
      <c r="M968" s="180"/>
      <c r="N968" s="183"/>
      <c r="O968" s="184"/>
      <c r="P968" s="185"/>
    </row>
    <row r="969" spans="1:16" ht="15.75" customHeight="1" x14ac:dyDescent="0.25">
      <c r="A969" s="179"/>
      <c r="B969" s="186"/>
      <c r="C969" s="187"/>
      <c r="D969" s="188"/>
      <c r="E969" s="187"/>
      <c r="F969" s="189"/>
      <c r="G969" s="189"/>
      <c r="H969" s="188"/>
      <c r="I969" s="187"/>
      <c r="J969" s="180"/>
      <c r="K969" s="182"/>
      <c r="L969" s="172"/>
      <c r="M969" s="180"/>
      <c r="N969" s="183"/>
      <c r="O969" s="184"/>
      <c r="P969" s="185"/>
    </row>
    <row r="970" spans="1:16" ht="15.75" customHeight="1" x14ac:dyDescent="0.25">
      <c r="A970" s="179"/>
      <c r="B970" s="186"/>
      <c r="C970" s="187"/>
      <c r="D970" s="188"/>
      <c r="E970" s="187"/>
      <c r="F970" s="189"/>
      <c r="G970" s="189"/>
      <c r="H970" s="188"/>
      <c r="I970" s="187"/>
      <c r="J970" s="180"/>
      <c r="K970" s="182"/>
      <c r="L970" s="172"/>
      <c r="M970" s="180"/>
      <c r="N970" s="183"/>
      <c r="O970" s="184"/>
      <c r="P970" s="185"/>
    </row>
    <row r="971" spans="1:16" ht="15.75" customHeight="1" x14ac:dyDescent="0.25">
      <c r="A971" s="179"/>
      <c r="B971" s="186"/>
      <c r="C971" s="187"/>
      <c r="D971" s="188"/>
      <c r="E971" s="187"/>
      <c r="F971" s="189"/>
      <c r="G971" s="189"/>
      <c r="H971" s="188"/>
      <c r="I971" s="187"/>
      <c r="J971" s="180"/>
      <c r="K971" s="182"/>
      <c r="L971" s="172"/>
      <c r="M971" s="180"/>
      <c r="N971" s="183"/>
      <c r="O971" s="184"/>
      <c r="P971" s="185"/>
    </row>
    <row r="972" spans="1:16" ht="15.75" customHeight="1" x14ac:dyDescent="0.25">
      <c r="A972" s="179"/>
      <c r="B972" s="186"/>
      <c r="C972" s="187"/>
      <c r="D972" s="188"/>
      <c r="E972" s="187"/>
      <c r="F972" s="189"/>
      <c r="G972" s="189"/>
      <c r="H972" s="188"/>
      <c r="I972" s="187"/>
      <c r="J972" s="180"/>
      <c r="K972" s="182"/>
      <c r="L972" s="172"/>
      <c r="M972" s="180"/>
      <c r="N972" s="183"/>
      <c r="O972" s="184"/>
      <c r="P972" s="185"/>
    </row>
    <row r="973" spans="1:16" ht="15.75" customHeight="1" x14ac:dyDescent="0.25">
      <c r="A973" s="179"/>
      <c r="B973" s="186"/>
      <c r="C973" s="187"/>
      <c r="D973" s="188"/>
      <c r="E973" s="187"/>
      <c r="F973" s="189"/>
      <c r="G973" s="189"/>
      <c r="H973" s="188"/>
      <c r="I973" s="187"/>
      <c r="J973" s="180"/>
      <c r="K973" s="182"/>
      <c r="L973" s="172"/>
      <c r="M973" s="180"/>
      <c r="N973" s="183"/>
      <c r="O973" s="184"/>
      <c r="P973" s="185"/>
    </row>
    <row r="974" spans="1:16" ht="15.75" customHeight="1" x14ac:dyDescent="0.25">
      <c r="A974" s="179"/>
      <c r="B974" s="186"/>
      <c r="C974" s="187"/>
      <c r="D974" s="188"/>
      <c r="E974" s="187"/>
      <c r="F974" s="189"/>
      <c r="G974" s="189"/>
      <c r="H974" s="188"/>
      <c r="I974" s="187"/>
      <c r="J974" s="180"/>
      <c r="K974" s="182"/>
      <c r="L974" s="172"/>
      <c r="M974" s="180"/>
      <c r="N974" s="183"/>
      <c r="O974" s="184"/>
      <c r="P974" s="185"/>
    </row>
    <row r="975" spans="1:16" ht="15.75" customHeight="1" x14ac:dyDescent="0.25">
      <c r="A975" s="179"/>
      <c r="B975" s="186"/>
      <c r="C975" s="187"/>
      <c r="D975" s="188"/>
      <c r="E975" s="187"/>
      <c r="F975" s="189"/>
      <c r="G975" s="189"/>
      <c r="H975" s="188"/>
      <c r="I975" s="187"/>
      <c r="J975" s="180"/>
      <c r="K975" s="182"/>
      <c r="L975" s="172"/>
      <c r="M975" s="180"/>
      <c r="N975" s="183"/>
      <c r="O975" s="184"/>
      <c r="P975" s="185"/>
    </row>
    <row r="976" spans="1:16" ht="15.75" customHeight="1" x14ac:dyDescent="0.25">
      <c r="A976" s="179"/>
      <c r="B976" s="186"/>
      <c r="C976" s="187"/>
      <c r="D976" s="188"/>
      <c r="E976" s="187"/>
      <c r="F976" s="189"/>
      <c r="G976" s="189"/>
      <c r="H976" s="188"/>
      <c r="I976" s="187"/>
      <c r="J976" s="180"/>
      <c r="K976" s="182"/>
      <c r="L976" s="172"/>
      <c r="M976" s="180"/>
      <c r="N976" s="183"/>
      <c r="O976" s="184"/>
      <c r="P976" s="185"/>
    </row>
    <row r="977" spans="1:16" ht="15.75" customHeight="1" x14ac:dyDescent="0.25">
      <c r="A977" s="179"/>
      <c r="B977" s="186"/>
      <c r="C977" s="187"/>
      <c r="D977" s="188"/>
      <c r="E977" s="187"/>
      <c r="F977" s="189"/>
      <c r="G977" s="189"/>
      <c r="H977" s="188"/>
      <c r="I977" s="187"/>
      <c r="J977" s="180"/>
      <c r="K977" s="182"/>
      <c r="L977" s="172"/>
      <c r="M977" s="180"/>
      <c r="N977" s="183"/>
      <c r="O977" s="184"/>
      <c r="P977" s="185"/>
    </row>
    <row r="978" spans="1:16" ht="15.75" customHeight="1" x14ac:dyDescent="0.25">
      <c r="A978" s="179"/>
      <c r="B978" s="186"/>
      <c r="C978" s="187"/>
      <c r="D978" s="188"/>
      <c r="E978" s="187"/>
      <c r="F978" s="189"/>
      <c r="G978" s="189"/>
      <c r="H978" s="188"/>
      <c r="I978" s="187"/>
      <c r="J978" s="180"/>
      <c r="K978" s="182"/>
      <c r="L978" s="172"/>
      <c r="M978" s="180"/>
      <c r="N978" s="183"/>
      <c r="O978" s="184"/>
      <c r="P978" s="185"/>
    </row>
    <row r="979" spans="1:16" ht="15.75" customHeight="1" x14ac:dyDescent="0.25">
      <c r="A979" s="179"/>
      <c r="B979" s="186"/>
      <c r="C979" s="187"/>
      <c r="D979" s="188"/>
      <c r="E979" s="187"/>
      <c r="F979" s="189"/>
      <c r="G979" s="189"/>
      <c r="H979" s="188"/>
      <c r="I979" s="187"/>
      <c r="J979" s="180"/>
      <c r="K979" s="182"/>
      <c r="L979" s="172"/>
      <c r="M979" s="180"/>
      <c r="N979" s="183"/>
      <c r="O979" s="184"/>
      <c r="P979" s="185"/>
    </row>
    <row r="980" spans="1:16" ht="15.75" customHeight="1" x14ac:dyDescent="0.25">
      <c r="A980" s="179"/>
      <c r="B980" s="186"/>
      <c r="C980" s="187"/>
      <c r="D980" s="188"/>
      <c r="E980" s="187"/>
      <c r="F980" s="189"/>
      <c r="G980" s="189"/>
      <c r="H980" s="188"/>
      <c r="I980" s="187"/>
      <c r="J980" s="180"/>
      <c r="K980" s="182"/>
      <c r="L980" s="172"/>
      <c r="M980" s="180"/>
      <c r="N980" s="183"/>
      <c r="O980" s="184"/>
      <c r="P980" s="185"/>
    </row>
    <row r="981" spans="1:16" ht="15.75" customHeight="1" x14ac:dyDescent="0.25">
      <c r="A981" s="179"/>
      <c r="B981" s="186"/>
      <c r="C981" s="187"/>
      <c r="D981" s="188"/>
      <c r="E981" s="187"/>
      <c r="F981" s="189"/>
      <c r="G981" s="189"/>
      <c r="H981" s="188"/>
      <c r="I981" s="187"/>
      <c r="J981" s="180"/>
      <c r="K981" s="182"/>
      <c r="L981" s="172"/>
      <c r="M981" s="180"/>
      <c r="N981" s="183"/>
      <c r="O981" s="184"/>
      <c r="P981" s="185"/>
    </row>
    <row r="982" spans="1:16" ht="15.75" customHeight="1" x14ac:dyDescent="0.25">
      <c r="A982" s="179"/>
      <c r="B982" s="186"/>
      <c r="C982" s="187"/>
      <c r="D982" s="188"/>
      <c r="E982" s="187"/>
      <c r="F982" s="189"/>
      <c r="G982" s="189"/>
      <c r="H982" s="188"/>
      <c r="I982" s="187"/>
      <c r="J982" s="180"/>
      <c r="K982" s="182"/>
      <c r="L982" s="172"/>
      <c r="M982" s="180"/>
      <c r="N982" s="183"/>
      <c r="O982" s="184"/>
      <c r="P982" s="185"/>
    </row>
    <row r="983" spans="1:16" ht="15.75" customHeight="1" x14ac:dyDescent="0.25">
      <c r="A983" s="179"/>
      <c r="B983" s="186"/>
      <c r="C983" s="187"/>
      <c r="D983" s="188"/>
      <c r="E983" s="187"/>
      <c r="F983" s="189"/>
      <c r="G983" s="189"/>
      <c r="H983" s="188"/>
      <c r="I983" s="187"/>
      <c r="J983" s="180"/>
      <c r="K983" s="182"/>
      <c r="L983" s="172"/>
      <c r="M983" s="180"/>
      <c r="N983" s="183"/>
      <c r="O983" s="184"/>
      <c r="P983" s="185"/>
    </row>
    <row r="984" spans="1:16" ht="15.75" customHeight="1" x14ac:dyDescent="0.25">
      <c r="A984" s="179"/>
      <c r="B984" s="186"/>
      <c r="C984" s="187"/>
      <c r="D984" s="188"/>
      <c r="E984" s="187"/>
      <c r="F984" s="189"/>
      <c r="G984" s="189"/>
      <c r="H984" s="188"/>
      <c r="I984" s="187"/>
      <c r="J984" s="180"/>
      <c r="K984" s="182"/>
      <c r="L984" s="172"/>
      <c r="M984" s="180"/>
      <c r="N984" s="183"/>
      <c r="O984" s="184"/>
      <c r="P984" s="185"/>
    </row>
    <row r="985" spans="1:16" ht="15.75" customHeight="1" x14ac:dyDescent="0.25">
      <c r="A985" s="179"/>
      <c r="B985" s="186"/>
      <c r="C985" s="187"/>
      <c r="D985" s="188"/>
      <c r="E985" s="187"/>
      <c r="F985" s="189"/>
      <c r="G985" s="189"/>
      <c r="H985" s="188"/>
      <c r="I985" s="187"/>
      <c r="J985" s="180"/>
      <c r="K985" s="182"/>
      <c r="L985" s="172"/>
      <c r="M985" s="180"/>
      <c r="N985" s="183"/>
      <c r="O985" s="184"/>
      <c r="P985" s="185"/>
    </row>
    <row r="986" spans="1:16" ht="15.75" customHeight="1" x14ac:dyDescent="0.25">
      <c r="A986" s="179"/>
      <c r="B986" s="186"/>
      <c r="C986" s="187"/>
      <c r="D986" s="188"/>
      <c r="E986" s="187"/>
      <c r="F986" s="189"/>
      <c r="G986" s="189"/>
      <c r="H986" s="188"/>
      <c r="I986" s="187"/>
      <c r="J986" s="180"/>
      <c r="K986" s="182"/>
      <c r="L986" s="172"/>
      <c r="M986" s="180"/>
      <c r="N986" s="183"/>
      <c r="O986" s="184"/>
      <c r="P986" s="185"/>
    </row>
    <row r="987" spans="1:16" ht="15.75" customHeight="1" x14ac:dyDescent="0.25">
      <c r="A987" s="179"/>
      <c r="B987" s="186"/>
      <c r="C987" s="187"/>
      <c r="D987" s="188"/>
      <c r="E987" s="187"/>
      <c r="F987" s="189"/>
      <c r="G987" s="189"/>
      <c r="H987" s="188"/>
      <c r="I987" s="187"/>
      <c r="J987" s="180"/>
      <c r="K987" s="182"/>
      <c r="L987" s="172"/>
      <c r="M987" s="180"/>
      <c r="N987" s="183"/>
      <c r="O987" s="184"/>
      <c r="P987" s="185"/>
    </row>
    <row r="988" spans="1:16" ht="15.75" customHeight="1" x14ac:dyDescent="0.25">
      <c r="A988" s="179"/>
      <c r="B988" s="186"/>
      <c r="C988" s="187"/>
      <c r="D988" s="188"/>
      <c r="E988" s="187"/>
      <c r="F988" s="189"/>
      <c r="G988" s="189"/>
      <c r="H988" s="188"/>
      <c r="I988" s="187"/>
      <c r="J988" s="180"/>
      <c r="K988" s="182"/>
      <c r="L988" s="172"/>
      <c r="M988" s="180"/>
      <c r="N988" s="183"/>
      <c r="O988" s="184"/>
      <c r="P988" s="185"/>
    </row>
    <row r="989" spans="1:16" ht="15.75" customHeight="1" x14ac:dyDescent="0.25">
      <c r="A989" s="179"/>
      <c r="B989" s="186"/>
      <c r="C989" s="187"/>
      <c r="D989" s="188"/>
      <c r="E989" s="187"/>
      <c r="F989" s="189"/>
      <c r="G989" s="189"/>
      <c r="H989" s="188"/>
      <c r="I989" s="187"/>
      <c r="J989" s="180"/>
      <c r="K989" s="182"/>
      <c r="L989" s="172"/>
      <c r="M989" s="180"/>
      <c r="N989" s="183"/>
      <c r="O989" s="184"/>
      <c r="P989" s="185"/>
    </row>
    <row r="990" spans="1:16" ht="15.75" customHeight="1" x14ac:dyDescent="0.25">
      <c r="A990" s="179"/>
      <c r="B990" s="186"/>
      <c r="C990" s="187"/>
      <c r="D990" s="188"/>
      <c r="E990" s="187"/>
      <c r="F990" s="189"/>
      <c r="G990" s="189"/>
      <c r="H990" s="188"/>
      <c r="I990" s="187"/>
      <c r="J990" s="180"/>
      <c r="K990" s="182"/>
      <c r="L990" s="172"/>
      <c r="M990" s="180"/>
      <c r="N990" s="183"/>
      <c r="O990" s="184"/>
      <c r="P990" s="185"/>
    </row>
    <row r="991" spans="1:16" ht="15.75" customHeight="1" x14ac:dyDescent="0.25">
      <c r="A991" s="179"/>
      <c r="B991" s="186"/>
      <c r="C991" s="187"/>
      <c r="D991" s="188"/>
      <c r="E991" s="187"/>
      <c r="F991" s="189"/>
      <c r="G991" s="189"/>
      <c r="H991" s="188"/>
      <c r="I991" s="187"/>
      <c r="J991" s="180"/>
      <c r="K991" s="182"/>
      <c r="L991" s="172"/>
      <c r="M991" s="180"/>
      <c r="N991" s="183"/>
      <c r="O991" s="184"/>
      <c r="P991" s="185"/>
    </row>
    <row r="992" spans="1:16" ht="15.75" customHeight="1" x14ac:dyDescent="0.25">
      <c r="A992" s="179"/>
      <c r="B992" s="186"/>
      <c r="C992" s="187"/>
      <c r="D992" s="188"/>
      <c r="E992" s="187"/>
      <c r="F992" s="189"/>
      <c r="G992" s="189"/>
      <c r="H992" s="188"/>
      <c r="I992" s="187"/>
      <c r="J992" s="180"/>
      <c r="K992" s="182"/>
      <c r="L992" s="172"/>
      <c r="M992" s="180"/>
      <c r="N992" s="183"/>
      <c r="O992" s="184"/>
      <c r="P992" s="185"/>
    </row>
    <row r="993" spans="1:16" ht="15.75" customHeight="1" x14ac:dyDescent="0.25">
      <c r="A993" s="179"/>
      <c r="B993" s="186"/>
      <c r="C993" s="187"/>
      <c r="D993" s="188"/>
      <c r="E993" s="187"/>
      <c r="F993" s="189"/>
      <c r="G993" s="189"/>
      <c r="H993" s="188"/>
      <c r="I993" s="187"/>
      <c r="J993" s="180"/>
      <c r="K993" s="182"/>
      <c r="L993" s="172"/>
      <c r="M993" s="180"/>
      <c r="N993" s="183"/>
      <c r="O993" s="184"/>
      <c r="P993" s="185"/>
    </row>
    <row r="994" spans="1:16" ht="15.75" customHeight="1" x14ac:dyDescent="0.25">
      <c r="A994" s="179"/>
      <c r="B994" s="186"/>
      <c r="C994" s="187"/>
      <c r="D994" s="188"/>
      <c r="E994" s="187"/>
      <c r="F994" s="189"/>
      <c r="G994" s="189"/>
      <c r="H994" s="188"/>
      <c r="I994" s="187"/>
      <c r="J994" s="180"/>
      <c r="K994" s="182"/>
      <c r="L994" s="172"/>
      <c r="M994" s="180"/>
      <c r="N994" s="183"/>
      <c r="O994" s="184"/>
      <c r="P994" s="185"/>
    </row>
    <row r="995" spans="1:16" ht="15.75" customHeight="1" x14ac:dyDescent="0.25">
      <c r="A995" s="179"/>
      <c r="B995" s="186"/>
      <c r="C995" s="187"/>
      <c r="D995" s="188"/>
      <c r="E995" s="187"/>
      <c r="F995" s="189"/>
      <c r="G995" s="189"/>
      <c r="H995" s="188"/>
      <c r="I995" s="187"/>
      <c r="J995" s="180"/>
      <c r="K995" s="182"/>
      <c r="L995" s="172"/>
      <c r="M995" s="180"/>
      <c r="N995" s="183"/>
      <c r="O995" s="184"/>
      <c r="P995" s="185"/>
    </row>
    <row r="996" spans="1:16" ht="15.75" customHeight="1" x14ac:dyDescent="0.25">
      <c r="A996" s="179"/>
      <c r="B996" s="186"/>
      <c r="C996" s="187"/>
      <c r="D996" s="188"/>
      <c r="E996" s="187"/>
      <c r="F996" s="189"/>
      <c r="G996" s="189"/>
      <c r="H996" s="188"/>
      <c r="I996" s="187"/>
      <c r="J996" s="180"/>
      <c r="K996" s="182"/>
      <c r="L996" s="172"/>
      <c r="M996" s="180"/>
      <c r="N996" s="183"/>
      <c r="O996" s="184"/>
      <c r="P996" s="185"/>
    </row>
    <row r="997" spans="1:16" ht="15.75" customHeight="1" x14ac:dyDescent="0.25">
      <c r="A997" s="179"/>
      <c r="B997" s="186"/>
      <c r="C997" s="173"/>
      <c r="D997" s="190"/>
      <c r="E997" s="173"/>
      <c r="F997" s="172"/>
      <c r="G997" s="172"/>
      <c r="H997" s="190"/>
      <c r="I997" s="173"/>
      <c r="J997" s="180"/>
      <c r="K997" s="182"/>
      <c r="L997" s="172"/>
      <c r="M997" s="180"/>
      <c r="N997" s="183"/>
      <c r="O997" s="184"/>
      <c r="P997" s="185"/>
    </row>
    <row r="998" spans="1:16" ht="15.75" customHeight="1" x14ac:dyDescent="0.25">
      <c r="A998" s="179"/>
      <c r="B998" s="186"/>
      <c r="C998" s="173"/>
      <c r="D998" s="190"/>
      <c r="E998" s="173"/>
      <c r="F998" s="172"/>
      <c r="G998" s="172"/>
      <c r="H998" s="190"/>
      <c r="I998" s="173"/>
      <c r="J998" s="180"/>
      <c r="K998" s="182"/>
      <c r="L998" s="172"/>
      <c r="M998" s="180"/>
      <c r="N998" s="183"/>
      <c r="O998" s="184"/>
      <c r="P998" s="185"/>
    </row>
    <row r="999" spans="1:16" ht="15.75" customHeight="1" x14ac:dyDescent="0.25">
      <c r="A999" s="179"/>
      <c r="B999" s="186"/>
      <c r="C999" s="173"/>
      <c r="D999" s="190"/>
      <c r="E999" s="173"/>
      <c r="F999" s="172"/>
      <c r="G999" s="172"/>
      <c r="H999" s="190"/>
      <c r="I999" s="173"/>
      <c r="J999" s="180"/>
      <c r="K999" s="182"/>
      <c r="L999" s="172"/>
      <c r="M999" s="180"/>
      <c r="N999" s="183"/>
      <c r="O999" s="184"/>
      <c r="P999" s="185"/>
    </row>
  </sheetData>
  <autoFilter ref="A1:P5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91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2" width="9.5" customWidth="1"/>
    <col min="3" max="3" width="9.875" customWidth="1"/>
    <col min="4" max="4" width="8.625" customWidth="1"/>
    <col min="5" max="5" width="10.125" customWidth="1"/>
    <col min="6" max="6" width="8.75" customWidth="1"/>
    <col min="7" max="7" width="8" customWidth="1"/>
    <col min="8" max="8" width="9.87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11.5" customWidth="1"/>
    <col min="20" max="20" width="28.75" customWidth="1"/>
    <col min="21" max="23" width="10.5" customWidth="1"/>
  </cols>
  <sheetData>
    <row r="1" spans="1:23" ht="30.75" customHeight="1" x14ac:dyDescent="0.25">
      <c r="A1" s="191" t="s">
        <v>0</v>
      </c>
      <c r="B1" s="192" t="s">
        <v>397</v>
      </c>
      <c r="C1" s="193" t="s">
        <v>398</v>
      </c>
      <c r="D1" s="191" t="s">
        <v>399</v>
      </c>
      <c r="E1" s="193" t="s">
        <v>400</v>
      </c>
      <c r="F1" s="194" t="s">
        <v>401</v>
      </c>
      <c r="G1" s="192" t="s">
        <v>402</v>
      </c>
      <c r="H1" s="193" t="s">
        <v>403</v>
      </c>
      <c r="I1" s="194" t="s">
        <v>404</v>
      </c>
      <c r="J1" s="191" t="s">
        <v>405</v>
      </c>
      <c r="K1" s="195" t="s">
        <v>406</v>
      </c>
      <c r="L1" s="195" t="s">
        <v>407</v>
      </c>
      <c r="M1" s="195" t="s">
        <v>408</v>
      </c>
      <c r="N1" s="195" t="s">
        <v>409</v>
      </c>
      <c r="O1" s="195" t="s">
        <v>410</v>
      </c>
      <c r="P1" s="196" t="s">
        <v>411</v>
      </c>
      <c r="Q1" s="194" t="s">
        <v>412</v>
      </c>
      <c r="R1" s="197" t="s">
        <v>13</v>
      </c>
      <c r="S1" s="191" t="s">
        <v>14</v>
      </c>
      <c r="T1" s="191" t="s">
        <v>15</v>
      </c>
      <c r="U1" s="198"/>
      <c r="V1" s="198"/>
      <c r="W1" s="198"/>
    </row>
    <row r="2" spans="1:23" ht="31.5" customHeight="1" x14ac:dyDescent="0.25">
      <c r="A2" s="17" t="s">
        <v>413</v>
      </c>
      <c r="B2" s="199" t="s">
        <v>17</v>
      </c>
      <c r="C2" s="98" t="s">
        <v>17</v>
      </c>
      <c r="D2" s="199" t="s">
        <v>17</v>
      </c>
      <c r="E2" s="98" t="s">
        <v>17</v>
      </c>
      <c r="F2" s="199" t="s">
        <v>17</v>
      </c>
      <c r="G2" s="199" t="s">
        <v>17</v>
      </c>
      <c r="H2" s="98" t="s">
        <v>17</v>
      </c>
      <c r="I2" s="199" t="s">
        <v>17</v>
      </c>
      <c r="J2" s="46">
        <v>1</v>
      </c>
      <c r="K2" s="200">
        <v>3.0000000000000001E-3</v>
      </c>
      <c r="L2" s="200">
        <v>3.0000000000000001E-3</v>
      </c>
      <c r="M2" s="200">
        <v>7.0000000000000001E-3</v>
      </c>
      <c r="N2" s="200">
        <v>2E-3</v>
      </c>
      <c r="O2" s="200">
        <v>2E-3</v>
      </c>
      <c r="P2" s="201">
        <v>7.0000000000000001E-3</v>
      </c>
      <c r="Q2" s="11">
        <f>((26.7*((K2-M2)-(O2-P2))*1000))</f>
        <v>26.700000000000003</v>
      </c>
      <c r="R2" s="202" t="s">
        <v>19</v>
      </c>
      <c r="S2" s="203" t="s">
        <v>414</v>
      </c>
      <c r="T2" s="46"/>
      <c r="U2" s="204"/>
      <c r="V2" s="204"/>
      <c r="W2" s="204"/>
    </row>
    <row r="3" spans="1:23" ht="15" customHeight="1" x14ac:dyDescent="0.25">
      <c r="A3" s="17" t="s">
        <v>415</v>
      </c>
      <c r="B3" s="205">
        <v>45708</v>
      </c>
      <c r="C3" s="10">
        <v>0.33819444444444446</v>
      </c>
      <c r="D3" s="205">
        <v>45708</v>
      </c>
      <c r="E3" s="206">
        <v>0.73333333333333328</v>
      </c>
      <c r="F3" s="207">
        <v>1055</v>
      </c>
      <c r="G3" s="208">
        <v>45715</v>
      </c>
      <c r="H3" s="36">
        <v>0.45347222222222222</v>
      </c>
      <c r="I3" s="207">
        <v>7.2</v>
      </c>
      <c r="J3" s="17">
        <v>1</v>
      </c>
      <c r="K3" s="209">
        <v>0.1</v>
      </c>
      <c r="L3" s="209">
        <v>9.4E-2</v>
      </c>
      <c r="M3" s="209">
        <v>9.4E-2</v>
      </c>
      <c r="N3" s="209">
        <v>9.4E-2</v>
      </c>
      <c r="O3" s="209">
        <v>9.4E-2</v>
      </c>
      <c r="P3" s="210">
        <v>0.09</v>
      </c>
      <c r="Q3" s="76">
        <f t="shared" ref="Q3:Q14" si="0">((26.7*((K3-M3)-(O3-P3))*I3)/(F3*J3))*1000</f>
        <v>0.36443601895734629</v>
      </c>
      <c r="R3" s="211"/>
      <c r="S3" s="203" t="s">
        <v>414</v>
      </c>
      <c r="T3" s="212"/>
      <c r="U3" s="213"/>
      <c r="V3" s="213"/>
      <c r="W3" s="213"/>
    </row>
    <row r="4" spans="1:23" ht="15.75" customHeight="1" x14ac:dyDescent="0.25">
      <c r="A4" s="51" t="s">
        <v>416</v>
      </c>
      <c r="B4" s="205">
        <v>45708</v>
      </c>
      <c r="C4" s="10">
        <v>0.3576388888888889</v>
      </c>
      <c r="D4" s="205">
        <v>45708</v>
      </c>
      <c r="E4" s="36">
        <v>0.72222222222222221</v>
      </c>
      <c r="F4" s="76">
        <v>1005</v>
      </c>
      <c r="G4" s="208">
        <v>45715</v>
      </c>
      <c r="H4" s="36">
        <v>0.45694444444444443</v>
      </c>
      <c r="I4" s="76">
        <v>6.8</v>
      </c>
      <c r="J4" s="17">
        <v>1</v>
      </c>
      <c r="K4" s="209">
        <v>1.4999999999999999E-2</v>
      </c>
      <c r="L4" s="209">
        <v>8.0000000000000002E-3</v>
      </c>
      <c r="M4" s="209">
        <v>8.0000000000000002E-3</v>
      </c>
      <c r="N4" s="209">
        <v>0.01</v>
      </c>
      <c r="O4" s="209">
        <v>0.01</v>
      </c>
      <c r="P4" s="210">
        <v>5.0000000000000001E-3</v>
      </c>
      <c r="Q4" s="76">
        <f t="shared" si="0"/>
        <v>0.36131343283582074</v>
      </c>
      <c r="R4" s="51"/>
      <c r="S4" s="203" t="s">
        <v>414</v>
      </c>
      <c r="T4" s="212"/>
      <c r="U4" s="213"/>
      <c r="V4" s="213"/>
      <c r="W4" s="213"/>
    </row>
    <row r="5" spans="1:23" ht="15.75" customHeight="1" x14ac:dyDescent="0.25">
      <c r="A5" s="51" t="s">
        <v>417</v>
      </c>
      <c r="B5" s="205">
        <v>45708</v>
      </c>
      <c r="C5" s="10">
        <v>0.43055555555555558</v>
      </c>
      <c r="D5" s="205">
        <v>45708</v>
      </c>
      <c r="E5" s="36">
        <v>0.71736111111111112</v>
      </c>
      <c r="F5" s="76">
        <v>998</v>
      </c>
      <c r="G5" s="208">
        <v>45715</v>
      </c>
      <c r="H5" s="36">
        <v>0.46041666666666664</v>
      </c>
      <c r="I5" s="76">
        <v>7.5</v>
      </c>
      <c r="J5" s="17">
        <v>1</v>
      </c>
      <c r="K5" s="209">
        <v>1.4999999999999999E-2</v>
      </c>
      <c r="L5" s="209">
        <v>7.0000000000000001E-3</v>
      </c>
      <c r="M5" s="209">
        <v>6.0000000000000001E-3</v>
      </c>
      <c r="N5" s="209">
        <v>8.9999999999999993E-3</v>
      </c>
      <c r="O5" s="209">
        <v>4.0000000000000001E-3</v>
      </c>
      <c r="P5" s="210">
        <v>4.0000000000000001E-3</v>
      </c>
      <c r="Q5" s="214">
        <f t="shared" si="0"/>
        <v>1.8058617234468937</v>
      </c>
      <c r="R5" s="51"/>
      <c r="S5" s="203" t="s">
        <v>414</v>
      </c>
      <c r="T5" s="212"/>
      <c r="U5" s="213"/>
      <c r="V5" s="213"/>
      <c r="W5" s="213"/>
    </row>
    <row r="6" spans="1:23" ht="15.75" customHeight="1" x14ac:dyDescent="0.25">
      <c r="A6" s="51" t="s">
        <v>418</v>
      </c>
      <c r="B6" s="205">
        <v>45708</v>
      </c>
      <c r="C6" s="10">
        <v>0.44583333333333336</v>
      </c>
      <c r="D6" s="205">
        <v>45708</v>
      </c>
      <c r="E6" s="36">
        <v>0.73750000000000004</v>
      </c>
      <c r="F6" s="76">
        <v>1055</v>
      </c>
      <c r="G6" s="208">
        <v>45715</v>
      </c>
      <c r="H6" s="36">
        <v>0.47083333333333333</v>
      </c>
      <c r="I6" s="76">
        <v>7.5</v>
      </c>
      <c r="J6" s="17">
        <v>1</v>
      </c>
      <c r="K6" s="215">
        <v>1.4E-2</v>
      </c>
      <c r="L6" s="215">
        <v>6.0000000000000001E-3</v>
      </c>
      <c r="M6" s="216">
        <v>5.0000000000000001E-3</v>
      </c>
      <c r="N6" s="209">
        <v>8.0000000000000002E-3</v>
      </c>
      <c r="O6" s="209">
        <v>2E-3</v>
      </c>
      <c r="P6" s="210">
        <v>2E-3</v>
      </c>
      <c r="Q6" s="214">
        <f t="shared" si="0"/>
        <v>1.7082938388625593</v>
      </c>
      <c r="R6" s="51"/>
      <c r="S6" s="203" t="s">
        <v>414</v>
      </c>
      <c r="T6" s="212"/>
      <c r="U6" s="213"/>
      <c r="V6" s="213"/>
      <c r="W6" s="213"/>
    </row>
    <row r="7" spans="1:23" ht="15.75" customHeight="1" x14ac:dyDescent="0.25">
      <c r="A7" s="51" t="s">
        <v>419</v>
      </c>
      <c r="B7" s="217">
        <v>45709</v>
      </c>
      <c r="C7" s="10">
        <v>0.32291666666666669</v>
      </c>
      <c r="D7" s="217">
        <v>45709</v>
      </c>
      <c r="E7" s="36">
        <v>0.64583333333333337</v>
      </c>
      <c r="F7" s="76">
        <v>1000</v>
      </c>
      <c r="G7" s="208">
        <v>45715</v>
      </c>
      <c r="H7" s="36">
        <v>0.47430555555555554</v>
      </c>
      <c r="I7" s="76">
        <v>7.4</v>
      </c>
      <c r="J7" s="17">
        <v>1</v>
      </c>
      <c r="K7" s="215">
        <v>2.7E-2</v>
      </c>
      <c r="L7" s="215">
        <v>2.1000000000000001E-2</v>
      </c>
      <c r="M7" s="216">
        <v>1.9E-2</v>
      </c>
      <c r="N7" s="209">
        <v>1.7000000000000001E-2</v>
      </c>
      <c r="O7" s="209">
        <v>1.2999999999999999E-2</v>
      </c>
      <c r="P7" s="210">
        <v>1.2E-2</v>
      </c>
      <c r="Q7" s="214">
        <f t="shared" si="0"/>
        <v>1.3830600000000002</v>
      </c>
      <c r="R7" s="51"/>
      <c r="S7" s="203" t="s">
        <v>414</v>
      </c>
      <c r="T7" s="212"/>
      <c r="U7" s="213"/>
      <c r="V7" s="213"/>
      <c r="W7" s="213"/>
    </row>
    <row r="8" spans="1:23" ht="15.75" customHeight="1" x14ac:dyDescent="0.25">
      <c r="A8" s="51" t="s">
        <v>420</v>
      </c>
      <c r="B8" s="217">
        <v>45709</v>
      </c>
      <c r="C8" s="10">
        <v>0.34027777777777779</v>
      </c>
      <c r="D8" s="217">
        <v>45709</v>
      </c>
      <c r="E8" s="36">
        <v>0.625</v>
      </c>
      <c r="F8" s="76">
        <v>1052</v>
      </c>
      <c r="G8" s="208">
        <v>45715</v>
      </c>
      <c r="H8" s="36">
        <v>0.47847222222222224</v>
      </c>
      <c r="I8" s="76">
        <v>7</v>
      </c>
      <c r="J8" s="17">
        <v>1</v>
      </c>
      <c r="K8" s="209">
        <v>8.0000000000000002E-3</v>
      </c>
      <c r="L8" s="216">
        <v>4.0000000000000001E-3</v>
      </c>
      <c r="M8" s="209">
        <v>3.0000000000000001E-3</v>
      </c>
      <c r="N8" s="216">
        <v>5.0000000000000001E-3</v>
      </c>
      <c r="O8" s="216">
        <v>2E-3</v>
      </c>
      <c r="P8" s="210">
        <v>2E-3</v>
      </c>
      <c r="Q8" s="76">
        <f t="shared" si="0"/>
        <v>0.88830798479087469</v>
      </c>
      <c r="R8" s="51"/>
      <c r="S8" s="203" t="s">
        <v>414</v>
      </c>
      <c r="T8" s="218"/>
      <c r="U8" s="219"/>
      <c r="V8" s="219"/>
      <c r="W8" s="219"/>
    </row>
    <row r="9" spans="1:23" ht="15.75" customHeight="1" x14ac:dyDescent="0.25">
      <c r="A9" s="51" t="s">
        <v>421</v>
      </c>
      <c r="B9" s="217">
        <v>45709</v>
      </c>
      <c r="C9" s="10">
        <v>0.35833333333333334</v>
      </c>
      <c r="D9" s="217">
        <v>45709</v>
      </c>
      <c r="E9" s="36">
        <v>0.64375000000000004</v>
      </c>
      <c r="F9" s="76">
        <v>1069</v>
      </c>
      <c r="G9" s="208">
        <v>45715</v>
      </c>
      <c r="H9" s="36">
        <v>0.48194444444444445</v>
      </c>
      <c r="I9" s="220">
        <v>7.6</v>
      </c>
      <c r="J9" s="17">
        <v>1</v>
      </c>
      <c r="K9" s="209">
        <v>1.2E-2</v>
      </c>
      <c r="L9" s="209">
        <v>7.0000000000000001E-3</v>
      </c>
      <c r="M9" s="209">
        <v>7.0000000000000001E-3</v>
      </c>
      <c r="N9" s="209">
        <v>7.0000000000000001E-3</v>
      </c>
      <c r="O9" s="209">
        <v>3.0000000000000001E-3</v>
      </c>
      <c r="P9" s="210">
        <v>3.0000000000000001E-3</v>
      </c>
      <c r="Q9" s="76">
        <f t="shared" si="0"/>
        <v>0.94911131898970991</v>
      </c>
      <c r="R9" s="51"/>
      <c r="S9" s="203" t="s">
        <v>414</v>
      </c>
      <c r="T9" s="212"/>
      <c r="U9" s="213"/>
      <c r="V9" s="213"/>
      <c r="W9" s="213"/>
    </row>
    <row r="10" spans="1:23" ht="15.75" customHeight="1" x14ac:dyDescent="0.25">
      <c r="A10" s="51" t="s">
        <v>422</v>
      </c>
      <c r="B10" s="217">
        <v>45709</v>
      </c>
      <c r="C10" s="10">
        <v>0.40763888888888888</v>
      </c>
      <c r="D10" s="217">
        <v>45709</v>
      </c>
      <c r="E10" s="36">
        <v>0.62638888888888888</v>
      </c>
      <c r="F10" s="76">
        <v>1040</v>
      </c>
      <c r="G10" s="208">
        <v>45715</v>
      </c>
      <c r="H10" s="36">
        <v>0.48541666666666666</v>
      </c>
      <c r="I10" s="76">
        <v>7</v>
      </c>
      <c r="J10" s="17">
        <v>1</v>
      </c>
      <c r="K10" s="209">
        <v>1.4E-2</v>
      </c>
      <c r="L10" s="209">
        <v>7.0000000000000001E-3</v>
      </c>
      <c r="M10" s="209">
        <v>6.0000000000000001E-3</v>
      </c>
      <c r="N10" s="209">
        <v>1.4E-2</v>
      </c>
      <c r="O10" s="209">
        <v>6.0000000000000001E-3</v>
      </c>
      <c r="P10" s="210">
        <v>5.0000000000000001E-3</v>
      </c>
      <c r="Q10" s="76">
        <f t="shared" si="0"/>
        <v>1.2579807692307692</v>
      </c>
      <c r="R10" s="51"/>
      <c r="S10" s="203" t="s">
        <v>414</v>
      </c>
      <c r="T10" s="212"/>
      <c r="U10" s="213"/>
      <c r="V10" s="213"/>
      <c r="W10" s="213"/>
    </row>
    <row r="11" spans="1:23" ht="18.75" customHeight="1" x14ac:dyDescent="0.25">
      <c r="A11" s="51" t="s">
        <v>423</v>
      </c>
      <c r="B11" s="217">
        <v>45709</v>
      </c>
      <c r="C11" s="10">
        <v>0.42708333333333331</v>
      </c>
      <c r="D11" s="217">
        <v>45709</v>
      </c>
      <c r="E11" s="36">
        <v>0.65</v>
      </c>
      <c r="F11" s="221">
        <v>1006</v>
      </c>
      <c r="G11" s="208">
        <v>45715</v>
      </c>
      <c r="H11" s="36">
        <v>0.48958333333333331</v>
      </c>
      <c r="I11" s="222">
        <v>7.4</v>
      </c>
      <c r="J11" s="17">
        <v>1</v>
      </c>
      <c r="K11" s="209">
        <v>1.4E-2</v>
      </c>
      <c r="L11" s="209">
        <v>1.4E-2</v>
      </c>
      <c r="M11" s="209">
        <v>7.0000000000000001E-3</v>
      </c>
      <c r="N11" s="209">
        <v>7.0000000000000001E-3</v>
      </c>
      <c r="O11" s="209">
        <v>2E-3</v>
      </c>
      <c r="P11" s="210">
        <v>3.0000000000000001E-3</v>
      </c>
      <c r="Q11" s="214">
        <f t="shared" si="0"/>
        <v>1.571212723658052</v>
      </c>
      <c r="R11" s="17"/>
      <c r="S11" s="203" t="s">
        <v>414</v>
      </c>
      <c r="T11" s="218"/>
      <c r="U11" s="223"/>
      <c r="V11" s="223"/>
      <c r="W11" s="223"/>
    </row>
    <row r="12" spans="1:23" ht="18.75" customHeight="1" x14ac:dyDescent="0.25">
      <c r="A12" s="51" t="s">
        <v>424</v>
      </c>
      <c r="B12" s="217">
        <v>45709</v>
      </c>
      <c r="C12" s="10">
        <v>0.44097222222222221</v>
      </c>
      <c r="D12" s="217">
        <v>45709</v>
      </c>
      <c r="E12" s="36">
        <v>0.63888888888888884</v>
      </c>
      <c r="F12" s="222">
        <v>999</v>
      </c>
      <c r="G12" s="208">
        <v>45715</v>
      </c>
      <c r="H12" s="36">
        <v>0.50138888888888888</v>
      </c>
      <c r="I12" s="76">
        <v>6.5</v>
      </c>
      <c r="J12" s="17">
        <v>1</v>
      </c>
      <c r="K12" s="209">
        <v>1.4999999999999999E-2</v>
      </c>
      <c r="L12" s="209">
        <v>1.4999999999999999E-2</v>
      </c>
      <c r="M12" s="209">
        <v>5.0000000000000001E-3</v>
      </c>
      <c r="N12" s="209">
        <v>1.0999999999999999E-2</v>
      </c>
      <c r="O12" s="209">
        <v>4.0000000000000001E-3</v>
      </c>
      <c r="P12" s="210">
        <v>4.0000000000000001E-3</v>
      </c>
      <c r="Q12" s="214">
        <f t="shared" si="0"/>
        <v>1.7372372372372371</v>
      </c>
      <c r="R12" s="17"/>
      <c r="S12" s="203" t="s">
        <v>414</v>
      </c>
      <c r="T12" s="218"/>
      <c r="U12" s="223"/>
      <c r="V12" s="223"/>
      <c r="W12" s="223"/>
    </row>
    <row r="13" spans="1:23" ht="17.25" customHeight="1" x14ac:dyDescent="0.25">
      <c r="A13" s="51" t="s">
        <v>425</v>
      </c>
      <c r="B13" s="217">
        <v>45709</v>
      </c>
      <c r="C13" s="10">
        <v>0.46736111111111112</v>
      </c>
      <c r="D13" s="217">
        <v>45709</v>
      </c>
      <c r="E13" s="206">
        <v>0.62916666666666665</v>
      </c>
      <c r="F13" s="207">
        <v>1041</v>
      </c>
      <c r="G13" s="208">
        <v>45715</v>
      </c>
      <c r="H13" s="36">
        <v>0.50416666666666665</v>
      </c>
      <c r="I13" s="207">
        <v>7</v>
      </c>
      <c r="J13" s="17">
        <v>1</v>
      </c>
      <c r="K13" s="224">
        <v>2.7E-2</v>
      </c>
      <c r="L13" s="224">
        <v>1.4E-2</v>
      </c>
      <c r="M13" s="224">
        <v>1.2E-2</v>
      </c>
      <c r="N13" s="224">
        <v>1.6E-2</v>
      </c>
      <c r="O13" s="224">
        <v>7.0000000000000001E-3</v>
      </c>
      <c r="P13" s="225">
        <v>6.0000000000000001E-3</v>
      </c>
      <c r="Q13" s="214">
        <f t="shared" si="0"/>
        <v>2.5135446685878957</v>
      </c>
      <c r="R13" s="226" t="s">
        <v>19</v>
      </c>
      <c r="S13" s="203" t="s">
        <v>414</v>
      </c>
      <c r="T13" s="17"/>
      <c r="U13" s="227"/>
      <c r="V13" s="227"/>
      <c r="W13" s="227"/>
    </row>
    <row r="14" spans="1:23" ht="15.75" customHeight="1" x14ac:dyDescent="0.25">
      <c r="A14" s="51" t="s">
        <v>426</v>
      </c>
      <c r="B14" s="217">
        <v>45709</v>
      </c>
      <c r="C14" s="10">
        <v>0.48402777777777778</v>
      </c>
      <c r="D14" s="217">
        <v>45709</v>
      </c>
      <c r="E14" s="36">
        <v>0.63611111111111107</v>
      </c>
      <c r="F14" s="222">
        <v>1066</v>
      </c>
      <c r="G14" s="208">
        <v>45715</v>
      </c>
      <c r="H14" s="36">
        <v>0.50624999999999998</v>
      </c>
      <c r="I14" s="76">
        <v>7.4</v>
      </c>
      <c r="J14" s="17">
        <v>1</v>
      </c>
      <c r="K14" s="216">
        <v>1.4999999999999999E-2</v>
      </c>
      <c r="L14" s="216">
        <v>6.0000000000000001E-3</v>
      </c>
      <c r="M14" s="216">
        <v>5.0000000000000001E-3</v>
      </c>
      <c r="N14" s="209">
        <v>8.9999999999999993E-3</v>
      </c>
      <c r="O14" s="209">
        <v>2E-3</v>
      </c>
      <c r="P14" s="210">
        <v>2E-3</v>
      </c>
      <c r="Q14" s="214">
        <f t="shared" si="0"/>
        <v>1.8534709193245777</v>
      </c>
      <c r="R14" s="51"/>
      <c r="S14" s="203" t="s">
        <v>414</v>
      </c>
      <c r="T14" s="212"/>
      <c r="U14" s="213"/>
      <c r="V14" s="213"/>
      <c r="W14" s="213"/>
    </row>
    <row r="15" spans="1:23" ht="30" x14ac:dyDescent="0.25">
      <c r="A15" s="17" t="s">
        <v>413</v>
      </c>
      <c r="B15" s="199" t="s">
        <v>17</v>
      </c>
      <c r="C15" s="98" t="s">
        <v>17</v>
      </c>
      <c r="D15" s="199" t="s">
        <v>17</v>
      </c>
      <c r="E15" s="98" t="s">
        <v>17</v>
      </c>
      <c r="F15" s="199" t="s">
        <v>17</v>
      </c>
      <c r="G15" s="199" t="s">
        <v>17</v>
      </c>
      <c r="H15" s="98" t="s">
        <v>17</v>
      </c>
      <c r="I15" s="199" t="s">
        <v>17</v>
      </c>
      <c r="J15" s="46">
        <v>1</v>
      </c>
      <c r="K15" s="200">
        <v>0</v>
      </c>
      <c r="L15" s="200">
        <v>1E-3</v>
      </c>
      <c r="M15" s="200">
        <v>7.0000000000000001E-3</v>
      </c>
      <c r="N15" s="200">
        <v>0</v>
      </c>
      <c r="O15" s="200">
        <v>0</v>
      </c>
      <c r="P15" s="201">
        <v>8.0000000000000002E-3</v>
      </c>
      <c r="Q15" s="11">
        <f>((26.7*((K15-M15)-(O15-P15))*1000))</f>
        <v>26.700000000000003</v>
      </c>
      <c r="R15" s="202"/>
      <c r="S15" s="228" t="s">
        <v>427</v>
      </c>
      <c r="T15" s="229"/>
      <c r="U15" s="37"/>
      <c r="V15" s="37"/>
      <c r="W15" s="37"/>
    </row>
    <row r="16" spans="1:23" ht="15.75" customHeight="1" x14ac:dyDescent="0.25">
      <c r="A16" s="46" t="s">
        <v>428</v>
      </c>
      <c r="B16" s="19">
        <v>45719</v>
      </c>
      <c r="C16" s="20">
        <v>0.36249999999999999</v>
      </c>
      <c r="D16" s="19">
        <v>45719</v>
      </c>
      <c r="E16" s="98">
        <v>0.62569444444444444</v>
      </c>
      <c r="F16" s="90">
        <v>999</v>
      </c>
      <c r="G16" s="19">
        <v>45736</v>
      </c>
      <c r="H16" s="98">
        <v>0.42708333333333331</v>
      </c>
      <c r="I16" s="199">
        <v>7.5</v>
      </c>
      <c r="J16" s="46">
        <v>1</v>
      </c>
      <c r="K16" s="200">
        <v>6.0000000000000001E-3</v>
      </c>
      <c r="L16" s="200">
        <v>6.0000000000000001E-3</v>
      </c>
      <c r="M16" s="200">
        <v>5.0000000000000001E-4</v>
      </c>
      <c r="N16" s="200">
        <v>0</v>
      </c>
      <c r="O16" s="200">
        <v>1E-3</v>
      </c>
      <c r="P16" s="201">
        <v>1E-3</v>
      </c>
      <c r="Q16" s="76">
        <f t="shared" ref="Q16:Q32" si="1">((26.7*((K16-M16)-(O16-P16))*I16)/(F16*J16))*1000</f>
        <v>1.1024774774774773</v>
      </c>
      <c r="R16" s="202"/>
      <c r="S16" s="228" t="s">
        <v>427</v>
      </c>
      <c r="T16" s="229"/>
      <c r="U16" s="37"/>
      <c r="V16" s="37"/>
      <c r="W16" s="37"/>
    </row>
    <row r="17" spans="1:23" ht="17.25" customHeight="1" x14ac:dyDescent="0.25">
      <c r="A17" s="46" t="s">
        <v>429</v>
      </c>
      <c r="B17" s="19">
        <v>45719</v>
      </c>
      <c r="C17" s="53">
        <v>0.42916666666666664</v>
      </c>
      <c r="D17" s="19">
        <v>45719</v>
      </c>
      <c r="E17" s="98">
        <v>0.6069444444444444</v>
      </c>
      <c r="F17" s="199">
        <v>951</v>
      </c>
      <c r="G17" s="19">
        <v>45736</v>
      </c>
      <c r="H17" s="230">
        <v>0.41319444444444442</v>
      </c>
      <c r="I17" s="199">
        <v>6.4</v>
      </c>
      <c r="J17" s="46">
        <v>1</v>
      </c>
      <c r="K17" s="200">
        <v>7.0000000000000001E-3</v>
      </c>
      <c r="L17" s="200">
        <v>6.0000000000000001E-3</v>
      </c>
      <c r="M17" s="200">
        <v>5.0000000000000001E-3</v>
      </c>
      <c r="N17" s="200">
        <v>1E-3</v>
      </c>
      <c r="O17" s="200">
        <v>1E-3</v>
      </c>
      <c r="P17" s="201">
        <v>1E-3</v>
      </c>
      <c r="Q17" s="76">
        <f t="shared" si="1"/>
        <v>0.35936908517350169</v>
      </c>
      <c r="R17" s="202"/>
      <c r="S17" s="228" t="s">
        <v>427</v>
      </c>
      <c r="T17" s="46"/>
      <c r="U17" s="204"/>
      <c r="V17" s="204"/>
      <c r="W17" s="204"/>
    </row>
    <row r="18" spans="1:23" ht="15.75" customHeight="1" x14ac:dyDescent="0.25">
      <c r="A18" s="46" t="s">
        <v>430</v>
      </c>
      <c r="B18" s="19">
        <v>45719</v>
      </c>
      <c r="C18" s="20">
        <v>0.46458333333333335</v>
      </c>
      <c r="D18" s="19">
        <v>45719</v>
      </c>
      <c r="E18" s="230">
        <v>0.62013888888888891</v>
      </c>
      <c r="F18" s="231">
        <v>1000</v>
      </c>
      <c r="G18" s="19">
        <v>45736</v>
      </c>
      <c r="H18" s="230">
        <v>0.42222222222222222</v>
      </c>
      <c r="I18" s="231">
        <v>7.8</v>
      </c>
      <c r="J18" s="46">
        <v>1</v>
      </c>
      <c r="K18" s="232">
        <v>6.0000000000000001E-3</v>
      </c>
      <c r="L18" s="232">
        <v>6.0000000000000001E-3</v>
      </c>
      <c r="M18" s="232">
        <v>4.0000000000000001E-3</v>
      </c>
      <c r="N18" s="232">
        <v>4.0000000000000001E-3</v>
      </c>
      <c r="O18" s="232">
        <v>3.0000000000000001E-3</v>
      </c>
      <c r="P18" s="233">
        <v>2E-3</v>
      </c>
      <c r="Q18" s="76">
        <f t="shared" si="1"/>
        <v>0.20826</v>
      </c>
      <c r="R18" s="197"/>
      <c r="S18" s="228" t="s">
        <v>427</v>
      </c>
      <c r="T18" s="229"/>
      <c r="U18" s="37"/>
      <c r="V18" s="37"/>
      <c r="W18" s="37"/>
    </row>
    <row r="19" spans="1:23" ht="15.75" customHeight="1" x14ac:dyDescent="0.25">
      <c r="A19" s="46" t="s">
        <v>431</v>
      </c>
      <c r="B19" s="19">
        <v>45719</v>
      </c>
      <c r="C19" s="53">
        <v>0.51944444444444449</v>
      </c>
      <c r="D19" s="19">
        <v>45719</v>
      </c>
      <c r="E19" s="230">
        <v>0.61388888888888893</v>
      </c>
      <c r="F19" s="231">
        <v>1045</v>
      </c>
      <c r="G19" s="19">
        <v>45736</v>
      </c>
      <c r="H19" s="230">
        <v>0.41736111111111113</v>
      </c>
      <c r="I19" s="231">
        <v>6.5</v>
      </c>
      <c r="J19" s="46">
        <v>1</v>
      </c>
      <c r="K19" s="232">
        <v>5.0000000000000001E-3</v>
      </c>
      <c r="L19" s="232">
        <v>6.0000000000000001E-3</v>
      </c>
      <c r="M19" s="232">
        <v>3.0000000000000001E-3</v>
      </c>
      <c r="N19" s="232">
        <v>3.0000000000000001E-3</v>
      </c>
      <c r="O19" s="232">
        <v>3.0000000000000001E-3</v>
      </c>
      <c r="P19" s="233">
        <v>1E-3</v>
      </c>
      <c r="Q19" s="76">
        <f t="shared" si="1"/>
        <v>0</v>
      </c>
      <c r="R19" s="197"/>
      <c r="S19" s="228" t="s">
        <v>427</v>
      </c>
      <c r="T19" s="229"/>
      <c r="U19" s="37"/>
      <c r="V19" s="37"/>
      <c r="W19" s="37"/>
    </row>
    <row r="20" spans="1:23" ht="15.75" customHeight="1" x14ac:dyDescent="0.25">
      <c r="A20" s="46" t="s">
        <v>432</v>
      </c>
      <c r="B20" s="19">
        <v>45720</v>
      </c>
      <c r="C20" s="20">
        <v>0.33958333333333335</v>
      </c>
      <c r="D20" s="19">
        <v>45720</v>
      </c>
      <c r="E20" s="230">
        <v>0.81736111111111109</v>
      </c>
      <c r="F20" s="231">
        <v>994</v>
      </c>
      <c r="G20" s="19">
        <v>45736</v>
      </c>
      <c r="H20" s="230">
        <v>0.43055555555555558</v>
      </c>
      <c r="I20" s="96">
        <v>7.6</v>
      </c>
      <c r="J20" s="46">
        <v>1</v>
      </c>
      <c r="K20" s="34">
        <v>6.0000000000000001E-3</v>
      </c>
      <c r="L20" s="34">
        <v>5.0000000000000001E-3</v>
      </c>
      <c r="M20" s="34">
        <v>1E-3</v>
      </c>
      <c r="N20" s="34">
        <v>4.0000000000000001E-3</v>
      </c>
      <c r="O20" s="34">
        <v>3.0000000000000001E-3</v>
      </c>
      <c r="P20" s="234">
        <v>1E-3</v>
      </c>
      <c r="Q20" s="76">
        <f t="shared" si="1"/>
        <v>0.61243460764587532</v>
      </c>
      <c r="R20" s="197"/>
      <c r="S20" s="228" t="s">
        <v>427</v>
      </c>
      <c r="T20" s="229"/>
      <c r="U20" s="37"/>
      <c r="V20" s="37"/>
      <c r="W20" s="37"/>
    </row>
    <row r="21" spans="1:23" ht="15.75" customHeight="1" x14ac:dyDescent="0.25">
      <c r="A21" s="46" t="s">
        <v>433</v>
      </c>
      <c r="B21" s="19">
        <v>45720</v>
      </c>
      <c r="C21" s="54">
        <v>0.37152777777777779</v>
      </c>
      <c r="D21" s="19">
        <v>45720</v>
      </c>
      <c r="E21" s="230">
        <v>0.8208333333333333</v>
      </c>
      <c r="F21" s="231">
        <v>1055</v>
      </c>
      <c r="G21" s="19">
        <v>45736</v>
      </c>
      <c r="H21" s="230">
        <v>0.43472222222222223</v>
      </c>
      <c r="I21" s="231">
        <v>8.5</v>
      </c>
      <c r="J21" s="46">
        <v>1</v>
      </c>
      <c r="K21" s="232">
        <v>5.0000000000000001E-3</v>
      </c>
      <c r="L21" s="232">
        <v>4.0000000000000001E-3</v>
      </c>
      <c r="M21" s="232">
        <v>2E-3</v>
      </c>
      <c r="N21" s="232">
        <v>3.0000000000000001E-3</v>
      </c>
      <c r="O21" s="232">
        <v>3.0000000000000001E-3</v>
      </c>
      <c r="P21" s="233">
        <v>2E-3</v>
      </c>
      <c r="Q21" s="76">
        <f t="shared" si="1"/>
        <v>0.43023696682464457</v>
      </c>
      <c r="R21" s="197"/>
      <c r="S21" s="228" t="s">
        <v>427</v>
      </c>
      <c r="T21" s="229"/>
      <c r="U21" s="37"/>
      <c r="V21" s="37"/>
      <c r="W21" s="37"/>
    </row>
    <row r="22" spans="1:23" ht="15.75" customHeight="1" x14ac:dyDescent="0.25">
      <c r="A22" s="46" t="s">
        <v>434</v>
      </c>
      <c r="B22" s="19">
        <v>45720</v>
      </c>
      <c r="C22" s="54">
        <v>0.39374999999999999</v>
      </c>
      <c r="D22" s="19">
        <v>45720</v>
      </c>
      <c r="E22" s="230">
        <v>0.8256944444444444</v>
      </c>
      <c r="F22" s="231">
        <v>995</v>
      </c>
      <c r="G22" s="19">
        <v>45736</v>
      </c>
      <c r="H22" s="230">
        <v>0.44166666666666665</v>
      </c>
      <c r="I22" s="231">
        <v>7</v>
      </c>
      <c r="J22" s="46">
        <v>1</v>
      </c>
      <c r="K22" s="232">
        <v>7.0000000000000001E-3</v>
      </c>
      <c r="L22" s="232">
        <v>6.0000000000000001E-3</v>
      </c>
      <c r="M22" s="232">
        <v>2E-3</v>
      </c>
      <c r="N22" s="232">
        <v>3.0000000000000001E-3</v>
      </c>
      <c r="O22" s="232">
        <v>2E-3</v>
      </c>
      <c r="P22" s="233">
        <v>1E-3</v>
      </c>
      <c r="Q22" s="76">
        <f t="shared" si="1"/>
        <v>0.75135678391959804</v>
      </c>
      <c r="R22" s="197"/>
      <c r="S22" s="228" t="s">
        <v>427</v>
      </c>
      <c r="T22" s="229"/>
      <c r="U22" s="37"/>
      <c r="V22" s="37"/>
      <c r="W22" s="37"/>
    </row>
    <row r="23" spans="1:23" ht="15.75" customHeight="1" x14ac:dyDescent="0.25">
      <c r="A23" s="46" t="s">
        <v>435</v>
      </c>
      <c r="B23" s="19">
        <v>45720</v>
      </c>
      <c r="C23" s="20">
        <v>0.44513888888888886</v>
      </c>
      <c r="D23" s="19">
        <v>45720</v>
      </c>
      <c r="E23" s="230">
        <v>0.82638888888888884</v>
      </c>
      <c r="F23" s="231">
        <v>1201</v>
      </c>
      <c r="G23" s="19">
        <v>45736</v>
      </c>
      <c r="H23" s="230">
        <v>0.43888888888888888</v>
      </c>
      <c r="I23" s="231">
        <v>6.5</v>
      </c>
      <c r="J23" s="46">
        <v>1</v>
      </c>
      <c r="K23" s="232">
        <v>0.01</v>
      </c>
      <c r="L23" s="232">
        <v>0.01</v>
      </c>
      <c r="M23" s="232">
        <v>6.9999999999999999E-4</v>
      </c>
      <c r="N23" s="232">
        <v>2E-3</v>
      </c>
      <c r="O23" s="232">
        <v>1E-3</v>
      </c>
      <c r="P23" s="233">
        <v>0</v>
      </c>
      <c r="Q23" s="76">
        <f t="shared" si="1"/>
        <v>1.1993880099916738</v>
      </c>
      <c r="R23" s="197"/>
      <c r="S23" s="228" t="s">
        <v>427</v>
      </c>
      <c r="T23" s="229"/>
      <c r="U23" s="37"/>
      <c r="V23" s="37"/>
      <c r="W23" s="37"/>
    </row>
    <row r="24" spans="1:23" ht="18" customHeight="1" x14ac:dyDescent="0.25">
      <c r="A24" s="46" t="s">
        <v>436</v>
      </c>
      <c r="B24" s="19">
        <v>45720</v>
      </c>
      <c r="C24" s="20">
        <v>0.47430555555555554</v>
      </c>
      <c r="D24" s="19">
        <v>45720</v>
      </c>
      <c r="E24" s="98">
        <v>0.82916666666666672</v>
      </c>
      <c r="F24" s="199">
        <v>1048</v>
      </c>
      <c r="G24" s="19">
        <v>45736</v>
      </c>
      <c r="H24" s="98">
        <v>0.44583333333333336</v>
      </c>
      <c r="I24" s="199">
        <v>7.5</v>
      </c>
      <c r="J24" s="46">
        <v>1</v>
      </c>
      <c r="K24" s="200">
        <v>0.01</v>
      </c>
      <c r="L24" s="200">
        <v>1.0999999999999999E-2</v>
      </c>
      <c r="M24" s="200">
        <v>8.0000000000000004E-4</v>
      </c>
      <c r="N24" s="200">
        <v>4.0000000000000001E-3</v>
      </c>
      <c r="O24" s="200">
        <v>3.0000000000000001E-3</v>
      </c>
      <c r="P24" s="201">
        <v>2E-3</v>
      </c>
      <c r="Q24" s="76">
        <f t="shared" si="1"/>
        <v>1.5668416030534349</v>
      </c>
      <c r="R24" s="202" t="s">
        <v>19</v>
      </c>
      <c r="S24" s="228" t="s">
        <v>427</v>
      </c>
      <c r="T24" s="46"/>
      <c r="U24" s="204"/>
      <c r="V24" s="204"/>
      <c r="W24" s="204"/>
    </row>
    <row r="25" spans="1:23" ht="15.75" customHeight="1" x14ac:dyDescent="0.25">
      <c r="A25" s="46" t="s">
        <v>437</v>
      </c>
      <c r="B25" s="19">
        <v>45720</v>
      </c>
      <c r="C25" s="20">
        <v>0.50486111111111109</v>
      </c>
      <c r="D25" s="19">
        <v>45720</v>
      </c>
      <c r="E25" s="235">
        <v>0.8305555555555556</v>
      </c>
      <c r="F25" s="236">
        <v>1000</v>
      </c>
      <c r="G25" s="19">
        <v>45736</v>
      </c>
      <c r="H25" s="235">
        <v>0.45</v>
      </c>
      <c r="I25" s="90">
        <v>7.4</v>
      </c>
      <c r="J25" s="46">
        <v>1</v>
      </c>
      <c r="K25" s="107">
        <v>6.0000000000000001E-3</v>
      </c>
      <c r="L25" s="107">
        <v>5.0000000000000001E-3</v>
      </c>
      <c r="M25" s="200">
        <v>0</v>
      </c>
      <c r="N25" s="107">
        <v>2E-3</v>
      </c>
      <c r="O25" s="107">
        <v>1E-3</v>
      </c>
      <c r="P25" s="201">
        <v>0</v>
      </c>
      <c r="Q25" s="76">
        <f t="shared" si="1"/>
        <v>0.98790000000000011</v>
      </c>
      <c r="R25" s="197"/>
      <c r="S25" s="228" t="s">
        <v>427</v>
      </c>
      <c r="T25" s="348"/>
      <c r="U25" s="37"/>
      <c r="V25" s="37"/>
      <c r="W25" s="37"/>
    </row>
    <row r="26" spans="1:23" ht="15.75" customHeight="1" x14ac:dyDescent="0.25">
      <c r="A26" s="197" t="s">
        <v>438</v>
      </c>
      <c r="B26" s="24">
        <v>45722</v>
      </c>
      <c r="C26" s="20">
        <v>0.32291666666666669</v>
      </c>
      <c r="D26" s="24">
        <v>45722</v>
      </c>
      <c r="E26" s="98">
        <v>0.62013888888888891</v>
      </c>
      <c r="F26" s="199">
        <v>1063</v>
      </c>
      <c r="G26" s="19">
        <v>45736</v>
      </c>
      <c r="H26" s="98">
        <v>0.46527777777777779</v>
      </c>
      <c r="I26" s="199">
        <v>7.8</v>
      </c>
      <c r="J26" s="46">
        <v>1</v>
      </c>
      <c r="K26" s="200">
        <v>7.0000000000000001E-3</v>
      </c>
      <c r="L26" s="200">
        <v>6.0000000000000001E-3</v>
      </c>
      <c r="M26" s="200">
        <v>0</v>
      </c>
      <c r="N26" s="200">
        <v>4.0000000000000001E-3</v>
      </c>
      <c r="O26" s="200">
        <v>4.0000000000000001E-3</v>
      </c>
      <c r="P26" s="201">
        <v>1E-3</v>
      </c>
      <c r="Q26" s="76">
        <f t="shared" si="1"/>
        <v>0.78366886171213557</v>
      </c>
      <c r="R26" s="197"/>
      <c r="S26" s="228" t="s">
        <v>427</v>
      </c>
      <c r="T26" s="347"/>
      <c r="U26" s="37"/>
      <c r="V26" s="37"/>
      <c r="W26" s="37"/>
    </row>
    <row r="27" spans="1:23" ht="15.75" customHeight="1" x14ac:dyDescent="0.25">
      <c r="A27" s="197" t="s">
        <v>439</v>
      </c>
      <c r="B27" s="24">
        <v>45722</v>
      </c>
      <c r="C27" s="20">
        <v>0.34930555555555554</v>
      </c>
      <c r="D27" s="24">
        <v>45722</v>
      </c>
      <c r="E27" s="230">
        <v>0.61805555555555558</v>
      </c>
      <c r="F27" s="231">
        <v>1051</v>
      </c>
      <c r="G27" s="19">
        <v>45736</v>
      </c>
      <c r="H27" s="230">
        <v>0.46875</v>
      </c>
      <c r="I27" s="90">
        <v>8.1999999999999993</v>
      </c>
      <c r="J27" s="46">
        <v>1</v>
      </c>
      <c r="K27" s="232">
        <v>1.2999999999999999E-2</v>
      </c>
      <c r="L27" s="232">
        <v>1.0999999999999999E-2</v>
      </c>
      <c r="M27" s="232">
        <v>6.0000000000000001E-3</v>
      </c>
      <c r="N27" s="237">
        <v>5.0000000000000001E-3</v>
      </c>
      <c r="O27" s="237">
        <v>5.0000000000000001E-3</v>
      </c>
      <c r="P27" s="238">
        <v>2E-3</v>
      </c>
      <c r="Q27" s="76">
        <f t="shared" si="1"/>
        <v>0.83326355851569911</v>
      </c>
      <c r="R27" s="197"/>
      <c r="S27" s="228" t="s">
        <v>427</v>
      </c>
      <c r="T27" s="49"/>
      <c r="U27" s="37"/>
      <c r="V27" s="37"/>
      <c r="W27" s="37"/>
    </row>
    <row r="28" spans="1:23" ht="15.75" customHeight="1" x14ac:dyDescent="0.25">
      <c r="A28" s="197" t="s">
        <v>440</v>
      </c>
      <c r="B28" s="24">
        <v>45722</v>
      </c>
      <c r="C28" s="20">
        <v>0.39513888888888887</v>
      </c>
      <c r="D28" s="24">
        <v>45722</v>
      </c>
      <c r="E28" s="230">
        <v>0.62708333333333333</v>
      </c>
      <c r="F28" s="231">
        <v>1050</v>
      </c>
      <c r="G28" s="19">
        <v>45736</v>
      </c>
      <c r="H28" s="230">
        <v>0.45902777777777776</v>
      </c>
      <c r="I28" s="90">
        <v>9</v>
      </c>
      <c r="J28" s="46">
        <v>1</v>
      </c>
      <c r="K28" s="232">
        <v>3.1E-2</v>
      </c>
      <c r="L28" s="232">
        <v>3.2000000000000001E-2</v>
      </c>
      <c r="M28" s="232">
        <v>0.03</v>
      </c>
      <c r="N28" s="232">
        <v>4.0000000000000001E-3</v>
      </c>
      <c r="O28" s="232">
        <v>4.0000000000000001E-3</v>
      </c>
      <c r="P28" s="233">
        <v>4.0000000000000001E-3</v>
      </c>
      <c r="Q28" s="76">
        <f t="shared" si="1"/>
        <v>0.22885714285714306</v>
      </c>
      <c r="R28" s="197"/>
      <c r="S28" s="228" t="s">
        <v>427</v>
      </c>
      <c r="T28" s="49"/>
      <c r="U28" s="37"/>
      <c r="V28" s="37"/>
      <c r="W28" s="37"/>
    </row>
    <row r="29" spans="1:23" ht="15.75" customHeight="1" x14ac:dyDescent="0.25">
      <c r="A29" s="197" t="s">
        <v>441</v>
      </c>
      <c r="B29" s="24">
        <v>45722</v>
      </c>
      <c r="C29" s="20">
        <v>0.4201388888888889</v>
      </c>
      <c r="D29" s="24">
        <v>45722</v>
      </c>
      <c r="E29" s="230">
        <v>0.62152777777777779</v>
      </c>
      <c r="F29" s="231">
        <v>998</v>
      </c>
      <c r="G29" s="19">
        <v>45736</v>
      </c>
      <c r="H29" s="230">
        <v>0.46250000000000002</v>
      </c>
      <c r="I29" s="90">
        <v>7.6</v>
      </c>
      <c r="J29" s="46">
        <v>1</v>
      </c>
      <c r="K29" s="232">
        <v>1.6E-2</v>
      </c>
      <c r="L29" s="232">
        <v>1.4E-2</v>
      </c>
      <c r="M29" s="232">
        <v>1.2E-2</v>
      </c>
      <c r="N29" s="232">
        <v>4.0000000000000001E-3</v>
      </c>
      <c r="O29" s="232">
        <v>4.0000000000000001E-3</v>
      </c>
      <c r="P29" s="233">
        <v>3.0000000000000001E-3</v>
      </c>
      <c r="Q29" s="76">
        <f t="shared" si="1"/>
        <v>0.60997995991983966</v>
      </c>
      <c r="R29" s="197"/>
      <c r="S29" s="228" t="s">
        <v>427</v>
      </c>
      <c r="T29" s="49"/>
      <c r="U29" s="37"/>
      <c r="V29" s="37"/>
      <c r="W29" s="37"/>
    </row>
    <row r="30" spans="1:23" ht="15.75" customHeight="1" x14ac:dyDescent="0.25">
      <c r="A30" s="197" t="s">
        <v>442</v>
      </c>
      <c r="B30" s="24">
        <v>45722</v>
      </c>
      <c r="C30" s="20">
        <v>0.45902777777777776</v>
      </c>
      <c r="D30" s="24">
        <v>45722</v>
      </c>
      <c r="E30" s="230">
        <v>0.62361111111111112</v>
      </c>
      <c r="F30" s="231">
        <v>998</v>
      </c>
      <c r="G30" s="19">
        <v>45736</v>
      </c>
      <c r="H30" s="230">
        <v>0.45277777777777778</v>
      </c>
      <c r="I30" s="90">
        <v>7.4</v>
      </c>
      <c r="J30" s="46">
        <v>1</v>
      </c>
      <c r="K30" s="232">
        <v>0.33800000000000002</v>
      </c>
      <c r="L30" s="232">
        <v>0.32400000000000001</v>
      </c>
      <c r="M30" s="232">
        <v>0.29299999999999998</v>
      </c>
      <c r="N30" s="232">
        <v>0.55800000000000005</v>
      </c>
      <c r="O30" s="232">
        <v>0.55800000000000005</v>
      </c>
      <c r="P30" s="233">
        <v>0.51800000000000002</v>
      </c>
      <c r="Q30" s="76">
        <f t="shared" si="1"/>
        <v>0.98987975951903895</v>
      </c>
      <c r="R30" s="197"/>
      <c r="S30" s="228" t="s">
        <v>427</v>
      </c>
      <c r="T30" s="49"/>
      <c r="U30" s="37"/>
      <c r="V30" s="37"/>
      <c r="W30" s="37"/>
    </row>
    <row r="31" spans="1:23" ht="15.75" customHeight="1" x14ac:dyDescent="0.25">
      <c r="A31" s="197" t="s">
        <v>443</v>
      </c>
      <c r="B31" s="24">
        <v>45722</v>
      </c>
      <c r="C31" s="20">
        <v>0.47430555555555554</v>
      </c>
      <c r="D31" s="24">
        <v>45722</v>
      </c>
      <c r="E31" s="230">
        <v>0.62986111111111109</v>
      </c>
      <c r="F31" s="231">
        <v>1056</v>
      </c>
      <c r="G31" s="19">
        <v>45736</v>
      </c>
      <c r="H31" s="230">
        <v>0.47152777777777777</v>
      </c>
      <c r="I31" s="90">
        <v>8.6</v>
      </c>
      <c r="J31" s="46">
        <v>1</v>
      </c>
      <c r="K31" s="237">
        <v>1.4999999999999999E-2</v>
      </c>
      <c r="L31" s="237">
        <v>1.4E-2</v>
      </c>
      <c r="M31" s="232">
        <v>8.9999999999999993E-3</v>
      </c>
      <c r="N31" s="232">
        <v>6.0000000000000001E-3</v>
      </c>
      <c r="O31" s="232">
        <v>6.0000000000000001E-3</v>
      </c>
      <c r="P31" s="233">
        <v>3.0000000000000001E-3</v>
      </c>
      <c r="Q31" s="76">
        <f t="shared" si="1"/>
        <v>0.65232954545454547</v>
      </c>
      <c r="R31" s="197"/>
      <c r="S31" s="228" t="s">
        <v>427</v>
      </c>
      <c r="T31" s="49"/>
      <c r="U31" s="37"/>
      <c r="V31" s="37"/>
      <c r="W31" s="37"/>
    </row>
    <row r="32" spans="1:23" ht="15.75" customHeight="1" x14ac:dyDescent="0.25">
      <c r="A32" s="197" t="s">
        <v>444</v>
      </c>
      <c r="B32" s="24">
        <v>45722</v>
      </c>
      <c r="C32" s="54">
        <v>0.49027777777777776</v>
      </c>
      <c r="D32" s="24">
        <v>45722</v>
      </c>
      <c r="E32" s="230">
        <v>0.62569444444444444</v>
      </c>
      <c r="F32" s="231">
        <v>1050</v>
      </c>
      <c r="G32" s="19">
        <v>45736</v>
      </c>
      <c r="H32" s="230">
        <v>0.45624999999999999</v>
      </c>
      <c r="I32" s="90">
        <v>8.4</v>
      </c>
      <c r="J32" s="46">
        <v>1</v>
      </c>
      <c r="K32" s="237">
        <v>8.9999999999999993E-3</v>
      </c>
      <c r="L32" s="237">
        <v>8.0000000000000002E-3</v>
      </c>
      <c r="M32" s="237">
        <v>4.0000000000000001E-3</v>
      </c>
      <c r="N32" s="237">
        <v>5.0000000000000001E-3</v>
      </c>
      <c r="O32" s="237">
        <v>5.0000000000000001E-3</v>
      </c>
      <c r="P32" s="238"/>
      <c r="Q32" s="76">
        <f t="shared" si="1"/>
        <v>-1.8526846723432302E-16</v>
      </c>
      <c r="R32" s="197"/>
      <c r="S32" s="228" t="s">
        <v>427</v>
      </c>
      <c r="T32" s="49"/>
      <c r="U32" s="37"/>
      <c r="V32" s="37"/>
      <c r="W32" s="37"/>
    </row>
    <row r="33" spans="1:23" ht="31.5" customHeight="1" x14ac:dyDescent="0.25">
      <c r="A33" s="17" t="s">
        <v>413</v>
      </c>
      <c r="B33" s="199" t="s">
        <v>17</v>
      </c>
      <c r="C33" s="98" t="s">
        <v>17</v>
      </c>
      <c r="D33" s="199" t="s">
        <v>17</v>
      </c>
      <c r="E33" s="98" t="s">
        <v>17</v>
      </c>
      <c r="F33" s="199" t="s">
        <v>17</v>
      </c>
      <c r="G33" s="239">
        <v>45735</v>
      </c>
      <c r="H33" s="98">
        <v>0.59722222222222221</v>
      </c>
      <c r="I33" s="199" t="s">
        <v>17</v>
      </c>
      <c r="J33" s="46">
        <v>1</v>
      </c>
      <c r="K33" s="200">
        <v>4.0000000000000001E-3</v>
      </c>
      <c r="L33" s="200">
        <v>5.0000000000000001E-3</v>
      </c>
      <c r="M33" s="200">
        <v>1.0999999999999999E-2</v>
      </c>
      <c r="N33" s="200">
        <v>3.0000000000000001E-3</v>
      </c>
      <c r="O33" s="200">
        <v>3.0000000000000001E-3</v>
      </c>
      <c r="P33" s="201">
        <v>1.0999999999999999E-2</v>
      </c>
      <c r="Q33" s="11">
        <f>((26.7*((K33-M33)-(O33-P33))*1000))</f>
        <v>26.700000000000021</v>
      </c>
      <c r="R33" s="202" t="s">
        <v>19</v>
      </c>
      <c r="S33" s="228" t="s">
        <v>445</v>
      </c>
      <c r="T33" s="46"/>
      <c r="U33" s="204"/>
      <c r="V33" s="204"/>
      <c r="W33" s="204"/>
    </row>
    <row r="34" spans="1:23" ht="15.75" customHeight="1" x14ac:dyDescent="0.25">
      <c r="A34" s="197" t="s">
        <v>446</v>
      </c>
      <c r="B34" s="24">
        <v>45726</v>
      </c>
      <c r="C34" s="20">
        <v>0.3</v>
      </c>
      <c r="D34" s="24">
        <v>45726</v>
      </c>
      <c r="E34" s="230">
        <v>0.1701388888888889</v>
      </c>
      <c r="F34" s="231">
        <v>1060</v>
      </c>
      <c r="G34" s="239">
        <v>45735</v>
      </c>
      <c r="H34" s="230">
        <v>0.59930555555555554</v>
      </c>
      <c r="I34" s="90">
        <v>4.9000000000000004</v>
      </c>
      <c r="J34" s="46">
        <v>1</v>
      </c>
      <c r="K34" s="232">
        <v>2.7E-2</v>
      </c>
      <c r="L34" s="232">
        <v>2.8000000000000001E-2</v>
      </c>
      <c r="M34" s="232">
        <v>2.3E-2</v>
      </c>
      <c r="N34" s="232">
        <v>3.4000000000000002E-2</v>
      </c>
      <c r="O34" s="232">
        <v>3.5000000000000003E-2</v>
      </c>
      <c r="P34" s="233">
        <v>3.1E-2</v>
      </c>
      <c r="Q34" s="76">
        <f t="shared" ref="Q34:Q42" si="2">((26.7*((K34-M34)-(O34-P34))*I34)/(F34*J34))*1000</f>
        <v>-4.2821485351329373E-16</v>
      </c>
      <c r="R34" s="197"/>
      <c r="S34" s="228" t="s">
        <v>445</v>
      </c>
      <c r="T34" s="49"/>
      <c r="U34" s="37"/>
      <c r="V34" s="37"/>
      <c r="W34" s="37"/>
    </row>
    <row r="35" spans="1:23" ht="15.75" x14ac:dyDescent="0.25">
      <c r="A35" s="46" t="s">
        <v>447</v>
      </c>
      <c r="B35" s="24">
        <v>45726</v>
      </c>
      <c r="C35" s="98">
        <v>0.34513888888888888</v>
      </c>
      <c r="D35" s="24">
        <v>45726</v>
      </c>
      <c r="E35" s="98">
        <v>0.67222222222222228</v>
      </c>
      <c r="F35" s="199">
        <v>1010</v>
      </c>
      <c r="G35" s="239">
        <v>45735</v>
      </c>
      <c r="H35" s="98">
        <v>0.60138888888888886</v>
      </c>
      <c r="I35" s="199">
        <v>5</v>
      </c>
      <c r="J35" s="46">
        <v>1</v>
      </c>
      <c r="K35" s="200">
        <v>1.2E-2</v>
      </c>
      <c r="L35" s="200">
        <v>1.2999999999999999E-2</v>
      </c>
      <c r="M35" s="200">
        <v>4.0000000000000001E-3</v>
      </c>
      <c r="N35" s="200">
        <v>6.0000000000000001E-3</v>
      </c>
      <c r="O35" s="200">
        <v>6.0000000000000001E-3</v>
      </c>
      <c r="P35" s="201">
        <v>2E-3</v>
      </c>
      <c r="Q35" s="76">
        <f t="shared" si="2"/>
        <v>0.52871287128712874</v>
      </c>
      <c r="R35" s="202" t="s">
        <v>19</v>
      </c>
      <c r="S35" s="228" t="s">
        <v>445</v>
      </c>
      <c r="T35" s="49"/>
      <c r="U35" s="37"/>
      <c r="V35" s="37"/>
      <c r="W35" s="37"/>
    </row>
    <row r="36" spans="1:23" ht="15.75" customHeight="1" x14ac:dyDescent="0.25">
      <c r="A36" s="51" t="s">
        <v>448</v>
      </c>
      <c r="B36" s="24">
        <v>45726</v>
      </c>
      <c r="C36" s="20">
        <v>0.38055555555555554</v>
      </c>
      <c r="D36" s="24">
        <v>45726</v>
      </c>
      <c r="E36" s="230">
        <v>0.68472222222222223</v>
      </c>
      <c r="F36" s="231">
        <v>992</v>
      </c>
      <c r="G36" s="239">
        <v>45735</v>
      </c>
      <c r="H36" s="230">
        <v>0.59791666666666665</v>
      </c>
      <c r="I36" s="90">
        <v>4.5</v>
      </c>
      <c r="J36" s="46">
        <v>1</v>
      </c>
      <c r="K36" s="232">
        <v>2.8000000000000001E-2</v>
      </c>
      <c r="L36" s="232">
        <v>2.7E-2</v>
      </c>
      <c r="M36" s="232">
        <v>2.1999999999999999E-2</v>
      </c>
      <c r="N36" s="232">
        <v>1.7999999999999999E-2</v>
      </c>
      <c r="O36" s="232">
        <v>1.7999999999999999E-2</v>
      </c>
      <c r="P36" s="233">
        <v>1.4999999999999999E-2</v>
      </c>
      <c r="Q36" s="76">
        <f t="shared" si="2"/>
        <v>0.36335685483871005</v>
      </c>
      <c r="R36" s="197"/>
      <c r="S36" s="228" t="s">
        <v>445</v>
      </c>
      <c r="T36" s="49"/>
      <c r="U36" s="37"/>
      <c r="V36" s="37"/>
      <c r="W36" s="37"/>
    </row>
    <row r="37" spans="1:23" ht="18.75" customHeight="1" x14ac:dyDescent="0.25">
      <c r="A37" s="51" t="s">
        <v>449</v>
      </c>
      <c r="B37" s="24">
        <v>45726</v>
      </c>
      <c r="C37" s="20">
        <v>0.39513888888888887</v>
      </c>
      <c r="D37" s="24">
        <v>45726</v>
      </c>
      <c r="E37" s="98">
        <v>0.68611111111111112</v>
      </c>
      <c r="F37" s="199">
        <v>1000</v>
      </c>
      <c r="G37" s="239">
        <v>45735</v>
      </c>
      <c r="H37" s="240">
        <v>0.60347222222222219</v>
      </c>
      <c r="I37" s="199">
        <v>4.5</v>
      </c>
      <c r="J37" s="46">
        <v>1</v>
      </c>
      <c r="K37" s="232">
        <v>3.1E-2</v>
      </c>
      <c r="L37" s="232">
        <v>3.1E-2</v>
      </c>
      <c r="M37" s="232">
        <v>2.4E-2</v>
      </c>
      <c r="N37" s="232">
        <v>3.1E-2</v>
      </c>
      <c r="O37" s="232">
        <v>3.1E-2</v>
      </c>
      <c r="P37" s="233">
        <v>2.7E-2</v>
      </c>
      <c r="Q37" s="76">
        <f t="shared" si="2"/>
        <v>0.36044999999999988</v>
      </c>
      <c r="R37" s="241"/>
      <c r="S37" s="228" t="s">
        <v>445</v>
      </c>
      <c r="T37" s="229"/>
      <c r="U37" s="37"/>
      <c r="V37" s="37"/>
      <c r="W37" s="37"/>
    </row>
    <row r="38" spans="1:23" ht="15.75" customHeight="1" x14ac:dyDescent="0.25">
      <c r="A38" s="197" t="s">
        <v>450</v>
      </c>
      <c r="B38" s="24">
        <v>45726</v>
      </c>
      <c r="C38" s="54">
        <v>0.41458333333333336</v>
      </c>
      <c r="D38" s="24">
        <v>45726</v>
      </c>
      <c r="E38" s="230">
        <v>0.71388888888888891</v>
      </c>
      <c r="F38" s="90">
        <v>1056</v>
      </c>
      <c r="G38" s="239">
        <v>45735</v>
      </c>
      <c r="H38" s="230">
        <v>0.60416666666666663</v>
      </c>
      <c r="I38" s="90">
        <v>4.5</v>
      </c>
      <c r="J38" s="46">
        <v>1</v>
      </c>
      <c r="K38" s="232">
        <v>8.0000000000000002E-3</v>
      </c>
      <c r="L38" s="232">
        <v>7.0000000000000001E-3</v>
      </c>
      <c r="M38" s="232">
        <v>4.0000000000000001E-3</v>
      </c>
      <c r="N38" s="237">
        <v>5.0000000000000001E-3</v>
      </c>
      <c r="O38" s="237">
        <v>6.0000000000000001E-3</v>
      </c>
      <c r="P38" s="233">
        <v>4.0000000000000001E-3</v>
      </c>
      <c r="Q38" s="76">
        <f t="shared" si="2"/>
        <v>0.22755681818181819</v>
      </c>
      <c r="R38" s="197"/>
      <c r="S38" s="228" t="s">
        <v>445</v>
      </c>
      <c r="T38" s="348"/>
      <c r="U38" s="37"/>
      <c r="V38" s="37"/>
      <c r="W38" s="37"/>
    </row>
    <row r="39" spans="1:23" ht="17.25" customHeight="1" x14ac:dyDescent="0.25">
      <c r="A39" s="51" t="s">
        <v>451</v>
      </c>
      <c r="B39" s="24">
        <v>45726</v>
      </c>
      <c r="C39" s="98">
        <v>0.43402777777777779</v>
      </c>
      <c r="D39" s="24">
        <v>45726</v>
      </c>
      <c r="E39" s="230">
        <v>0.68888888888888888</v>
      </c>
      <c r="F39" s="199">
        <v>1056</v>
      </c>
      <c r="G39" s="239">
        <v>45735</v>
      </c>
      <c r="H39" s="98">
        <v>0.6118055555555556</v>
      </c>
      <c r="I39" s="199">
        <v>5</v>
      </c>
      <c r="J39" s="46">
        <v>1</v>
      </c>
      <c r="K39" s="200">
        <v>2.4E-2</v>
      </c>
      <c r="L39" s="200">
        <v>2.4E-2</v>
      </c>
      <c r="M39" s="200">
        <v>1.9E-2</v>
      </c>
      <c r="N39" s="237">
        <v>1.0999999999999999E-2</v>
      </c>
      <c r="O39" s="237">
        <v>0.01</v>
      </c>
      <c r="P39" s="238">
        <v>7.0000000000000001E-3</v>
      </c>
      <c r="Q39" s="76">
        <f t="shared" si="2"/>
        <v>0.25284090909090923</v>
      </c>
      <c r="R39" s="197"/>
      <c r="S39" s="228" t="s">
        <v>445</v>
      </c>
      <c r="T39" s="346"/>
      <c r="U39" s="37"/>
      <c r="V39" s="37"/>
      <c r="W39" s="37"/>
    </row>
    <row r="40" spans="1:23" ht="15.75" x14ac:dyDescent="0.25">
      <c r="A40" s="51" t="s">
        <v>452</v>
      </c>
      <c r="B40" s="24">
        <v>45726</v>
      </c>
      <c r="C40" s="98">
        <v>0.45</v>
      </c>
      <c r="D40" s="24">
        <v>45726</v>
      </c>
      <c r="E40" s="98">
        <v>0.71597222222222223</v>
      </c>
      <c r="F40" s="199">
        <v>1078</v>
      </c>
      <c r="G40" s="239">
        <v>45735</v>
      </c>
      <c r="H40" s="235">
        <v>0.60486111111111107</v>
      </c>
      <c r="I40" s="236">
        <v>5</v>
      </c>
      <c r="J40" s="46">
        <v>1</v>
      </c>
      <c r="K40" s="200">
        <v>1.0999999999999999E-2</v>
      </c>
      <c r="L40" s="200">
        <v>1.2E-2</v>
      </c>
      <c r="M40" s="200">
        <v>0.01</v>
      </c>
      <c r="N40" s="237">
        <v>0.01</v>
      </c>
      <c r="O40" s="237">
        <v>0.01</v>
      </c>
      <c r="P40" s="238">
        <v>8.9999999999999993E-3</v>
      </c>
      <c r="Q40" s="76">
        <f t="shared" si="2"/>
        <v>-2.1482892768358418E-16</v>
      </c>
      <c r="R40" s="197"/>
      <c r="S40" s="228" t="s">
        <v>445</v>
      </c>
      <c r="T40" s="346"/>
      <c r="U40" s="37"/>
      <c r="V40" s="37"/>
      <c r="W40" s="37"/>
    </row>
    <row r="41" spans="1:23" ht="15.75" customHeight="1" x14ac:dyDescent="0.25">
      <c r="A41" s="197" t="s">
        <v>453</v>
      </c>
      <c r="B41" s="24">
        <v>45726</v>
      </c>
      <c r="C41" s="59">
        <v>0.46944444444444444</v>
      </c>
      <c r="D41" s="24">
        <v>45726</v>
      </c>
      <c r="E41" s="230">
        <v>0.67569444444444449</v>
      </c>
      <c r="F41" s="90">
        <v>1058</v>
      </c>
      <c r="G41" s="239">
        <v>45735</v>
      </c>
      <c r="H41" s="54">
        <v>0.61250000000000004</v>
      </c>
      <c r="I41" s="90">
        <v>4.5</v>
      </c>
      <c r="J41" s="46">
        <v>1</v>
      </c>
      <c r="K41" s="232">
        <v>8.0000000000000002E-3</v>
      </c>
      <c r="L41" s="232">
        <v>8.0000000000000002E-3</v>
      </c>
      <c r="M41" s="232">
        <v>5.0000000000000001E-3</v>
      </c>
      <c r="N41" s="237">
        <v>6.0000000000000001E-3</v>
      </c>
      <c r="O41" s="237">
        <v>7.0000000000000001E-3</v>
      </c>
      <c r="P41" s="233">
        <v>5.0000000000000001E-3</v>
      </c>
      <c r="Q41" s="76">
        <f t="shared" si="2"/>
        <v>0.1135633270321361</v>
      </c>
      <c r="R41" s="197"/>
      <c r="S41" s="228" t="s">
        <v>445</v>
      </c>
      <c r="T41" s="347"/>
      <c r="U41" s="37"/>
      <c r="V41" s="37"/>
      <c r="W41" s="37"/>
    </row>
    <row r="42" spans="1:23" ht="15.75" customHeight="1" x14ac:dyDescent="0.25">
      <c r="A42" s="51" t="s">
        <v>454</v>
      </c>
      <c r="B42" s="24">
        <v>45726</v>
      </c>
      <c r="C42" s="59">
        <v>0.49722222222222223</v>
      </c>
      <c r="D42" s="24">
        <v>45726</v>
      </c>
      <c r="E42" s="230">
        <v>0.69236111111111109</v>
      </c>
      <c r="F42" s="242">
        <v>1066</v>
      </c>
      <c r="G42" s="239">
        <v>45735</v>
      </c>
      <c r="H42" s="54">
        <v>0.11388888888888889</v>
      </c>
      <c r="I42" s="231">
        <v>4</v>
      </c>
      <c r="J42" s="46">
        <v>1</v>
      </c>
      <c r="K42" s="232">
        <v>1.2999999999999999E-2</v>
      </c>
      <c r="L42" s="232">
        <v>1.2999999999999999E-2</v>
      </c>
      <c r="M42" s="232">
        <v>7.0000000000000001E-3</v>
      </c>
      <c r="N42" s="232">
        <v>8.9999999999999993E-3</v>
      </c>
      <c r="O42" s="232">
        <v>8.9999999999999993E-3</v>
      </c>
      <c r="P42" s="233">
        <v>5.0000000000000001E-3</v>
      </c>
      <c r="Q42" s="76">
        <f t="shared" si="2"/>
        <v>0.20037523452157599</v>
      </c>
      <c r="R42" s="197"/>
      <c r="S42" s="228" t="s">
        <v>445</v>
      </c>
      <c r="T42" s="49"/>
      <c r="U42" s="37"/>
      <c r="V42" s="37"/>
      <c r="W42" s="37"/>
    </row>
    <row r="43" spans="1:23" ht="30" x14ac:dyDescent="0.25">
      <c r="A43" s="17" t="s">
        <v>413</v>
      </c>
      <c r="B43" s="199" t="s">
        <v>17</v>
      </c>
      <c r="C43" s="199" t="s">
        <v>17</v>
      </c>
      <c r="D43" s="199" t="s">
        <v>17</v>
      </c>
      <c r="E43" s="199" t="s">
        <v>17</v>
      </c>
      <c r="F43" s="199" t="s">
        <v>17</v>
      </c>
      <c r="G43" s="199" t="s">
        <v>17</v>
      </c>
      <c r="H43" s="199" t="s">
        <v>17</v>
      </c>
      <c r="I43" s="199" t="s">
        <v>17</v>
      </c>
      <c r="J43" s="46">
        <v>1</v>
      </c>
      <c r="K43" s="200">
        <v>3.0000000000000001E-3</v>
      </c>
      <c r="L43" s="200">
        <v>2E-3</v>
      </c>
      <c r="M43" s="200">
        <v>0.01</v>
      </c>
      <c r="N43" s="200">
        <v>2E-3</v>
      </c>
      <c r="O43" s="200">
        <v>2E-3</v>
      </c>
      <c r="P43" s="201">
        <v>0.01</v>
      </c>
      <c r="Q43" s="11">
        <f>((26.7*((K43-M43)-(O43-P43))*1000))</f>
        <v>26.700000000000003</v>
      </c>
      <c r="R43" s="197"/>
      <c r="S43" s="228" t="s">
        <v>20</v>
      </c>
      <c r="T43" s="49"/>
      <c r="U43" s="37"/>
      <c r="V43" s="37"/>
      <c r="W43" s="37"/>
    </row>
    <row r="44" spans="1:23" ht="15.75" customHeight="1" x14ac:dyDescent="0.25">
      <c r="A44" s="51" t="s">
        <v>455</v>
      </c>
      <c r="B44" s="24">
        <v>45728</v>
      </c>
      <c r="C44" s="59">
        <v>0.3</v>
      </c>
      <c r="D44" s="24">
        <v>45728</v>
      </c>
      <c r="E44" s="230">
        <v>0.3</v>
      </c>
      <c r="F44" s="231">
        <v>1000</v>
      </c>
      <c r="G44" s="24">
        <v>45754</v>
      </c>
      <c r="H44" s="230">
        <v>0.45347222222222222</v>
      </c>
      <c r="I44" s="231">
        <v>7.8</v>
      </c>
      <c r="J44" s="46">
        <v>1</v>
      </c>
      <c r="K44" s="232">
        <v>2.3E-2</v>
      </c>
      <c r="L44" s="232">
        <v>2.1999999999999999E-2</v>
      </c>
      <c r="M44" s="232">
        <v>1.9E-2</v>
      </c>
      <c r="N44" s="232">
        <v>8.0000000000000002E-3</v>
      </c>
      <c r="O44" s="232">
        <v>7.0000000000000001E-3</v>
      </c>
      <c r="P44" s="233">
        <v>6.0000000000000001E-3</v>
      </c>
      <c r="Q44" s="76">
        <f t="shared" ref="Q44:Q52" si="3">((26.7*((K44-M44)-(O44-P44))*I44)/(F44*J44))*1000</f>
        <v>0.62478</v>
      </c>
      <c r="R44" s="197"/>
      <c r="S44" s="228" t="s">
        <v>20</v>
      </c>
      <c r="T44" s="49"/>
      <c r="U44" s="37"/>
      <c r="V44" s="37"/>
      <c r="W44" s="37"/>
    </row>
    <row r="45" spans="1:23" ht="15.75" customHeight="1" x14ac:dyDescent="0.25">
      <c r="A45" s="51" t="s">
        <v>456</v>
      </c>
      <c r="B45" s="24">
        <v>45728</v>
      </c>
      <c r="C45" s="59">
        <v>0.32013888888888886</v>
      </c>
      <c r="D45" s="24">
        <v>45728</v>
      </c>
      <c r="E45" s="230">
        <v>0.32013888888888886</v>
      </c>
      <c r="F45" s="90">
        <v>1050</v>
      </c>
      <c r="G45" s="24">
        <v>45754</v>
      </c>
      <c r="H45" s="54">
        <v>0.45763888888888887</v>
      </c>
      <c r="I45" s="90">
        <v>7.8</v>
      </c>
      <c r="J45" s="46">
        <v>1</v>
      </c>
      <c r="K45" s="232">
        <v>2.3E-2</v>
      </c>
      <c r="L45" s="232">
        <v>2.3E-2</v>
      </c>
      <c r="M45" s="232">
        <v>1.9E-2</v>
      </c>
      <c r="N45" s="237">
        <v>0.01</v>
      </c>
      <c r="O45" s="237">
        <v>0.01</v>
      </c>
      <c r="P45" s="233">
        <v>8.9999999999999993E-3</v>
      </c>
      <c r="Q45" s="76">
        <f t="shared" si="3"/>
        <v>0.59502857142857113</v>
      </c>
      <c r="R45" s="197"/>
      <c r="S45" s="228" t="s">
        <v>20</v>
      </c>
      <c r="T45" s="49"/>
      <c r="U45" s="37"/>
      <c r="V45" s="37"/>
      <c r="W45" s="37"/>
    </row>
    <row r="46" spans="1:23" ht="15.75" customHeight="1" x14ac:dyDescent="0.25">
      <c r="A46" s="51" t="s">
        <v>457</v>
      </c>
      <c r="B46" s="24">
        <v>45728</v>
      </c>
      <c r="C46" s="20">
        <v>0.34236111111111112</v>
      </c>
      <c r="D46" s="24">
        <v>45728</v>
      </c>
      <c r="E46" s="20">
        <v>0.34236111111111112</v>
      </c>
      <c r="F46" s="90">
        <v>1010</v>
      </c>
      <c r="G46" s="24">
        <v>45754</v>
      </c>
      <c r="H46" s="54">
        <v>0.46250000000000002</v>
      </c>
      <c r="I46" s="90">
        <v>7.5</v>
      </c>
      <c r="J46" s="46">
        <v>1</v>
      </c>
      <c r="K46" s="232">
        <v>1.2999999999999999E-2</v>
      </c>
      <c r="L46" s="232">
        <v>1.2E-2</v>
      </c>
      <c r="M46" s="232">
        <v>8.9999999999999993E-3</v>
      </c>
      <c r="N46" s="232">
        <v>5.0000000000000001E-3</v>
      </c>
      <c r="O46" s="232">
        <v>5.0000000000000001E-3</v>
      </c>
      <c r="P46" s="233">
        <v>3.0000000000000001E-3</v>
      </c>
      <c r="Q46" s="76">
        <f t="shared" si="3"/>
        <v>0.39653465346534655</v>
      </c>
      <c r="R46" s="197"/>
      <c r="S46" s="228" t="s">
        <v>20</v>
      </c>
      <c r="T46" s="49"/>
      <c r="U46" s="37"/>
      <c r="V46" s="37"/>
      <c r="W46" s="37"/>
    </row>
    <row r="47" spans="1:23" ht="15.75" customHeight="1" x14ac:dyDescent="0.25">
      <c r="A47" s="51" t="s">
        <v>458</v>
      </c>
      <c r="B47" s="24">
        <v>45728</v>
      </c>
      <c r="C47" s="20">
        <v>0.35972222222222222</v>
      </c>
      <c r="D47" s="24">
        <v>45728</v>
      </c>
      <c r="E47" s="20">
        <v>0.35972222222222222</v>
      </c>
      <c r="F47" s="90">
        <v>1045</v>
      </c>
      <c r="G47" s="24">
        <v>45754</v>
      </c>
      <c r="H47" s="54">
        <v>0.46597222222222223</v>
      </c>
      <c r="I47" s="90">
        <v>7.5</v>
      </c>
      <c r="J47" s="46">
        <v>1</v>
      </c>
      <c r="K47" s="107">
        <v>1.4E-2</v>
      </c>
      <c r="L47" s="107">
        <v>1.2999999999999999E-2</v>
      </c>
      <c r="M47" s="107">
        <v>8.9999999999999993E-3</v>
      </c>
      <c r="N47" s="232">
        <v>7.0000000000000001E-3</v>
      </c>
      <c r="O47" s="232">
        <v>7.0000000000000001E-3</v>
      </c>
      <c r="P47" s="233">
        <v>5.0000000000000001E-3</v>
      </c>
      <c r="Q47" s="76">
        <f t="shared" si="3"/>
        <v>0.57488038277511966</v>
      </c>
      <c r="R47" s="197"/>
      <c r="S47" s="228" t="s">
        <v>20</v>
      </c>
      <c r="T47" s="49"/>
      <c r="U47" s="37"/>
      <c r="V47" s="37"/>
      <c r="W47" s="37"/>
    </row>
    <row r="48" spans="1:23" ht="15.75" customHeight="1" x14ac:dyDescent="0.25">
      <c r="A48" s="51" t="s">
        <v>459</v>
      </c>
      <c r="B48" s="24">
        <v>45728</v>
      </c>
      <c r="C48" s="59">
        <v>0.37638888888888888</v>
      </c>
      <c r="D48" s="24">
        <v>45728</v>
      </c>
      <c r="E48" s="59">
        <v>0.37638888888888888</v>
      </c>
      <c r="F48" s="90">
        <v>1055</v>
      </c>
      <c r="G48" s="24">
        <v>45754</v>
      </c>
      <c r="H48" s="54">
        <v>0.46944444444444444</v>
      </c>
      <c r="I48" s="90">
        <v>7.5</v>
      </c>
      <c r="J48" s="46">
        <v>1</v>
      </c>
      <c r="K48" s="237">
        <v>0.02</v>
      </c>
      <c r="L48" s="237">
        <v>1.9E-2</v>
      </c>
      <c r="M48" s="237">
        <v>1.7000000000000001E-2</v>
      </c>
      <c r="N48" s="232">
        <v>0.01</v>
      </c>
      <c r="O48" s="232">
        <v>8.9999999999999993E-3</v>
      </c>
      <c r="P48" s="233">
        <v>7.0000000000000001E-3</v>
      </c>
      <c r="Q48" s="76">
        <f t="shared" si="3"/>
        <v>0.18981042654028438</v>
      </c>
      <c r="R48" s="197"/>
      <c r="S48" s="228" t="s">
        <v>20</v>
      </c>
      <c r="T48" s="49"/>
      <c r="U48" s="37"/>
      <c r="V48" s="37"/>
      <c r="W48" s="37"/>
    </row>
    <row r="49" spans="1:23" ht="15.75" customHeight="1" x14ac:dyDescent="0.25">
      <c r="A49" s="51" t="s">
        <v>460</v>
      </c>
      <c r="B49" s="24">
        <v>45728</v>
      </c>
      <c r="C49" s="59">
        <v>0.38750000000000001</v>
      </c>
      <c r="D49" s="24">
        <v>45728</v>
      </c>
      <c r="E49" s="59">
        <v>0.38750000000000001</v>
      </c>
      <c r="F49" s="90">
        <v>920</v>
      </c>
      <c r="G49" s="24">
        <v>45754</v>
      </c>
      <c r="H49" s="54">
        <v>0.47222222222222221</v>
      </c>
      <c r="I49" s="90">
        <v>7</v>
      </c>
      <c r="J49" s="46">
        <v>1</v>
      </c>
      <c r="K49" s="237">
        <v>1.7999999999999999E-2</v>
      </c>
      <c r="L49" s="237">
        <v>1.4999999999999999E-2</v>
      </c>
      <c r="M49" s="237">
        <v>1.2E-2</v>
      </c>
      <c r="N49" s="232">
        <v>1.2E-2</v>
      </c>
      <c r="O49" s="232">
        <v>1.2E-2</v>
      </c>
      <c r="P49" s="233">
        <v>1.2E-2</v>
      </c>
      <c r="Q49" s="214">
        <f t="shared" si="3"/>
        <v>1.2189130434782605</v>
      </c>
      <c r="R49" s="197"/>
      <c r="S49" s="228" t="s">
        <v>20</v>
      </c>
      <c r="T49" s="49"/>
      <c r="U49" s="37"/>
      <c r="V49" s="37"/>
      <c r="W49" s="37"/>
    </row>
    <row r="50" spans="1:23" ht="15.75" customHeight="1" x14ac:dyDescent="0.25">
      <c r="A50" s="51" t="s">
        <v>461</v>
      </c>
      <c r="B50" s="24">
        <v>45728</v>
      </c>
      <c r="C50" s="20">
        <v>0.41041666666666665</v>
      </c>
      <c r="D50" s="24">
        <v>45728</v>
      </c>
      <c r="E50" s="20">
        <v>0.41041666666666665</v>
      </c>
      <c r="F50" s="90">
        <v>1050</v>
      </c>
      <c r="G50" s="24">
        <v>45754</v>
      </c>
      <c r="H50" s="54">
        <v>0.47569444444444442</v>
      </c>
      <c r="I50" s="90">
        <v>7.5</v>
      </c>
      <c r="J50" s="46">
        <v>1</v>
      </c>
      <c r="K50" s="237">
        <v>3.3000000000000002E-2</v>
      </c>
      <c r="L50" s="237">
        <v>3.2000000000000001E-2</v>
      </c>
      <c r="M50" s="237">
        <v>2.8000000000000001E-2</v>
      </c>
      <c r="N50" s="232">
        <v>7.0000000000000001E-3</v>
      </c>
      <c r="O50" s="232">
        <v>6.0000000000000001E-3</v>
      </c>
      <c r="P50" s="233">
        <v>6.0000000000000001E-3</v>
      </c>
      <c r="Q50" s="76">
        <f t="shared" si="3"/>
        <v>0.95357142857142874</v>
      </c>
      <c r="R50" s="197"/>
      <c r="S50" s="228" t="s">
        <v>20</v>
      </c>
      <c r="T50" s="49"/>
      <c r="U50" s="37"/>
      <c r="V50" s="37"/>
      <c r="W50" s="37"/>
    </row>
    <row r="51" spans="1:23" ht="15.75" customHeight="1" x14ac:dyDescent="0.25">
      <c r="A51" s="51" t="s">
        <v>462</v>
      </c>
      <c r="B51" s="24">
        <v>45728</v>
      </c>
      <c r="C51" s="20">
        <v>0.43402777777777779</v>
      </c>
      <c r="D51" s="24">
        <v>45728</v>
      </c>
      <c r="E51" s="20">
        <v>0.43402777777777779</v>
      </c>
      <c r="F51" s="90">
        <v>1052</v>
      </c>
      <c r="G51" s="24">
        <v>45754</v>
      </c>
      <c r="H51" s="239">
        <v>45758</v>
      </c>
      <c r="I51" s="90">
        <v>7.5</v>
      </c>
      <c r="J51" s="46">
        <v>1</v>
      </c>
      <c r="K51" s="237">
        <v>0.01</v>
      </c>
      <c r="L51" s="237">
        <v>8.9999999999999993E-3</v>
      </c>
      <c r="M51" s="237">
        <v>6.0000000000000001E-3</v>
      </c>
      <c r="N51" s="232">
        <v>6.0000000000000001E-3</v>
      </c>
      <c r="O51" s="232">
        <v>5.0000000000000001E-3</v>
      </c>
      <c r="P51" s="233">
        <v>4.0000000000000001E-3</v>
      </c>
      <c r="Q51" s="76">
        <f t="shared" si="3"/>
        <v>0.5710551330798479</v>
      </c>
      <c r="R51" s="197"/>
      <c r="S51" s="228" t="s">
        <v>20</v>
      </c>
      <c r="T51" s="49"/>
      <c r="U51" s="37"/>
      <c r="V51" s="37"/>
      <c r="W51" s="37"/>
    </row>
    <row r="52" spans="1:23" ht="15.75" customHeight="1" x14ac:dyDescent="0.25">
      <c r="A52" s="51" t="s">
        <v>463</v>
      </c>
      <c r="B52" s="24">
        <v>45728</v>
      </c>
      <c r="C52" s="20">
        <v>0.44930555555555557</v>
      </c>
      <c r="D52" s="24">
        <v>45728</v>
      </c>
      <c r="E52" s="20">
        <v>0.44930555555555557</v>
      </c>
      <c r="F52" s="90">
        <v>1000</v>
      </c>
      <c r="G52" s="24">
        <v>45754</v>
      </c>
      <c r="H52" s="54">
        <v>0.48402777777777778</v>
      </c>
      <c r="I52" s="90">
        <v>6.5</v>
      </c>
      <c r="J52" s="46">
        <v>1</v>
      </c>
      <c r="K52" s="237">
        <v>1.7000000000000001E-2</v>
      </c>
      <c r="L52" s="237">
        <v>1.4E-2</v>
      </c>
      <c r="M52" s="237">
        <v>1.0999999999999999E-2</v>
      </c>
      <c r="N52" s="232">
        <v>7.0000000000000001E-3</v>
      </c>
      <c r="O52" s="232">
        <v>6.0000000000000001E-3</v>
      </c>
      <c r="P52" s="233">
        <v>5.0000000000000001E-3</v>
      </c>
      <c r="Q52" s="76">
        <f t="shared" si="3"/>
        <v>0.86775000000000024</v>
      </c>
      <c r="R52" s="197"/>
      <c r="S52" s="228" t="s">
        <v>20</v>
      </c>
      <c r="T52" s="49"/>
      <c r="U52" s="37"/>
      <c r="V52" s="37"/>
      <c r="W52" s="37"/>
    </row>
    <row r="53" spans="1:23" ht="30" x14ac:dyDescent="0.25">
      <c r="A53" s="17" t="s">
        <v>413</v>
      </c>
      <c r="B53" s="199" t="s">
        <v>17</v>
      </c>
      <c r="C53" s="199" t="s">
        <v>17</v>
      </c>
      <c r="D53" s="199" t="s">
        <v>17</v>
      </c>
      <c r="E53" s="199" t="s">
        <v>17</v>
      </c>
      <c r="F53" s="199" t="s">
        <v>17</v>
      </c>
      <c r="G53" s="199" t="s">
        <v>17</v>
      </c>
      <c r="H53" s="199" t="s">
        <v>17</v>
      </c>
      <c r="I53" s="199" t="s">
        <v>17</v>
      </c>
      <c r="J53" s="46">
        <v>1</v>
      </c>
      <c r="K53" s="200">
        <v>3.0000000000000001E-3</v>
      </c>
      <c r="L53" s="200">
        <v>2E-3</v>
      </c>
      <c r="M53" s="200">
        <v>0.01</v>
      </c>
      <c r="N53" s="200">
        <v>2E-3</v>
      </c>
      <c r="O53" s="200">
        <v>2E-3</v>
      </c>
      <c r="P53" s="201">
        <v>0.01</v>
      </c>
      <c r="Q53" s="11">
        <f>((26.7*((K53-M53)-(O53-P53))*1000))</f>
        <v>26.700000000000003</v>
      </c>
      <c r="R53" s="200">
        <v>1.4999999999999999E-2</v>
      </c>
      <c r="S53" s="228" t="s">
        <v>271</v>
      </c>
      <c r="T53" s="46"/>
      <c r="U53" s="204"/>
      <c r="V53" s="204"/>
      <c r="W53" s="204"/>
    </row>
    <row r="54" spans="1:23" ht="17.25" customHeight="1" x14ac:dyDescent="0.25">
      <c r="A54" s="51" t="s">
        <v>464</v>
      </c>
      <c r="B54" s="24">
        <v>45755</v>
      </c>
      <c r="C54" s="20">
        <v>0.34027777777777779</v>
      </c>
      <c r="D54" s="24">
        <v>45755</v>
      </c>
      <c r="E54" s="20">
        <v>0.77638888888888891</v>
      </c>
      <c r="F54" s="90">
        <v>1062</v>
      </c>
      <c r="G54" s="239">
        <v>45758</v>
      </c>
      <c r="H54" s="98">
        <v>0.42916666666666664</v>
      </c>
      <c r="I54" s="90">
        <v>6</v>
      </c>
      <c r="J54" s="46">
        <v>1</v>
      </c>
      <c r="K54" s="86">
        <v>1.4999999999999999E-2</v>
      </c>
      <c r="L54" s="86">
        <v>1.4999999999999999E-2</v>
      </c>
      <c r="M54" s="86">
        <v>1.2999999999999999E-2</v>
      </c>
      <c r="N54" s="86">
        <v>7.0000000000000001E-3</v>
      </c>
      <c r="O54" s="86">
        <v>8.0000000000000002E-3</v>
      </c>
      <c r="P54" s="243">
        <v>7.0000000000000001E-3</v>
      </c>
      <c r="Q54" s="76">
        <f t="shared" ref="Q54:Q57" si="4">((26.7*((K54-M54)-(O54-P54))*I54)/(F54*J54))*1000</f>
        <v>0.15084745762711865</v>
      </c>
      <c r="R54" s="197"/>
      <c r="S54" s="228" t="s">
        <v>271</v>
      </c>
      <c r="T54" s="46"/>
      <c r="U54" s="204"/>
      <c r="V54" s="204"/>
      <c r="W54" s="204"/>
    </row>
    <row r="55" spans="1:23" ht="15.75" customHeight="1" x14ac:dyDescent="0.25">
      <c r="A55" s="51" t="s">
        <v>465</v>
      </c>
      <c r="B55" s="24">
        <v>45755</v>
      </c>
      <c r="C55" s="20">
        <v>0.35625000000000001</v>
      </c>
      <c r="D55" s="24">
        <v>45755</v>
      </c>
      <c r="E55" s="20">
        <v>0.78819444444444442</v>
      </c>
      <c r="F55" s="90">
        <v>1062</v>
      </c>
      <c r="G55" s="239">
        <v>45758</v>
      </c>
      <c r="H55" s="54">
        <v>0.44374999999999998</v>
      </c>
      <c r="I55" s="90">
        <v>5</v>
      </c>
      <c r="J55" s="46">
        <v>1</v>
      </c>
      <c r="K55" s="200">
        <v>7.0000000000000001E-3</v>
      </c>
      <c r="L55" s="200">
        <v>7.0000000000000001E-3</v>
      </c>
      <c r="M55" s="200">
        <v>5.0000000000000001E-3</v>
      </c>
      <c r="N55" s="200">
        <v>3.0000000000000001E-3</v>
      </c>
      <c r="O55" s="200">
        <v>3.0000000000000001E-3</v>
      </c>
      <c r="P55" s="201">
        <v>2E-3</v>
      </c>
      <c r="Q55" s="76">
        <f t="shared" si="4"/>
        <v>0.12570621468926554</v>
      </c>
      <c r="R55" s="197"/>
      <c r="S55" s="228" t="s">
        <v>271</v>
      </c>
      <c r="T55" s="49"/>
      <c r="U55" s="37"/>
      <c r="V55" s="37"/>
      <c r="W55" s="37"/>
    </row>
    <row r="56" spans="1:23" ht="15.75" customHeight="1" x14ac:dyDescent="0.25">
      <c r="A56" s="51" t="s">
        <v>466</v>
      </c>
      <c r="B56" s="24">
        <v>45755</v>
      </c>
      <c r="C56" s="20">
        <v>0.48541666666666666</v>
      </c>
      <c r="D56" s="24">
        <v>45755</v>
      </c>
      <c r="E56" s="20">
        <v>0.79166666666666663</v>
      </c>
      <c r="F56" s="90">
        <v>1052</v>
      </c>
      <c r="G56" s="239">
        <v>45758</v>
      </c>
      <c r="H56" s="98">
        <v>0.4375</v>
      </c>
      <c r="I56" s="90">
        <v>7</v>
      </c>
      <c r="J56" s="46">
        <v>1</v>
      </c>
      <c r="K56" s="232">
        <v>8.9999999999999993E-3</v>
      </c>
      <c r="L56" s="232">
        <v>8.9999999999999993E-3</v>
      </c>
      <c r="M56" s="232">
        <v>7.0000000000000001E-3</v>
      </c>
      <c r="N56" s="237">
        <v>4.0000000000000001E-3</v>
      </c>
      <c r="O56" s="237">
        <v>4.0000000000000001E-3</v>
      </c>
      <c r="P56" s="238">
        <v>3.0000000000000001E-3</v>
      </c>
      <c r="Q56" s="76">
        <f t="shared" si="4"/>
        <v>0.17766159695817474</v>
      </c>
      <c r="R56" s="197"/>
      <c r="S56" s="228" t="s">
        <v>271</v>
      </c>
      <c r="T56" s="49"/>
      <c r="U56" s="37"/>
      <c r="V56" s="37"/>
      <c r="W56" s="37"/>
    </row>
    <row r="57" spans="1:23" ht="15.75" customHeight="1" x14ac:dyDescent="0.25">
      <c r="A57" s="51" t="s">
        <v>467</v>
      </c>
      <c r="B57" s="24">
        <v>45755</v>
      </c>
      <c r="C57" s="20">
        <v>0.51249999999999996</v>
      </c>
      <c r="D57" s="24">
        <v>45755</v>
      </c>
      <c r="E57" s="20">
        <v>0.78055555555555556</v>
      </c>
      <c r="F57" s="90">
        <v>1058</v>
      </c>
      <c r="G57" s="239">
        <v>45758</v>
      </c>
      <c r="H57" s="59">
        <v>0.4513888888888889</v>
      </c>
      <c r="I57" s="222">
        <v>6</v>
      </c>
      <c r="J57" s="46">
        <v>1</v>
      </c>
      <c r="K57" s="232">
        <v>0.01</v>
      </c>
      <c r="L57" s="232">
        <v>0.01</v>
      </c>
      <c r="M57" s="237">
        <v>6.0000000000000001E-3</v>
      </c>
      <c r="N57" s="237">
        <v>6.0000000000000001E-3</v>
      </c>
      <c r="O57" s="237">
        <v>6.0000000000000001E-3</v>
      </c>
      <c r="P57" s="233">
        <v>3.0000000000000001E-3</v>
      </c>
      <c r="Q57" s="76">
        <f t="shared" si="4"/>
        <v>0.15141776937618148</v>
      </c>
      <c r="R57" s="197"/>
      <c r="S57" s="228" t="s">
        <v>271</v>
      </c>
      <c r="T57" s="49"/>
      <c r="U57" s="37"/>
      <c r="V57" s="37"/>
      <c r="W57" s="37"/>
    </row>
    <row r="58" spans="1:23" ht="15.75" customHeight="1" x14ac:dyDescent="0.25">
      <c r="A58" s="244"/>
      <c r="B58" s="245"/>
      <c r="C58" s="246"/>
      <c r="D58" s="37"/>
      <c r="E58" s="246"/>
      <c r="F58" s="247"/>
      <c r="G58" s="245"/>
      <c r="H58" s="53"/>
      <c r="I58" s="247"/>
      <c r="J58" s="37"/>
      <c r="K58" s="248"/>
      <c r="L58" s="248"/>
      <c r="M58" s="248"/>
      <c r="N58" s="248"/>
      <c r="O58" s="248"/>
      <c r="P58" s="249"/>
      <c r="Q58" s="250"/>
      <c r="R58" s="37"/>
      <c r="S58" s="37"/>
      <c r="T58" s="204"/>
      <c r="U58" s="37"/>
      <c r="V58" s="37"/>
      <c r="W58" s="37"/>
    </row>
    <row r="59" spans="1:23" ht="15.75" customHeight="1" x14ac:dyDescent="0.25">
      <c r="A59" s="244"/>
      <c r="B59" s="245"/>
      <c r="C59" s="246"/>
      <c r="D59" s="37"/>
      <c r="E59" s="246"/>
      <c r="F59" s="247"/>
      <c r="G59" s="245"/>
      <c r="H59" s="246"/>
      <c r="I59" s="247"/>
      <c r="J59" s="37"/>
      <c r="K59" s="248"/>
      <c r="L59" s="248"/>
      <c r="M59" s="248"/>
      <c r="N59" s="248"/>
      <c r="O59" s="248"/>
      <c r="P59" s="249"/>
      <c r="Q59" s="250"/>
      <c r="R59" s="37"/>
      <c r="S59" s="37"/>
      <c r="T59" s="204"/>
      <c r="U59" s="37"/>
      <c r="V59" s="37"/>
      <c r="W59" s="37"/>
    </row>
    <row r="60" spans="1:23" ht="15.75" customHeight="1" x14ac:dyDescent="0.25">
      <c r="A60" s="244"/>
      <c r="B60" s="245"/>
      <c r="C60" s="246"/>
      <c r="D60" s="37"/>
      <c r="E60" s="246"/>
      <c r="F60" s="247"/>
      <c r="G60" s="245"/>
      <c r="H60" s="246"/>
      <c r="I60" s="247"/>
      <c r="J60" s="37"/>
      <c r="K60" s="248"/>
      <c r="L60" s="248"/>
      <c r="M60" s="248"/>
      <c r="N60" s="248"/>
      <c r="O60" s="248"/>
      <c r="P60" s="249"/>
      <c r="Q60" s="250"/>
      <c r="R60" s="37"/>
      <c r="S60" s="37"/>
      <c r="T60" s="204"/>
      <c r="U60" s="37"/>
      <c r="V60" s="37"/>
      <c r="W60" s="37"/>
    </row>
    <row r="61" spans="1:23" ht="15.75" customHeight="1" x14ac:dyDescent="0.25">
      <c r="A61" s="244"/>
      <c r="B61" s="245"/>
      <c r="C61" s="246"/>
      <c r="D61" s="37"/>
      <c r="E61" s="246"/>
      <c r="F61" s="247"/>
      <c r="G61" s="245"/>
      <c r="H61" s="246"/>
      <c r="I61" s="247"/>
      <c r="J61" s="37"/>
      <c r="K61" s="248"/>
      <c r="L61" s="248"/>
      <c r="M61" s="248"/>
      <c r="N61" s="248"/>
      <c r="O61" s="248"/>
      <c r="P61" s="249"/>
      <c r="Q61" s="250"/>
      <c r="R61" s="37"/>
      <c r="S61" s="37"/>
      <c r="T61" s="204"/>
      <c r="U61" s="37"/>
      <c r="V61" s="37"/>
      <c r="W61" s="37"/>
    </row>
    <row r="62" spans="1:23" ht="15.75" customHeight="1" x14ac:dyDescent="0.25">
      <c r="A62" s="244"/>
      <c r="B62" s="245"/>
      <c r="C62" s="246"/>
      <c r="D62" s="37"/>
      <c r="E62" s="246"/>
      <c r="F62" s="247"/>
      <c r="G62" s="245"/>
      <c r="H62" s="246"/>
      <c r="I62" s="247"/>
      <c r="J62" s="37"/>
      <c r="K62" s="248"/>
      <c r="L62" s="248"/>
      <c r="M62" s="248"/>
      <c r="N62" s="248"/>
      <c r="O62" s="248"/>
      <c r="P62" s="249"/>
      <c r="Q62" s="250"/>
      <c r="R62" s="37"/>
      <c r="S62" s="37"/>
      <c r="T62" s="204"/>
      <c r="U62" s="37"/>
      <c r="V62" s="37"/>
      <c r="W62" s="37"/>
    </row>
    <row r="63" spans="1:23" ht="15.75" customHeight="1" x14ac:dyDescent="0.25">
      <c r="A63" s="244"/>
      <c r="B63" s="245"/>
      <c r="C63" s="246"/>
      <c r="D63" s="37"/>
      <c r="E63" s="246"/>
      <c r="F63" s="247"/>
      <c r="G63" s="245"/>
      <c r="H63" s="246"/>
      <c r="I63" s="247"/>
      <c r="J63" s="37"/>
      <c r="K63" s="248"/>
      <c r="L63" s="248"/>
      <c r="M63" s="248"/>
      <c r="N63" s="248"/>
      <c r="O63" s="248"/>
      <c r="P63" s="249"/>
      <c r="Q63" s="250"/>
      <c r="R63" s="37"/>
      <c r="S63" s="37"/>
      <c r="T63" s="204"/>
      <c r="U63" s="37"/>
      <c r="V63" s="37"/>
      <c r="W63" s="37"/>
    </row>
    <row r="64" spans="1:23" ht="15.75" customHeight="1" x14ac:dyDescent="0.25">
      <c r="A64" s="244"/>
      <c r="B64" s="245"/>
      <c r="C64" s="246"/>
      <c r="D64" s="37"/>
      <c r="E64" s="246"/>
      <c r="F64" s="247"/>
      <c r="G64" s="245"/>
      <c r="H64" s="246"/>
      <c r="I64" s="247"/>
      <c r="J64" s="37"/>
      <c r="K64" s="248"/>
      <c r="L64" s="248"/>
      <c r="M64" s="248"/>
      <c r="N64" s="248"/>
      <c r="O64" s="248"/>
      <c r="P64" s="249"/>
      <c r="Q64" s="250"/>
      <c r="R64" s="37"/>
      <c r="S64" s="37"/>
      <c r="T64" s="204"/>
      <c r="U64" s="37"/>
      <c r="V64" s="37"/>
      <c r="W64" s="37"/>
    </row>
    <row r="65" spans="1:23" ht="15.75" customHeight="1" x14ac:dyDescent="0.25">
      <c r="A65" s="244"/>
      <c r="B65" s="245"/>
      <c r="C65" s="246"/>
      <c r="D65" s="37"/>
      <c r="E65" s="246"/>
      <c r="F65" s="247"/>
      <c r="G65" s="245"/>
      <c r="H65" s="246"/>
      <c r="I65" s="247"/>
      <c r="J65" s="37"/>
      <c r="K65" s="248"/>
      <c r="L65" s="248"/>
      <c r="M65" s="248"/>
      <c r="N65" s="248"/>
      <c r="O65" s="248"/>
      <c r="P65" s="249"/>
      <c r="Q65" s="250"/>
      <c r="R65" s="37"/>
      <c r="S65" s="37"/>
      <c r="T65" s="204"/>
      <c r="U65" s="37"/>
      <c r="V65" s="37"/>
      <c r="W65" s="37"/>
    </row>
    <row r="66" spans="1:23" ht="15.75" customHeight="1" x14ac:dyDescent="0.25">
      <c r="A66" s="244"/>
      <c r="B66" s="245"/>
      <c r="C66" s="246"/>
      <c r="D66" s="37"/>
      <c r="E66" s="246"/>
      <c r="F66" s="247"/>
      <c r="G66" s="245"/>
      <c r="H66" s="246"/>
      <c r="I66" s="247"/>
      <c r="J66" s="37"/>
      <c r="K66" s="248"/>
      <c r="L66" s="248"/>
      <c r="M66" s="248"/>
      <c r="N66" s="248"/>
      <c r="O66" s="248"/>
      <c r="P66" s="249"/>
      <c r="Q66" s="250"/>
      <c r="R66" s="37"/>
      <c r="S66" s="37"/>
      <c r="T66" s="204"/>
      <c r="U66" s="37"/>
      <c r="V66" s="37"/>
      <c r="W66" s="37"/>
    </row>
    <row r="67" spans="1:23" ht="15.75" customHeight="1" x14ac:dyDescent="0.25">
      <c r="A67" s="244"/>
      <c r="B67" s="245"/>
      <c r="C67" s="246"/>
      <c r="D67" s="37"/>
      <c r="E67" s="246"/>
      <c r="F67" s="247"/>
      <c r="G67" s="245"/>
      <c r="H67" s="246"/>
      <c r="I67" s="247"/>
      <c r="J67" s="37"/>
      <c r="K67" s="248"/>
      <c r="L67" s="248"/>
      <c r="M67" s="248"/>
      <c r="N67" s="248"/>
      <c r="O67" s="248"/>
      <c r="P67" s="249"/>
      <c r="Q67" s="250"/>
      <c r="R67" s="37"/>
      <c r="S67" s="37"/>
      <c r="T67" s="204"/>
      <c r="U67" s="37"/>
      <c r="V67" s="37"/>
      <c r="W67" s="37"/>
    </row>
    <row r="68" spans="1:23" ht="15.75" customHeight="1" x14ac:dyDescent="0.25">
      <c r="A68" s="244"/>
      <c r="B68" s="245"/>
      <c r="C68" s="246"/>
      <c r="D68" s="37"/>
      <c r="E68" s="246"/>
      <c r="F68" s="247"/>
      <c r="G68" s="245"/>
      <c r="H68" s="246"/>
      <c r="I68" s="247"/>
      <c r="J68" s="37"/>
      <c r="K68" s="248"/>
      <c r="L68" s="248"/>
      <c r="M68" s="248"/>
      <c r="N68" s="248"/>
      <c r="O68" s="248"/>
      <c r="P68" s="249"/>
      <c r="Q68" s="250"/>
      <c r="R68" s="37"/>
      <c r="S68" s="37"/>
      <c r="T68" s="204"/>
      <c r="U68" s="37"/>
      <c r="V68" s="37"/>
      <c r="W68" s="37"/>
    </row>
    <row r="69" spans="1:23" ht="15.75" customHeight="1" x14ac:dyDescent="0.25">
      <c r="A69" s="244"/>
      <c r="B69" s="245"/>
      <c r="C69" s="246"/>
      <c r="D69" s="37"/>
      <c r="E69" s="246"/>
      <c r="F69" s="247"/>
      <c r="G69" s="245"/>
      <c r="H69" s="246"/>
      <c r="I69" s="247"/>
      <c r="J69" s="37"/>
      <c r="K69" s="248"/>
      <c r="L69" s="248"/>
      <c r="M69" s="248"/>
      <c r="N69" s="248"/>
      <c r="O69" s="248"/>
      <c r="P69" s="249"/>
      <c r="Q69" s="250"/>
      <c r="R69" s="37"/>
      <c r="S69" s="37"/>
      <c r="T69" s="204"/>
      <c r="U69" s="37"/>
      <c r="V69" s="37"/>
      <c r="W69" s="37"/>
    </row>
    <row r="70" spans="1:23" ht="15.75" customHeight="1" x14ac:dyDescent="0.25">
      <c r="A70" s="244"/>
      <c r="B70" s="245"/>
      <c r="C70" s="246"/>
      <c r="D70" s="37"/>
      <c r="E70" s="246"/>
      <c r="F70" s="247"/>
      <c r="G70" s="245"/>
      <c r="H70" s="246"/>
      <c r="I70" s="247"/>
      <c r="J70" s="37"/>
      <c r="K70" s="248"/>
      <c r="L70" s="248"/>
      <c r="M70" s="248"/>
      <c r="N70" s="248"/>
      <c r="O70" s="248"/>
      <c r="P70" s="249"/>
      <c r="Q70" s="250"/>
      <c r="R70" s="37"/>
      <c r="S70" s="37"/>
      <c r="T70" s="204"/>
      <c r="U70" s="37"/>
      <c r="V70" s="37"/>
      <c r="W70" s="37"/>
    </row>
    <row r="71" spans="1:23" ht="15.75" customHeight="1" x14ac:dyDescent="0.25">
      <c r="A71" s="244"/>
      <c r="B71" s="245"/>
      <c r="C71" s="246"/>
      <c r="D71" s="37"/>
      <c r="E71" s="246"/>
      <c r="F71" s="247"/>
      <c r="G71" s="245"/>
      <c r="H71" s="246"/>
      <c r="I71" s="247"/>
      <c r="J71" s="37"/>
      <c r="K71" s="248"/>
      <c r="L71" s="248"/>
      <c r="M71" s="248"/>
      <c r="N71" s="248"/>
      <c r="O71" s="248"/>
      <c r="P71" s="249"/>
      <c r="Q71" s="250"/>
      <c r="R71" s="37"/>
      <c r="S71" s="37"/>
      <c r="T71" s="204"/>
      <c r="U71" s="37"/>
      <c r="V71" s="37"/>
      <c r="W71" s="37"/>
    </row>
    <row r="72" spans="1:23" ht="15.75" customHeight="1" x14ac:dyDescent="0.25">
      <c r="A72" s="244"/>
      <c r="B72" s="245"/>
      <c r="C72" s="246"/>
      <c r="D72" s="37"/>
      <c r="E72" s="246"/>
      <c r="F72" s="247"/>
      <c r="G72" s="245"/>
      <c r="H72" s="246"/>
      <c r="I72" s="247"/>
      <c r="J72" s="37"/>
      <c r="K72" s="248"/>
      <c r="L72" s="248"/>
      <c r="M72" s="248"/>
      <c r="N72" s="248"/>
      <c r="O72" s="248"/>
      <c r="P72" s="249"/>
      <c r="Q72" s="250"/>
      <c r="R72" s="37"/>
      <c r="S72" s="37"/>
      <c r="T72" s="204"/>
      <c r="U72" s="37"/>
      <c r="V72" s="37"/>
      <c r="W72" s="37"/>
    </row>
    <row r="73" spans="1:23" ht="15.75" customHeight="1" x14ac:dyDescent="0.25">
      <c r="A73" s="244"/>
      <c r="B73" s="245"/>
      <c r="C73" s="246"/>
      <c r="D73" s="37"/>
      <c r="E73" s="246"/>
      <c r="F73" s="247"/>
      <c r="G73" s="245"/>
      <c r="H73" s="246"/>
      <c r="I73" s="247"/>
      <c r="J73" s="37"/>
      <c r="K73" s="248"/>
      <c r="L73" s="248"/>
      <c r="M73" s="248"/>
      <c r="N73" s="248"/>
      <c r="O73" s="248"/>
      <c r="P73" s="249"/>
      <c r="Q73" s="250"/>
      <c r="R73" s="37"/>
      <c r="S73" s="37"/>
      <c r="T73" s="204"/>
      <c r="U73" s="37"/>
      <c r="V73" s="37"/>
      <c r="W73" s="37"/>
    </row>
    <row r="74" spans="1:23" ht="15.75" customHeight="1" x14ac:dyDescent="0.25">
      <c r="A74" s="244"/>
      <c r="B74" s="245"/>
      <c r="C74" s="246"/>
      <c r="D74" s="37"/>
      <c r="E74" s="246"/>
      <c r="F74" s="247"/>
      <c r="G74" s="245"/>
      <c r="H74" s="246"/>
      <c r="I74" s="247"/>
      <c r="J74" s="37"/>
      <c r="K74" s="248"/>
      <c r="L74" s="248"/>
      <c r="M74" s="248"/>
      <c r="N74" s="248"/>
      <c r="O74" s="248"/>
      <c r="P74" s="249"/>
      <c r="Q74" s="250"/>
      <c r="R74" s="37"/>
      <c r="S74" s="37"/>
      <c r="T74" s="204"/>
      <c r="U74" s="37"/>
      <c r="V74" s="37"/>
      <c r="W74" s="37"/>
    </row>
    <row r="75" spans="1:23" ht="15.75" customHeight="1" x14ac:dyDescent="0.25">
      <c r="A75" s="244"/>
      <c r="B75" s="245"/>
      <c r="C75" s="246"/>
      <c r="D75" s="37"/>
      <c r="E75" s="246"/>
      <c r="F75" s="247"/>
      <c r="G75" s="245"/>
      <c r="H75" s="246"/>
      <c r="I75" s="247"/>
      <c r="J75" s="37"/>
      <c r="K75" s="248"/>
      <c r="L75" s="248"/>
      <c r="M75" s="248"/>
      <c r="N75" s="248"/>
      <c r="O75" s="248"/>
      <c r="P75" s="249"/>
      <c r="Q75" s="250"/>
      <c r="R75" s="37"/>
      <c r="S75" s="37"/>
      <c r="T75" s="204"/>
      <c r="U75" s="37"/>
      <c r="V75" s="37"/>
      <c r="W75" s="37"/>
    </row>
    <row r="76" spans="1:23" ht="15.75" customHeight="1" x14ac:dyDescent="0.25">
      <c r="A76" s="244"/>
      <c r="B76" s="245"/>
      <c r="C76" s="246"/>
      <c r="D76" s="37"/>
      <c r="E76" s="246"/>
      <c r="F76" s="247"/>
      <c r="G76" s="245"/>
      <c r="H76" s="246"/>
      <c r="I76" s="247"/>
      <c r="J76" s="37"/>
      <c r="K76" s="248"/>
      <c r="L76" s="248"/>
      <c r="M76" s="248"/>
      <c r="N76" s="248"/>
      <c r="O76" s="248"/>
      <c r="P76" s="249"/>
      <c r="Q76" s="250"/>
      <c r="R76" s="37"/>
      <c r="S76" s="37"/>
      <c r="T76" s="204"/>
      <c r="U76" s="37"/>
      <c r="V76" s="37"/>
      <c r="W76" s="37"/>
    </row>
    <row r="77" spans="1:23" ht="15.75" customHeight="1" x14ac:dyDescent="0.25">
      <c r="A77" s="244"/>
      <c r="B77" s="245"/>
      <c r="C77" s="246"/>
      <c r="D77" s="37"/>
      <c r="E77" s="246"/>
      <c r="F77" s="247"/>
      <c r="G77" s="245"/>
      <c r="H77" s="246"/>
      <c r="I77" s="247"/>
      <c r="J77" s="37"/>
      <c r="K77" s="248"/>
      <c r="L77" s="248"/>
      <c r="M77" s="248"/>
      <c r="N77" s="248"/>
      <c r="O77" s="248"/>
      <c r="P77" s="249"/>
      <c r="Q77" s="250"/>
      <c r="R77" s="37"/>
      <c r="S77" s="37"/>
      <c r="T77" s="204"/>
      <c r="U77" s="37"/>
      <c r="V77" s="37"/>
      <c r="W77" s="37"/>
    </row>
    <row r="78" spans="1:23" ht="15.75" customHeight="1" x14ac:dyDescent="0.25">
      <c r="A78" s="244"/>
      <c r="B78" s="245"/>
      <c r="C78" s="246"/>
      <c r="D78" s="37"/>
      <c r="E78" s="246"/>
      <c r="F78" s="247"/>
      <c r="G78" s="245"/>
      <c r="H78" s="246"/>
      <c r="I78" s="247"/>
      <c r="J78" s="37"/>
      <c r="K78" s="248"/>
      <c r="L78" s="248"/>
      <c r="M78" s="248"/>
      <c r="N78" s="248"/>
      <c r="O78" s="248"/>
      <c r="P78" s="249"/>
      <c r="Q78" s="250"/>
      <c r="R78" s="37"/>
      <c r="S78" s="37"/>
      <c r="T78" s="204"/>
      <c r="U78" s="37"/>
      <c r="V78" s="37"/>
      <c r="W78" s="37"/>
    </row>
    <row r="79" spans="1:23" ht="15.75" customHeight="1" x14ac:dyDescent="0.25">
      <c r="A79" s="244"/>
      <c r="B79" s="245"/>
      <c r="C79" s="246"/>
      <c r="D79" s="37"/>
      <c r="E79" s="246"/>
      <c r="F79" s="247"/>
      <c r="G79" s="245"/>
      <c r="H79" s="246"/>
      <c r="I79" s="247"/>
      <c r="J79" s="37"/>
      <c r="K79" s="248"/>
      <c r="L79" s="248"/>
      <c r="M79" s="248"/>
      <c r="N79" s="248"/>
      <c r="O79" s="248"/>
      <c r="P79" s="249"/>
      <c r="Q79" s="250"/>
      <c r="R79" s="37"/>
      <c r="S79" s="37"/>
      <c r="T79" s="204"/>
      <c r="U79" s="37"/>
      <c r="V79" s="37"/>
      <c r="W79" s="37"/>
    </row>
    <row r="80" spans="1:23" ht="15.75" customHeight="1" x14ac:dyDescent="0.25">
      <c r="A80" s="244"/>
      <c r="B80" s="245"/>
      <c r="C80" s="246"/>
      <c r="D80" s="37"/>
      <c r="E80" s="246"/>
      <c r="F80" s="247"/>
      <c r="G80" s="245"/>
      <c r="H80" s="246"/>
      <c r="I80" s="247"/>
      <c r="J80" s="37"/>
      <c r="K80" s="248"/>
      <c r="L80" s="248"/>
      <c r="M80" s="248"/>
      <c r="N80" s="248"/>
      <c r="O80" s="248"/>
      <c r="P80" s="249"/>
      <c r="Q80" s="250"/>
      <c r="R80" s="37"/>
      <c r="S80" s="37"/>
      <c r="T80" s="204"/>
      <c r="U80" s="37"/>
      <c r="V80" s="37"/>
      <c r="W80" s="37"/>
    </row>
    <row r="81" spans="1:23" ht="15.75" customHeight="1" x14ac:dyDescent="0.25">
      <c r="A81" s="244"/>
      <c r="B81" s="245"/>
      <c r="C81" s="246"/>
      <c r="D81" s="37"/>
      <c r="E81" s="246"/>
      <c r="F81" s="247"/>
      <c r="G81" s="245"/>
      <c r="H81" s="246"/>
      <c r="I81" s="247"/>
      <c r="J81" s="37"/>
      <c r="K81" s="248"/>
      <c r="L81" s="248"/>
      <c r="M81" s="248"/>
      <c r="N81" s="248"/>
      <c r="O81" s="248"/>
      <c r="P81" s="249"/>
      <c r="Q81" s="250"/>
      <c r="R81" s="37"/>
      <c r="S81" s="37"/>
      <c r="T81" s="204"/>
      <c r="U81" s="37"/>
      <c r="V81" s="37"/>
      <c r="W81" s="37"/>
    </row>
    <row r="82" spans="1:23" ht="15.75" customHeight="1" x14ac:dyDescent="0.25">
      <c r="A82" s="244"/>
      <c r="B82" s="245"/>
      <c r="C82" s="246"/>
      <c r="D82" s="37"/>
      <c r="E82" s="246"/>
      <c r="F82" s="247"/>
      <c r="G82" s="245"/>
      <c r="H82" s="246"/>
      <c r="I82" s="247"/>
      <c r="J82" s="37"/>
      <c r="K82" s="248"/>
      <c r="L82" s="248"/>
      <c r="M82" s="248"/>
      <c r="N82" s="248"/>
      <c r="O82" s="248"/>
      <c r="P82" s="249"/>
      <c r="Q82" s="250"/>
      <c r="R82" s="37"/>
      <c r="S82" s="37"/>
      <c r="T82" s="204"/>
      <c r="U82" s="37"/>
      <c r="V82" s="37"/>
      <c r="W82" s="37"/>
    </row>
    <row r="83" spans="1:23" ht="15.75" customHeight="1" x14ac:dyDescent="0.25">
      <c r="A83" s="244"/>
      <c r="B83" s="245"/>
      <c r="C83" s="246"/>
      <c r="D83" s="37"/>
      <c r="E83" s="246"/>
      <c r="F83" s="247"/>
      <c r="G83" s="245"/>
      <c r="H83" s="246"/>
      <c r="I83" s="247"/>
      <c r="J83" s="37"/>
      <c r="K83" s="248"/>
      <c r="L83" s="248"/>
      <c r="M83" s="248"/>
      <c r="N83" s="248"/>
      <c r="O83" s="248"/>
      <c r="P83" s="249"/>
      <c r="Q83" s="250"/>
      <c r="R83" s="37"/>
      <c r="S83" s="37"/>
      <c r="T83" s="204"/>
      <c r="U83" s="37"/>
      <c r="V83" s="37"/>
      <c r="W83" s="37"/>
    </row>
    <row r="84" spans="1:23" ht="15.75" customHeight="1" x14ac:dyDescent="0.25">
      <c r="A84" s="244"/>
      <c r="B84" s="245"/>
      <c r="C84" s="246"/>
      <c r="D84" s="37"/>
      <c r="E84" s="246"/>
      <c r="F84" s="247"/>
      <c r="G84" s="245"/>
      <c r="H84" s="246"/>
      <c r="I84" s="247"/>
      <c r="J84" s="37"/>
      <c r="K84" s="248"/>
      <c r="L84" s="248"/>
      <c r="M84" s="248"/>
      <c r="N84" s="248"/>
      <c r="O84" s="248"/>
      <c r="P84" s="249"/>
      <c r="Q84" s="250"/>
      <c r="R84" s="37"/>
      <c r="S84" s="37"/>
      <c r="T84" s="204"/>
      <c r="U84" s="37"/>
      <c r="V84" s="37"/>
      <c r="W84" s="37"/>
    </row>
    <row r="85" spans="1:23" ht="15.75" customHeight="1" x14ac:dyDescent="0.25">
      <c r="A85" s="244"/>
      <c r="B85" s="245"/>
      <c r="C85" s="246"/>
      <c r="D85" s="37"/>
      <c r="E85" s="246"/>
      <c r="F85" s="247"/>
      <c r="G85" s="245"/>
      <c r="H85" s="246"/>
      <c r="I85" s="247"/>
      <c r="J85" s="37"/>
      <c r="K85" s="248"/>
      <c r="L85" s="248"/>
      <c r="M85" s="248"/>
      <c r="N85" s="248"/>
      <c r="O85" s="248"/>
      <c r="P85" s="249"/>
      <c r="Q85" s="250"/>
      <c r="R85" s="37"/>
      <c r="S85" s="37"/>
      <c r="T85" s="204"/>
      <c r="U85" s="37"/>
      <c r="V85" s="37"/>
      <c r="W85" s="37"/>
    </row>
    <row r="86" spans="1:23" ht="15.75" customHeight="1" x14ac:dyDescent="0.25">
      <c r="A86" s="244"/>
      <c r="B86" s="245"/>
      <c r="C86" s="246"/>
      <c r="D86" s="37"/>
      <c r="E86" s="246"/>
      <c r="F86" s="247"/>
      <c r="G86" s="245"/>
      <c r="H86" s="246"/>
      <c r="I86" s="247"/>
      <c r="J86" s="37"/>
      <c r="K86" s="248"/>
      <c r="L86" s="248"/>
      <c r="M86" s="248"/>
      <c r="N86" s="248"/>
      <c r="O86" s="248"/>
      <c r="P86" s="249"/>
      <c r="Q86" s="250"/>
      <c r="R86" s="37"/>
      <c r="S86" s="37"/>
      <c r="T86" s="204"/>
      <c r="U86" s="37"/>
      <c r="V86" s="37"/>
      <c r="W86" s="37"/>
    </row>
    <row r="87" spans="1:23" ht="15.75" customHeight="1" x14ac:dyDescent="0.25">
      <c r="A87" s="244"/>
      <c r="B87" s="245"/>
      <c r="C87" s="246"/>
      <c r="D87" s="37"/>
      <c r="E87" s="246"/>
      <c r="F87" s="247"/>
      <c r="G87" s="245"/>
      <c r="H87" s="246"/>
      <c r="I87" s="247"/>
      <c r="J87" s="37"/>
      <c r="K87" s="248"/>
      <c r="L87" s="248"/>
      <c r="M87" s="248"/>
      <c r="N87" s="248"/>
      <c r="O87" s="248"/>
      <c r="P87" s="249"/>
      <c r="Q87" s="250"/>
      <c r="R87" s="37"/>
      <c r="S87" s="37"/>
      <c r="T87" s="204"/>
      <c r="U87" s="37"/>
      <c r="V87" s="37"/>
      <c r="W87" s="37"/>
    </row>
    <row r="88" spans="1:23" ht="15.75" customHeight="1" x14ac:dyDescent="0.25">
      <c r="A88" s="244"/>
      <c r="B88" s="245"/>
      <c r="C88" s="246"/>
      <c r="D88" s="37"/>
      <c r="E88" s="246"/>
      <c r="F88" s="247"/>
      <c r="G88" s="245"/>
      <c r="H88" s="246"/>
      <c r="I88" s="247"/>
      <c r="J88" s="37"/>
      <c r="K88" s="248"/>
      <c r="L88" s="248"/>
      <c r="M88" s="248"/>
      <c r="N88" s="248"/>
      <c r="O88" s="248"/>
      <c r="P88" s="249"/>
      <c r="Q88" s="250"/>
      <c r="R88" s="37"/>
      <c r="S88" s="37"/>
      <c r="T88" s="204"/>
      <c r="U88" s="37"/>
      <c r="V88" s="37"/>
      <c r="W88" s="37"/>
    </row>
    <row r="89" spans="1:23" ht="15.75" customHeight="1" x14ac:dyDescent="0.25">
      <c r="A89" s="244"/>
      <c r="B89" s="245"/>
      <c r="C89" s="246"/>
      <c r="D89" s="37"/>
      <c r="E89" s="246"/>
      <c r="F89" s="247"/>
      <c r="G89" s="245"/>
      <c r="H89" s="246"/>
      <c r="I89" s="247"/>
      <c r="J89" s="37"/>
      <c r="K89" s="248"/>
      <c r="L89" s="248"/>
      <c r="M89" s="248"/>
      <c r="N89" s="248"/>
      <c r="O89" s="248"/>
      <c r="P89" s="249"/>
      <c r="Q89" s="250"/>
      <c r="R89" s="37"/>
      <c r="S89" s="37"/>
      <c r="T89" s="204"/>
      <c r="U89" s="37"/>
      <c r="V89" s="37"/>
      <c r="W89" s="37"/>
    </row>
    <row r="90" spans="1:23" ht="15.75" customHeight="1" x14ac:dyDescent="0.25">
      <c r="A90" s="244"/>
      <c r="B90" s="245"/>
      <c r="C90" s="246"/>
      <c r="D90" s="37"/>
      <c r="E90" s="246"/>
      <c r="F90" s="247"/>
      <c r="G90" s="245"/>
      <c r="H90" s="246"/>
      <c r="I90" s="247"/>
      <c r="J90" s="37"/>
      <c r="K90" s="248"/>
      <c r="L90" s="248"/>
      <c r="M90" s="248"/>
      <c r="N90" s="248"/>
      <c r="O90" s="248"/>
      <c r="P90" s="249"/>
      <c r="Q90" s="250"/>
      <c r="R90" s="37"/>
      <c r="S90" s="37"/>
      <c r="T90" s="204"/>
      <c r="U90" s="37"/>
      <c r="V90" s="37"/>
      <c r="W90" s="37"/>
    </row>
    <row r="91" spans="1:23" ht="15.75" customHeight="1" x14ac:dyDescent="0.25">
      <c r="A91" s="244"/>
      <c r="B91" s="245"/>
      <c r="C91" s="246"/>
      <c r="D91" s="37"/>
      <c r="E91" s="246"/>
      <c r="F91" s="247"/>
      <c r="G91" s="245"/>
      <c r="H91" s="246"/>
      <c r="I91" s="247"/>
      <c r="J91" s="37"/>
      <c r="K91" s="248"/>
      <c r="L91" s="248"/>
      <c r="M91" s="248"/>
      <c r="N91" s="248"/>
      <c r="O91" s="248"/>
      <c r="P91" s="249"/>
      <c r="Q91" s="250"/>
      <c r="R91" s="37"/>
      <c r="S91" s="37"/>
      <c r="T91" s="204"/>
      <c r="U91" s="37"/>
      <c r="V91" s="37"/>
      <c r="W91" s="37"/>
    </row>
    <row r="92" spans="1:23" ht="15.75" customHeight="1" x14ac:dyDescent="0.25">
      <c r="A92" s="244"/>
      <c r="B92" s="245"/>
      <c r="C92" s="246"/>
      <c r="D92" s="37"/>
      <c r="E92" s="246"/>
      <c r="F92" s="247"/>
      <c r="G92" s="245"/>
      <c r="H92" s="246"/>
      <c r="I92" s="247"/>
      <c r="J92" s="37"/>
      <c r="K92" s="248"/>
      <c r="L92" s="248"/>
      <c r="M92" s="248"/>
      <c r="N92" s="248"/>
      <c r="O92" s="248"/>
      <c r="P92" s="249"/>
      <c r="Q92" s="250"/>
      <c r="R92" s="37"/>
      <c r="S92" s="37"/>
      <c r="T92" s="204"/>
      <c r="U92" s="37"/>
      <c r="V92" s="37"/>
      <c r="W92" s="37"/>
    </row>
    <row r="93" spans="1:23" ht="15.75" customHeight="1" x14ac:dyDescent="0.25">
      <c r="A93" s="244"/>
      <c r="B93" s="245"/>
      <c r="C93" s="246"/>
      <c r="D93" s="37"/>
      <c r="E93" s="246"/>
      <c r="F93" s="247"/>
      <c r="G93" s="245"/>
      <c r="H93" s="246"/>
      <c r="I93" s="247"/>
      <c r="J93" s="37"/>
      <c r="K93" s="248"/>
      <c r="L93" s="248"/>
      <c r="M93" s="248"/>
      <c r="N93" s="248"/>
      <c r="O93" s="248"/>
      <c r="P93" s="249"/>
      <c r="Q93" s="250"/>
      <c r="R93" s="37"/>
      <c r="S93" s="37"/>
      <c r="T93" s="204"/>
      <c r="U93" s="37"/>
      <c r="V93" s="37"/>
      <c r="W93" s="37"/>
    </row>
    <row r="94" spans="1:23" ht="15.75" customHeight="1" x14ac:dyDescent="0.25">
      <c r="A94" s="244"/>
      <c r="B94" s="245"/>
      <c r="C94" s="246"/>
      <c r="D94" s="37"/>
      <c r="E94" s="246"/>
      <c r="F94" s="247"/>
      <c r="G94" s="245"/>
      <c r="H94" s="246"/>
      <c r="I94" s="247"/>
      <c r="J94" s="37"/>
      <c r="K94" s="248"/>
      <c r="L94" s="248"/>
      <c r="M94" s="248"/>
      <c r="N94" s="248"/>
      <c r="O94" s="248"/>
      <c r="P94" s="249"/>
      <c r="Q94" s="250"/>
      <c r="R94" s="37"/>
      <c r="S94" s="37"/>
      <c r="T94" s="204"/>
      <c r="U94" s="37"/>
      <c r="V94" s="37"/>
      <c r="W94" s="37"/>
    </row>
    <row r="95" spans="1:23" ht="15.75" customHeight="1" x14ac:dyDescent="0.25">
      <c r="A95" s="244"/>
      <c r="B95" s="245"/>
      <c r="C95" s="246"/>
      <c r="D95" s="37"/>
      <c r="E95" s="246"/>
      <c r="F95" s="247"/>
      <c r="G95" s="245"/>
      <c r="H95" s="246"/>
      <c r="I95" s="247"/>
      <c r="J95" s="37"/>
      <c r="K95" s="248"/>
      <c r="L95" s="248"/>
      <c r="M95" s="248"/>
      <c r="N95" s="248"/>
      <c r="O95" s="248"/>
      <c r="P95" s="249"/>
      <c r="Q95" s="250"/>
      <c r="R95" s="37"/>
      <c r="S95" s="37"/>
      <c r="T95" s="204"/>
      <c r="U95" s="37"/>
      <c r="V95" s="37"/>
      <c r="W95" s="37"/>
    </row>
    <row r="96" spans="1:23" ht="15.75" customHeight="1" x14ac:dyDescent="0.25">
      <c r="A96" s="244"/>
      <c r="B96" s="245"/>
      <c r="C96" s="246"/>
      <c r="D96" s="37"/>
      <c r="E96" s="246"/>
      <c r="F96" s="247"/>
      <c r="G96" s="245"/>
      <c r="H96" s="246"/>
      <c r="I96" s="247"/>
      <c r="J96" s="37"/>
      <c r="K96" s="248"/>
      <c r="L96" s="248"/>
      <c r="M96" s="248"/>
      <c r="N96" s="248"/>
      <c r="O96" s="248"/>
      <c r="P96" s="249"/>
      <c r="Q96" s="250"/>
      <c r="R96" s="37"/>
      <c r="S96" s="37"/>
      <c r="T96" s="204"/>
      <c r="U96" s="37"/>
      <c r="V96" s="37"/>
      <c r="W96" s="37"/>
    </row>
    <row r="97" spans="1:23" ht="15.75" customHeight="1" x14ac:dyDescent="0.25">
      <c r="A97" s="244"/>
      <c r="B97" s="245"/>
      <c r="C97" s="246"/>
      <c r="D97" s="37"/>
      <c r="E97" s="246"/>
      <c r="F97" s="247"/>
      <c r="G97" s="245"/>
      <c r="H97" s="246"/>
      <c r="I97" s="247"/>
      <c r="J97" s="37"/>
      <c r="K97" s="248"/>
      <c r="L97" s="248"/>
      <c r="M97" s="248"/>
      <c r="N97" s="248"/>
      <c r="O97" s="248"/>
      <c r="P97" s="249"/>
      <c r="Q97" s="250"/>
      <c r="R97" s="37"/>
      <c r="S97" s="37"/>
      <c r="T97" s="204"/>
      <c r="U97" s="37"/>
      <c r="V97" s="37"/>
      <c r="W97" s="37"/>
    </row>
    <row r="98" spans="1:23" ht="15.75" customHeight="1" x14ac:dyDescent="0.25">
      <c r="A98" s="244"/>
      <c r="B98" s="245"/>
      <c r="C98" s="246"/>
      <c r="D98" s="37"/>
      <c r="E98" s="246"/>
      <c r="F98" s="247"/>
      <c r="G98" s="245"/>
      <c r="H98" s="246"/>
      <c r="I98" s="247"/>
      <c r="J98" s="37"/>
      <c r="K98" s="248"/>
      <c r="L98" s="248"/>
      <c r="M98" s="248"/>
      <c r="N98" s="248"/>
      <c r="O98" s="248"/>
      <c r="P98" s="249"/>
      <c r="Q98" s="250"/>
      <c r="R98" s="37"/>
      <c r="S98" s="37"/>
      <c r="T98" s="204"/>
      <c r="U98" s="37"/>
      <c r="V98" s="37"/>
      <c r="W98" s="37"/>
    </row>
    <row r="99" spans="1:23" ht="15.75" customHeight="1" x14ac:dyDescent="0.25">
      <c r="A99" s="244"/>
      <c r="B99" s="245"/>
      <c r="C99" s="246"/>
      <c r="D99" s="37"/>
      <c r="E99" s="246"/>
      <c r="F99" s="247"/>
      <c r="G99" s="245"/>
      <c r="H99" s="246"/>
      <c r="I99" s="247"/>
      <c r="J99" s="37"/>
      <c r="K99" s="248"/>
      <c r="L99" s="248"/>
      <c r="M99" s="248"/>
      <c r="N99" s="248"/>
      <c r="O99" s="248"/>
      <c r="P99" s="249"/>
      <c r="Q99" s="250"/>
      <c r="R99" s="37"/>
      <c r="S99" s="37"/>
      <c r="T99" s="204"/>
      <c r="U99" s="37"/>
      <c r="V99" s="37"/>
      <c r="W99" s="37"/>
    </row>
    <row r="100" spans="1:23" ht="15.75" customHeight="1" x14ac:dyDescent="0.25">
      <c r="A100" s="244"/>
      <c r="B100" s="245"/>
      <c r="C100" s="246"/>
      <c r="D100" s="37"/>
      <c r="E100" s="246"/>
      <c r="F100" s="247"/>
      <c r="G100" s="245"/>
      <c r="H100" s="246"/>
      <c r="I100" s="247"/>
      <c r="J100" s="37"/>
      <c r="K100" s="248"/>
      <c r="L100" s="248"/>
      <c r="M100" s="248"/>
      <c r="N100" s="248"/>
      <c r="O100" s="248"/>
      <c r="P100" s="249"/>
      <c r="Q100" s="250"/>
      <c r="R100" s="37"/>
      <c r="S100" s="37"/>
      <c r="T100" s="204"/>
      <c r="U100" s="37"/>
      <c r="V100" s="37"/>
      <c r="W100" s="37"/>
    </row>
    <row r="101" spans="1:23" ht="15.75" customHeight="1" x14ac:dyDescent="0.25">
      <c r="A101" s="244"/>
      <c r="B101" s="245"/>
      <c r="C101" s="246"/>
      <c r="D101" s="37"/>
      <c r="E101" s="246"/>
      <c r="F101" s="247"/>
      <c r="G101" s="245"/>
      <c r="H101" s="246"/>
      <c r="I101" s="247"/>
      <c r="J101" s="37"/>
      <c r="K101" s="248"/>
      <c r="L101" s="248"/>
      <c r="M101" s="248"/>
      <c r="N101" s="248"/>
      <c r="O101" s="248"/>
      <c r="P101" s="249"/>
      <c r="Q101" s="250"/>
      <c r="R101" s="37"/>
      <c r="S101" s="37"/>
      <c r="T101" s="204"/>
      <c r="U101" s="37"/>
      <c r="V101" s="37"/>
      <c r="W101" s="37"/>
    </row>
    <row r="102" spans="1:23" ht="15.75" customHeight="1" x14ac:dyDescent="0.25">
      <c r="A102" s="244"/>
      <c r="B102" s="245"/>
      <c r="C102" s="246"/>
      <c r="D102" s="37"/>
      <c r="E102" s="246"/>
      <c r="F102" s="247"/>
      <c r="G102" s="245"/>
      <c r="H102" s="246"/>
      <c r="I102" s="247"/>
      <c r="J102" s="37"/>
      <c r="K102" s="248"/>
      <c r="L102" s="248"/>
      <c r="M102" s="248"/>
      <c r="N102" s="248"/>
      <c r="O102" s="248"/>
      <c r="P102" s="249"/>
      <c r="Q102" s="250"/>
      <c r="R102" s="37"/>
      <c r="S102" s="37"/>
      <c r="T102" s="204"/>
      <c r="U102" s="37"/>
      <c r="V102" s="37"/>
      <c r="W102" s="37"/>
    </row>
    <row r="103" spans="1:23" ht="15.75" customHeight="1" x14ac:dyDescent="0.25">
      <c r="A103" s="244"/>
      <c r="B103" s="245"/>
      <c r="C103" s="246"/>
      <c r="D103" s="37"/>
      <c r="E103" s="246"/>
      <c r="F103" s="247"/>
      <c r="G103" s="245"/>
      <c r="H103" s="246"/>
      <c r="I103" s="247"/>
      <c r="J103" s="37"/>
      <c r="K103" s="248"/>
      <c r="L103" s="248"/>
      <c r="M103" s="248"/>
      <c r="N103" s="248"/>
      <c r="O103" s="248"/>
      <c r="P103" s="249"/>
      <c r="Q103" s="250"/>
      <c r="R103" s="37"/>
      <c r="S103" s="37"/>
      <c r="T103" s="204"/>
      <c r="U103" s="37"/>
      <c r="V103" s="37"/>
      <c r="W103" s="37"/>
    </row>
    <row r="104" spans="1:23" ht="15.75" customHeight="1" x14ac:dyDescent="0.25">
      <c r="A104" s="244"/>
      <c r="B104" s="245"/>
      <c r="C104" s="246"/>
      <c r="D104" s="37"/>
      <c r="E104" s="246"/>
      <c r="F104" s="247"/>
      <c r="G104" s="245"/>
      <c r="H104" s="246"/>
      <c r="I104" s="247"/>
      <c r="J104" s="37"/>
      <c r="K104" s="248"/>
      <c r="L104" s="248"/>
      <c r="M104" s="248"/>
      <c r="N104" s="248"/>
      <c r="O104" s="248"/>
      <c r="P104" s="249"/>
      <c r="Q104" s="250"/>
      <c r="R104" s="37"/>
      <c r="S104" s="37"/>
      <c r="T104" s="204"/>
      <c r="U104" s="37"/>
      <c r="V104" s="37"/>
      <c r="W104" s="37"/>
    </row>
    <row r="105" spans="1:23" ht="15.75" customHeight="1" x14ac:dyDescent="0.25">
      <c r="A105" s="244"/>
      <c r="B105" s="245"/>
      <c r="C105" s="246"/>
      <c r="D105" s="37"/>
      <c r="E105" s="246"/>
      <c r="F105" s="247"/>
      <c r="G105" s="245"/>
      <c r="H105" s="246"/>
      <c r="I105" s="247"/>
      <c r="J105" s="37"/>
      <c r="K105" s="248"/>
      <c r="L105" s="248"/>
      <c r="M105" s="248"/>
      <c r="N105" s="248"/>
      <c r="O105" s="248"/>
      <c r="P105" s="249"/>
      <c r="Q105" s="250"/>
      <c r="R105" s="37"/>
      <c r="S105" s="37"/>
      <c r="T105" s="204"/>
      <c r="U105" s="37"/>
      <c r="V105" s="37"/>
      <c r="W105" s="37"/>
    </row>
    <row r="106" spans="1:23" ht="15.75" customHeight="1" x14ac:dyDescent="0.25">
      <c r="A106" s="244"/>
      <c r="B106" s="245"/>
      <c r="C106" s="246"/>
      <c r="D106" s="37"/>
      <c r="E106" s="246"/>
      <c r="F106" s="247"/>
      <c r="G106" s="245"/>
      <c r="H106" s="246"/>
      <c r="I106" s="247"/>
      <c r="J106" s="37"/>
      <c r="K106" s="248"/>
      <c r="L106" s="248"/>
      <c r="M106" s="248"/>
      <c r="N106" s="248"/>
      <c r="O106" s="248"/>
      <c r="P106" s="249"/>
      <c r="Q106" s="250"/>
      <c r="R106" s="37"/>
      <c r="S106" s="37"/>
      <c r="T106" s="204"/>
      <c r="U106" s="37"/>
      <c r="V106" s="37"/>
      <c r="W106" s="37"/>
    </row>
    <row r="107" spans="1:23" ht="15.75" customHeight="1" x14ac:dyDescent="0.25">
      <c r="A107" s="244"/>
      <c r="B107" s="245"/>
      <c r="C107" s="246"/>
      <c r="D107" s="37"/>
      <c r="E107" s="246"/>
      <c r="F107" s="247"/>
      <c r="G107" s="245"/>
      <c r="H107" s="246"/>
      <c r="I107" s="247"/>
      <c r="J107" s="37"/>
      <c r="K107" s="248"/>
      <c r="L107" s="248"/>
      <c r="M107" s="248"/>
      <c r="N107" s="248"/>
      <c r="O107" s="248"/>
      <c r="P107" s="249"/>
      <c r="Q107" s="250"/>
      <c r="R107" s="37"/>
      <c r="S107" s="37"/>
      <c r="T107" s="204"/>
      <c r="U107" s="37"/>
      <c r="V107" s="37"/>
      <c r="W107" s="37"/>
    </row>
    <row r="108" spans="1:23" ht="15.75" customHeight="1" x14ac:dyDescent="0.25">
      <c r="A108" s="244"/>
      <c r="B108" s="245"/>
      <c r="C108" s="246"/>
      <c r="D108" s="37"/>
      <c r="E108" s="246"/>
      <c r="F108" s="247"/>
      <c r="G108" s="245"/>
      <c r="H108" s="246"/>
      <c r="I108" s="247"/>
      <c r="J108" s="37"/>
      <c r="K108" s="248"/>
      <c r="L108" s="248"/>
      <c r="M108" s="248"/>
      <c r="N108" s="248"/>
      <c r="O108" s="248"/>
      <c r="P108" s="249"/>
      <c r="Q108" s="250"/>
      <c r="R108" s="37"/>
      <c r="S108" s="37"/>
      <c r="T108" s="204"/>
      <c r="U108" s="37"/>
      <c r="V108" s="37"/>
      <c r="W108" s="37"/>
    </row>
    <row r="109" spans="1:23" ht="15.75" customHeight="1" x14ac:dyDescent="0.25">
      <c r="A109" s="244"/>
      <c r="B109" s="245"/>
      <c r="C109" s="246"/>
      <c r="D109" s="37"/>
      <c r="E109" s="246"/>
      <c r="F109" s="247"/>
      <c r="G109" s="245"/>
      <c r="H109" s="246"/>
      <c r="I109" s="247"/>
      <c r="J109" s="37"/>
      <c r="K109" s="248"/>
      <c r="L109" s="248"/>
      <c r="M109" s="248"/>
      <c r="N109" s="248"/>
      <c r="O109" s="248"/>
      <c r="P109" s="249"/>
      <c r="Q109" s="250"/>
      <c r="R109" s="37"/>
      <c r="S109" s="37"/>
      <c r="T109" s="204"/>
      <c r="U109" s="37"/>
      <c r="V109" s="37"/>
      <c r="W109" s="37"/>
    </row>
    <row r="110" spans="1:23" ht="15.75" customHeight="1" x14ac:dyDescent="0.25">
      <c r="A110" s="244"/>
      <c r="B110" s="245"/>
      <c r="C110" s="246"/>
      <c r="D110" s="37"/>
      <c r="E110" s="246"/>
      <c r="F110" s="247"/>
      <c r="G110" s="245"/>
      <c r="H110" s="246"/>
      <c r="I110" s="247"/>
      <c r="J110" s="37"/>
      <c r="K110" s="248"/>
      <c r="L110" s="248"/>
      <c r="M110" s="248"/>
      <c r="N110" s="248"/>
      <c r="O110" s="248"/>
      <c r="P110" s="249"/>
      <c r="Q110" s="250"/>
      <c r="R110" s="37"/>
      <c r="S110" s="37"/>
      <c r="T110" s="204"/>
      <c r="U110" s="37"/>
      <c r="V110" s="37"/>
      <c r="W110" s="37"/>
    </row>
    <row r="111" spans="1:23" ht="15.75" customHeight="1" x14ac:dyDescent="0.25">
      <c r="A111" s="244"/>
      <c r="B111" s="245"/>
      <c r="C111" s="246"/>
      <c r="D111" s="37"/>
      <c r="E111" s="246"/>
      <c r="F111" s="247"/>
      <c r="G111" s="245"/>
      <c r="H111" s="246"/>
      <c r="I111" s="247"/>
      <c r="J111" s="37"/>
      <c r="K111" s="248"/>
      <c r="L111" s="248"/>
      <c r="M111" s="248"/>
      <c r="N111" s="248"/>
      <c r="O111" s="248"/>
      <c r="P111" s="249"/>
      <c r="Q111" s="250"/>
      <c r="R111" s="37"/>
      <c r="S111" s="37"/>
      <c r="T111" s="204"/>
      <c r="U111" s="37"/>
      <c r="V111" s="37"/>
      <c r="W111" s="37"/>
    </row>
    <row r="112" spans="1:23" ht="15.75" customHeight="1" x14ac:dyDescent="0.25">
      <c r="A112" s="244"/>
      <c r="B112" s="245"/>
      <c r="C112" s="246"/>
      <c r="D112" s="37"/>
      <c r="E112" s="246"/>
      <c r="F112" s="247"/>
      <c r="G112" s="245"/>
      <c r="H112" s="246"/>
      <c r="I112" s="247"/>
      <c r="J112" s="37"/>
      <c r="K112" s="248"/>
      <c r="L112" s="248"/>
      <c r="M112" s="248"/>
      <c r="N112" s="248"/>
      <c r="O112" s="248"/>
      <c r="P112" s="249"/>
      <c r="Q112" s="250"/>
      <c r="R112" s="37"/>
      <c r="S112" s="37"/>
      <c r="T112" s="204"/>
      <c r="U112" s="37"/>
      <c r="V112" s="37"/>
      <c r="W112" s="37"/>
    </row>
    <row r="113" spans="1:23" ht="15.75" customHeight="1" x14ac:dyDescent="0.25">
      <c r="A113" s="244"/>
      <c r="B113" s="245"/>
      <c r="C113" s="246"/>
      <c r="D113" s="37"/>
      <c r="E113" s="246"/>
      <c r="F113" s="247"/>
      <c r="G113" s="245"/>
      <c r="H113" s="246"/>
      <c r="I113" s="247"/>
      <c r="J113" s="37"/>
      <c r="K113" s="248"/>
      <c r="L113" s="248"/>
      <c r="M113" s="248"/>
      <c r="N113" s="248"/>
      <c r="O113" s="248"/>
      <c r="P113" s="249"/>
      <c r="Q113" s="250"/>
      <c r="R113" s="37"/>
      <c r="S113" s="37"/>
      <c r="T113" s="204"/>
      <c r="U113" s="37"/>
      <c r="V113" s="37"/>
      <c r="W113" s="37"/>
    </row>
    <row r="114" spans="1:23" ht="15.75" customHeight="1" x14ac:dyDescent="0.25">
      <c r="A114" s="244"/>
      <c r="B114" s="245"/>
      <c r="C114" s="246"/>
      <c r="D114" s="37"/>
      <c r="E114" s="246"/>
      <c r="F114" s="247"/>
      <c r="G114" s="245"/>
      <c r="H114" s="246"/>
      <c r="I114" s="247"/>
      <c r="J114" s="37"/>
      <c r="K114" s="248"/>
      <c r="L114" s="248"/>
      <c r="M114" s="248"/>
      <c r="N114" s="248"/>
      <c r="O114" s="248"/>
      <c r="P114" s="249"/>
      <c r="Q114" s="250"/>
      <c r="R114" s="37"/>
      <c r="S114" s="37"/>
      <c r="T114" s="204"/>
      <c r="U114" s="37"/>
      <c r="V114" s="37"/>
      <c r="W114" s="37"/>
    </row>
    <row r="115" spans="1:23" ht="15.75" customHeight="1" x14ac:dyDescent="0.25">
      <c r="A115" s="244"/>
      <c r="B115" s="245"/>
      <c r="C115" s="246"/>
      <c r="D115" s="37"/>
      <c r="E115" s="246"/>
      <c r="F115" s="247"/>
      <c r="G115" s="245"/>
      <c r="H115" s="246"/>
      <c r="I115" s="247"/>
      <c r="J115" s="37"/>
      <c r="K115" s="248"/>
      <c r="L115" s="248"/>
      <c r="M115" s="248"/>
      <c r="N115" s="248"/>
      <c r="O115" s="248"/>
      <c r="P115" s="249"/>
      <c r="Q115" s="250"/>
      <c r="R115" s="37"/>
      <c r="S115" s="37"/>
      <c r="T115" s="204"/>
      <c r="U115" s="37"/>
      <c r="V115" s="37"/>
      <c r="W115" s="37"/>
    </row>
    <row r="116" spans="1:23" ht="15.75" customHeight="1" x14ac:dyDescent="0.25">
      <c r="A116" s="244"/>
      <c r="B116" s="245"/>
      <c r="C116" s="246"/>
      <c r="D116" s="37"/>
      <c r="E116" s="246"/>
      <c r="F116" s="247"/>
      <c r="G116" s="245"/>
      <c r="H116" s="246"/>
      <c r="I116" s="247"/>
      <c r="J116" s="37"/>
      <c r="K116" s="248"/>
      <c r="L116" s="248"/>
      <c r="M116" s="248"/>
      <c r="N116" s="248"/>
      <c r="O116" s="248"/>
      <c r="P116" s="249"/>
      <c r="Q116" s="250"/>
      <c r="R116" s="37"/>
      <c r="S116" s="37"/>
      <c r="T116" s="204"/>
      <c r="U116" s="37"/>
      <c r="V116" s="37"/>
      <c r="W116" s="37"/>
    </row>
    <row r="117" spans="1:23" ht="15.75" customHeight="1" x14ac:dyDescent="0.25">
      <c r="A117" s="244"/>
      <c r="B117" s="245"/>
      <c r="C117" s="246"/>
      <c r="D117" s="37"/>
      <c r="E117" s="246"/>
      <c r="F117" s="247"/>
      <c r="G117" s="245"/>
      <c r="H117" s="246"/>
      <c r="I117" s="247"/>
      <c r="J117" s="37"/>
      <c r="K117" s="248"/>
      <c r="L117" s="248"/>
      <c r="M117" s="248"/>
      <c r="N117" s="248"/>
      <c r="O117" s="248"/>
      <c r="P117" s="249"/>
      <c r="Q117" s="250"/>
      <c r="R117" s="37"/>
      <c r="S117" s="37"/>
      <c r="T117" s="204"/>
      <c r="U117" s="37"/>
      <c r="V117" s="37"/>
      <c r="W117" s="37"/>
    </row>
    <row r="118" spans="1:23" ht="15.75" customHeight="1" x14ac:dyDescent="0.25">
      <c r="A118" s="244"/>
      <c r="B118" s="245"/>
      <c r="C118" s="246"/>
      <c r="D118" s="37"/>
      <c r="E118" s="246"/>
      <c r="F118" s="247"/>
      <c r="G118" s="245"/>
      <c r="H118" s="246"/>
      <c r="I118" s="247"/>
      <c r="J118" s="37"/>
      <c r="K118" s="248"/>
      <c r="L118" s="248"/>
      <c r="M118" s="248"/>
      <c r="N118" s="248"/>
      <c r="O118" s="248"/>
      <c r="P118" s="249"/>
      <c r="Q118" s="250"/>
      <c r="R118" s="37"/>
      <c r="S118" s="37"/>
      <c r="T118" s="204"/>
      <c r="U118" s="37"/>
      <c r="V118" s="37"/>
      <c r="W118" s="37"/>
    </row>
    <row r="119" spans="1:23" ht="15.75" customHeight="1" x14ac:dyDescent="0.25">
      <c r="A119" s="244"/>
      <c r="B119" s="245"/>
      <c r="C119" s="246"/>
      <c r="D119" s="37"/>
      <c r="E119" s="246"/>
      <c r="F119" s="247"/>
      <c r="G119" s="245"/>
      <c r="H119" s="246"/>
      <c r="I119" s="247"/>
      <c r="J119" s="37"/>
      <c r="K119" s="248"/>
      <c r="L119" s="248"/>
      <c r="M119" s="248"/>
      <c r="N119" s="248"/>
      <c r="O119" s="248"/>
      <c r="P119" s="249"/>
      <c r="Q119" s="250"/>
      <c r="R119" s="37"/>
      <c r="S119" s="37"/>
      <c r="T119" s="204"/>
      <c r="U119" s="37"/>
      <c r="V119" s="37"/>
      <c r="W119" s="37"/>
    </row>
    <row r="120" spans="1:23" ht="15.75" customHeight="1" x14ac:dyDescent="0.25">
      <c r="A120" s="244"/>
      <c r="B120" s="245"/>
      <c r="C120" s="246"/>
      <c r="D120" s="37"/>
      <c r="E120" s="246"/>
      <c r="F120" s="247"/>
      <c r="G120" s="245"/>
      <c r="H120" s="246"/>
      <c r="I120" s="247"/>
      <c r="J120" s="37"/>
      <c r="K120" s="248"/>
      <c r="L120" s="248"/>
      <c r="M120" s="248"/>
      <c r="N120" s="248"/>
      <c r="O120" s="248"/>
      <c r="P120" s="249"/>
      <c r="Q120" s="250"/>
      <c r="R120" s="37"/>
      <c r="S120" s="37"/>
      <c r="T120" s="204"/>
      <c r="U120" s="37"/>
      <c r="V120" s="37"/>
      <c r="W120" s="37"/>
    </row>
    <row r="121" spans="1:23" ht="15.75" customHeight="1" x14ac:dyDescent="0.25">
      <c r="A121" s="244"/>
      <c r="B121" s="245"/>
      <c r="C121" s="246"/>
      <c r="D121" s="37"/>
      <c r="E121" s="246"/>
      <c r="F121" s="247"/>
      <c r="G121" s="245"/>
      <c r="H121" s="246"/>
      <c r="I121" s="247"/>
      <c r="J121" s="37"/>
      <c r="K121" s="248"/>
      <c r="L121" s="248"/>
      <c r="M121" s="248"/>
      <c r="N121" s="248"/>
      <c r="O121" s="248"/>
      <c r="P121" s="249"/>
      <c r="Q121" s="250"/>
      <c r="R121" s="37"/>
      <c r="S121" s="37"/>
      <c r="T121" s="204"/>
      <c r="U121" s="37"/>
      <c r="V121" s="37"/>
      <c r="W121" s="37"/>
    </row>
    <row r="122" spans="1:23" ht="15.75" customHeight="1" x14ac:dyDescent="0.25">
      <c r="A122" s="244"/>
      <c r="B122" s="245"/>
      <c r="C122" s="246"/>
      <c r="D122" s="37"/>
      <c r="E122" s="246"/>
      <c r="F122" s="247"/>
      <c r="G122" s="245"/>
      <c r="H122" s="246"/>
      <c r="I122" s="247"/>
      <c r="J122" s="37"/>
      <c r="K122" s="248"/>
      <c r="L122" s="248"/>
      <c r="M122" s="248"/>
      <c r="N122" s="248"/>
      <c r="O122" s="248"/>
      <c r="P122" s="249"/>
      <c r="Q122" s="250"/>
      <c r="R122" s="37"/>
      <c r="S122" s="37"/>
      <c r="T122" s="204"/>
      <c r="U122" s="37"/>
      <c r="V122" s="37"/>
      <c r="W122" s="37"/>
    </row>
    <row r="123" spans="1:23" ht="15.75" customHeight="1" x14ac:dyDescent="0.25">
      <c r="A123" s="244"/>
      <c r="B123" s="245"/>
      <c r="C123" s="246"/>
      <c r="D123" s="37"/>
      <c r="E123" s="246"/>
      <c r="F123" s="247"/>
      <c r="G123" s="245"/>
      <c r="H123" s="246"/>
      <c r="I123" s="247"/>
      <c r="J123" s="37"/>
      <c r="K123" s="248"/>
      <c r="L123" s="248"/>
      <c r="M123" s="248"/>
      <c r="N123" s="248"/>
      <c r="O123" s="248"/>
      <c r="P123" s="249"/>
      <c r="Q123" s="250"/>
      <c r="R123" s="37"/>
      <c r="S123" s="37"/>
      <c r="T123" s="204"/>
      <c r="U123" s="37"/>
      <c r="V123" s="37"/>
      <c r="W123" s="37"/>
    </row>
    <row r="124" spans="1:23" ht="15.75" customHeight="1" x14ac:dyDescent="0.25">
      <c r="A124" s="244"/>
      <c r="B124" s="245"/>
      <c r="C124" s="246"/>
      <c r="D124" s="37"/>
      <c r="E124" s="246"/>
      <c r="F124" s="247"/>
      <c r="G124" s="245"/>
      <c r="H124" s="246"/>
      <c r="I124" s="247"/>
      <c r="J124" s="37"/>
      <c r="K124" s="248"/>
      <c r="L124" s="248"/>
      <c r="M124" s="248"/>
      <c r="N124" s="248"/>
      <c r="O124" s="248"/>
      <c r="P124" s="249"/>
      <c r="Q124" s="250"/>
      <c r="R124" s="37"/>
      <c r="S124" s="37"/>
      <c r="T124" s="204"/>
      <c r="U124" s="37"/>
      <c r="V124" s="37"/>
      <c r="W124" s="37"/>
    </row>
    <row r="125" spans="1:23" ht="15.75" customHeight="1" x14ac:dyDescent="0.25">
      <c r="A125" s="244"/>
      <c r="B125" s="245"/>
      <c r="C125" s="246"/>
      <c r="D125" s="37"/>
      <c r="E125" s="246"/>
      <c r="F125" s="247"/>
      <c r="G125" s="245"/>
      <c r="H125" s="246"/>
      <c r="I125" s="247"/>
      <c r="J125" s="37"/>
      <c r="K125" s="248"/>
      <c r="L125" s="248"/>
      <c r="M125" s="248"/>
      <c r="N125" s="248"/>
      <c r="O125" s="248"/>
      <c r="P125" s="249"/>
      <c r="Q125" s="250"/>
      <c r="R125" s="37"/>
      <c r="S125" s="37"/>
      <c r="T125" s="204"/>
      <c r="U125" s="37"/>
      <c r="V125" s="37"/>
      <c r="W125" s="37"/>
    </row>
    <row r="126" spans="1:23" ht="15.75" customHeight="1" x14ac:dyDescent="0.25">
      <c r="A126" s="244"/>
      <c r="B126" s="245"/>
      <c r="C126" s="246"/>
      <c r="D126" s="37"/>
      <c r="E126" s="246"/>
      <c r="F126" s="247"/>
      <c r="G126" s="245"/>
      <c r="H126" s="246"/>
      <c r="I126" s="247"/>
      <c r="J126" s="37"/>
      <c r="K126" s="248"/>
      <c r="L126" s="248"/>
      <c r="M126" s="248"/>
      <c r="N126" s="248"/>
      <c r="O126" s="248"/>
      <c r="P126" s="249"/>
      <c r="Q126" s="250"/>
      <c r="R126" s="37"/>
      <c r="S126" s="37"/>
      <c r="T126" s="204"/>
      <c r="U126" s="37"/>
      <c r="V126" s="37"/>
      <c r="W126" s="37"/>
    </row>
    <row r="127" spans="1:23" ht="15.75" customHeight="1" x14ac:dyDescent="0.25">
      <c r="A127" s="244"/>
      <c r="B127" s="245"/>
      <c r="C127" s="246"/>
      <c r="D127" s="37"/>
      <c r="E127" s="246"/>
      <c r="F127" s="247"/>
      <c r="G127" s="245"/>
      <c r="H127" s="246"/>
      <c r="I127" s="247"/>
      <c r="J127" s="37"/>
      <c r="K127" s="248"/>
      <c r="L127" s="248"/>
      <c r="M127" s="248"/>
      <c r="N127" s="248"/>
      <c r="O127" s="248"/>
      <c r="P127" s="249"/>
      <c r="Q127" s="250"/>
      <c r="R127" s="37"/>
      <c r="S127" s="37"/>
      <c r="T127" s="204"/>
      <c r="U127" s="37"/>
      <c r="V127" s="37"/>
      <c r="W127" s="37"/>
    </row>
    <row r="128" spans="1:23" ht="15.75" customHeight="1" x14ac:dyDescent="0.25">
      <c r="A128" s="244"/>
      <c r="B128" s="245"/>
      <c r="C128" s="246"/>
      <c r="D128" s="37"/>
      <c r="E128" s="246"/>
      <c r="F128" s="247"/>
      <c r="G128" s="245"/>
      <c r="H128" s="246"/>
      <c r="I128" s="247"/>
      <c r="J128" s="37"/>
      <c r="K128" s="248"/>
      <c r="L128" s="248"/>
      <c r="M128" s="248"/>
      <c r="N128" s="248"/>
      <c r="O128" s="248"/>
      <c r="P128" s="249"/>
      <c r="Q128" s="250"/>
      <c r="R128" s="37"/>
      <c r="S128" s="37"/>
      <c r="T128" s="204"/>
      <c r="U128" s="37"/>
      <c r="V128" s="37"/>
      <c r="W128" s="37"/>
    </row>
    <row r="129" spans="1:23" ht="15.75" customHeight="1" x14ac:dyDescent="0.25">
      <c r="A129" s="244"/>
      <c r="B129" s="245"/>
      <c r="C129" s="246"/>
      <c r="D129" s="37"/>
      <c r="E129" s="246"/>
      <c r="F129" s="247"/>
      <c r="G129" s="245"/>
      <c r="H129" s="246"/>
      <c r="I129" s="247"/>
      <c r="J129" s="37"/>
      <c r="K129" s="248"/>
      <c r="L129" s="248"/>
      <c r="M129" s="248"/>
      <c r="N129" s="248"/>
      <c r="O129" s="248"/>
      <c r="P129" s="249"/>
      <c r="Q129" s="250"/>
      <c r="R129" s="37"/>
      <c r="S129" s="37"/>
      <c r="T129" s="204"/>
      <c r="U129" s="37"/>
      <c r="V129" s="37"/>
      <c r="W129" s="37"/>
    </row>
    <row r="130" spans="1:23" ht="15.75" customHeight="1" x14ac:dyDescent="0.25">
      <c r="A130" s="244"/>
      <c r="B130" s="245"/>
      <c r="C130" s="246"/>
      <c r="D130" s="37"/>
      <c r="E130" s="246"/>
      <c r="F130" s="247"/>
      <c r="G130" s="245"/>
      <c r="H130" s="246"/>
      <c r="I130" s="247"/>
      <c r="J130" s="37"/>
      <c r="K130" s="248"/>
      <c r="L130" s="248"/>
      <c r="M130" s="248"/>
      <c r="N130" s="248"/>
      <c r="O130" s="248"/>
      <c r="P130" s="249"/>
      <c r="Q130" s="250"/>
      <c r="R130" s="37"/>
      <c r="S130" s="37"/>
      <c r="T130" s="204"/>
      <c r="U130" s="37"/>
      <c r="V130" s="37"/>
      <c r="W130" s="37"/>
    </row>
    <row r="131" spans="1:23" ht="15.75" customHeight="1" x14ac:dyDescent="0.25">
      <c r="A131" s="244"/>
      <c r="B131" s="245"/>
      <c r="C131" s="246"/>
      <c r="D131" s="37"/>
      <c r="E131" s="246"/>
      <c r="F131" s="247"/>
      <c r="G131" s="245"/>
      <c r="H131" s="246"/>
      <c r="I131" s="247"/>
      <c r="J131" s="37"/>
      <c r="K131" s="248"/>
      <c r="L131" s="248"/>
      <c r="M131" s="248"/>
      <c r="N131" s="248"/>
      <c r="O131" s="248"/>
      <c r="P131" s="249"/>
      <c r="Q131" s="250"/>
      <c r="R131" s="37"/>
      <c r="S131" s="37"/>
      <c r="T131" s="204"/>
      <c r="U131" s="37"/>
      <c r="V131" s="37"/>
      <c r="W131" s="37"/>
    </row>
    <row r="132" spans="1:23" ht="15.75" customHeight="1" x14ac:dyDescent="0.25">
      <c r="A132" s="244"/>
      <c r="B132" s="245"/>
      <c r="C132" s="246"/>
      <c r="D132" s="37"/>
      <c r="E132" s="246"/>
      <c r="F132" s="247"/>
      <c r="G132" s="245"/>
      <c r="H132" s="246"/>
      <c r="I132" s="247"/>
      <c r="J132" s="37"/>
      <c r="K132" s="248"/>
      <c r="L132" s="248"/>
      <c r="M132" s="248"/>
      <c r="N132" s="248"/>
      <c r="O132" s="248"/>
      <c r="P132" s="249"/>
      <c r="Q132" s="250"/>
      <c r="R132" s="37"/>
      <c r="S132" s="37"/>
      <c r="T132" s="204"/>
      <c r="U132" s="37"/>
      <c r="V132" s="37"/>
      <c r="W132" s="37"/>
    </row>
    <row r="133" spans="1:23" ht="15.75" customHeight="1" x14ac:dyDescent="0.25">
      <c r="A133" s="244"/>
      <c r="B133" s="245"/>
      <c r="C133" s="246"/>
      <c r="D133" s="37"/>
      <c r="E133" s="246"/>
      <c r="F133" s="247"/>
      <c r="G133" s="245"/>
      <c r="H133" s="246"/>
      <c r="I133" s="247"/>
      <c r="J133" s="37"/>
      <c r="K133" s="248"/>
      <c r="L133" s="248"/>
      <c r="M133" s="248"/>
      <c r="N133" s="248"/>
      <c r="O133" s="248"/>
      <c r="P133" s="249"/>
      <c r="Q133" s="250"/>
      <c r="R133" s="37"/>
      <c r="S133" s="37"/>
      <c r="T133" s="204"/>
      <c r="U133" s="37"/>
      <c r="V133" s="37"/>
      <c r="W133" s="37"/>
    </row>
    <row r="134" spans="1:23" ht="15.75" customHeight="1" x14ac:dyDescent="0.25">
      <c r="A134" s="244"/>
      <c r="B134" s="245"/>
      <c r="C134" s="246"/>
      <c r="D134" s="37"/>
      <c r="E134" s="246"/>
      <c r="F134" s="247"/>
      <c r="G134" s="245"/>
      <c r="H134" s="246"/>
      <c r="I134" s="247"/>
      <c r="J134" s="37"/>
      <c r="K134" s="248"/>
      <c r="L134" s="248"/>
      <c r="M134" s="248"/>
      <c r="N134" s="248"/>
      <c r="O134" s="248"/>
      <c r="P134" s="249"/>
      <c r="Q134" s="250"/>
      <c r="R134" s="37"/>
      <c r="S134" s="37"/>
      <c r="T134" s="204"/>
      <c r="U134" s="37"/>
      <c r="V134" s="37"/>
      <c r="W134" s="37"/>
    </row>
    <row r="135" spans="1:23" ht="15.75" customHeight="1" x14ac:dyDescent="0.25">
      <c r="A135" s="244"/>
      <c r="B135" s="245"/>
      <c r="C135" s="246"/>
      <c r="D135" s="37"/>
      <c r="E135" s="246"/>
      <c r="F135" s="247"/>
      <c r="G135" s="245"/>
      <c r="H135" s="246"/>
      <c r="I135" s="247"/>
      <c r="J135" s="37"/>
      <c r="K135" s="248"/>
      <c r="L135" s="248"/>
      <c r="M135" s="248"/>
      <c r="N135" s="248"/>
      <c r="O135" s="248"/>
      <c r="P135" s="249"/>
      <c r="Q135" s="250"/>
      <c r="R135" s="37"/>
      <c r="S135" s="37"/>
      <c r="T135" s="204"/>
      <c r="U135" s="37"/>
      <c r="V135" s="37"/>
      <c r="W135" s="37"/>
    </row>
    <row r="136" spans="1:23" ht="15.75" customHeight="1" x14ac:dyDescent="0.25">
      <c r="A136" s="244"/>
      <c r="B136" s="245"/>
      <c r="C136" s="246"/>
      <c r="D136" s="37"/>
      <c r="E136" s="246"/>
      <c r="F136" s="247"/>
      <c r="G136" s="245"/>
      <c r="H136" s="246"/>
      <c r="I136" s="247"/>
      <c r="J136" s="37"/>
      <c r="K136" s="248"/>
      <c r="L136" s="248"/>
      <c r="M136" s="248"/>
      <c r="N136" s="248"/>
      <c r="O136" s="248"/>
      <c r="P136" s="249"/>
      <c r="Q136" s="250"/>
      <c r="R136" s="37"/>
      <c r="S136" s="37"/>
      <c r="T136" s="204"/>
      <c r="U136" s="37"/>
      <c r="V136" s="37"/>
      <c r="W136" s="37"/>
    </row>
    <row r="137" spans="1:23" ht="15.75" customHeight="1" x14ac:dyDescent="0.25">
      <c r="A137" s="244"/>
      <c r="B137" s="245"/>
      <c r="C137" s="246"/>
      <c r="D137" s="37"/>
      <c r="E137" s="246"/>
      <c r="F137" s="247"/>
      <c r="G137" s="245"/>
      <c r="H137" s="246"/>
      <c r="I137" s="247"/>
      <c r="J137" s="37"/>
      <c r="K137" s="248"/>
      <c r="L137" s="248"/>
      <c r="M137" s="248"/>
      <c r="N137" s="248"/>
      <c r="O137" s="248"/>
      <c r="P137" s="249"/>
      <c r="Q137" s="250"/>
      <c r="R137" s="37"/>
      <c r="S137" s="37"/>
      <c r="T137" s="204"/>
      <c r="U137" s="37"/>
      <c r="V137" s="37"/>
      <c r="W137" s="37"/>
    </row>
    <row r="138" spans="1:23" ht="15.75" customHeight="1" x14ac:dyDescent="0.25">
      <c r="A138" s="244"/>
      <c r="B138" s="245"/>
      <c r="C138" s="246"/>
      <c r="D138" s="37"/>
      <c r="E138" s="246"/>
      <c r="F138" s="247"/>
      <c r="G138" s="245"/>
      <c r="H138" s="246"/>
      <c r="I138" s="247"/>
      <c r="J138" s="37"/>
      <c r="K138" s="248"/>
      <c r="L138" s="248"/>
      <c r="M138" s="248"/>
      <c r="N138" s="248"/>
      <c r="O138" s="248"/>
      <c r="P138" s="249"/>
      <c r="Q138" s="250"/>
      <c r="R138" s="37"/>
      <c r="S138" s="37"/>
      <c r="T138" s="204"/>
      <c r="U138" s="37"/>
      <c r="V138" s="37"/>
      <c r="W138" s="37"/>
    </row>
    <row r="139" spans="1:23" ht="15.75" customHeight="1" x14ac:dyDescent="0.25">
      <c r="A139" s="244"/>
      <c r="B139" s="245"/>
      <c r="C139" s="246"/>
      <c r="D139" s="37"/>
      <c r="E139" s="246"/>
      <c r="F139" s="247"/>
      <c r="G139" s="245"/>
      <c r="H139" s="246"/>
      <c r="I139" s="247"/>
      <c r="J139" s="37"/>
      <c r="K139" s="248"/>
      <c r="L139" s="248"/>
      <c r="M139" s="248"/>
      <c r="N139" s="248"/>
      <c r="O139" s="248"/>
      <c r="P139" s="249"/>
      <c r="Q139" s="250"/>
      <c r="R139" s="37"/>
      <c r="S139" s="37"/>
      <c r="T139" s="204"/>
      <c r="U139" s="37"/>
      <c r="V139" s="37"/>
      <c r="W139" s="37"/>
    </row>
    <row r="140" spans="1:23" ht="15.75" customHeight="1" x14ac:dyDescent="0.25">
      <c r="A140" s="244"/>
      <c r="B140" s="245"/>
      <c r="C140" s="246"/>
      <c r="D140" s="37"/>
      <c r="E140" s="246"/>
      <c r="F140" s="247"/>
      <c r="G140" s="245"/>
      <c r="H140" s="246"/>
      <c r="I140" s="247"/>
      <c r="J140" s="37"/>
      <c r="K140" s="248"/>
      <c r="L140" s="248"/>
      <c r="M140" s="248"/>
      <c r="N140" s="248"/>
      <c r="O140" s="248"/>
      <c r="P140" s="249"/>
      <c r="Q140" s="250"/>
      <c r="R140" s="37"/>
      <c r="S140" s="37"/>
      <c r="T140" s="204"/>
      <c r="U140" s="37"/>
      <c r="V140" s="37"/>
      <c r="W140" s="37"/>
    </row>
    <row r="141" spans="1:23" ht="15.75" customHeight="1" x14ac:dyDescent="0.25">
      <c r="A141" s="244"/>
      <c r="B141" s="245"/>
      <c r="C141" s="246"/>
      <c r="D141" s="37"/>
      <c r="E141" s="246"/>
      <c r="F141" s="247"/>
      <c r="G141" s="245"/>
      <c r="H141" s="246"/>
      <c r="I141" s="247"/>
      <c r="J141" s="37"/>
      <c r="K141" s="248"/>
      <c r="L141" s="248"/>
      <c r="M141" s="248"/>
      <c r="N141" s="248"/>
      <c r="O141" s="248"/>
      <c r="P141" s="249"/>
      <c r="Q141" s="250"/>
      <c r="R141" s="37"/>
      <c r="S141" s="37"/>
      <c r="T141" s="204"/>
      <c r="U141" s="37"/>
      <c r="V141" s="37"/>
      <c r="W141" s="37"/>
    </row>
    <row r="142" spans="1:23" ht="15.75" customHeight="1" x14ac:dyDescent="0.25">
      <c r="A142" s="244"/>
      <c r="B142" s="245"/>
      <c r="C142" s="246"/>
      <c r="D142" s="37"/>
      <c r="E142" s="246"/>
      <c r="F142" s="247"/>
      <c r="G142" s="245"/>
      <c r="H142" s="246"/>
      <c r="I142" s="247"/>
      <c r="J142" s="37"/>
      <c r="K142" s="248"/>
      <c r="L142" s="248"/>
      <c r="M142" s="248"/>
      <c r="N142" s="248"/>
      <c r="O142" s="248"/>
      <c r="P142" s="249"/>
      <c r="Q142" s="250"/>
      <c r="R142" s="37"/>
      <c r="S142" s="37"/>
      <c r="T142" s="204"/>
      <c r="U142" s="37"/>
      <c r="V142" s="37"/>
      <c r="W142" s="37"/>
    </row>
    <row r="143" spans="1:23" ht="15.75" customHeight="1" x14ac:dyDescent="0.25">
      <c r="A143" s="244"/>
      <c r="B143" s="245"/>
      <c r="C143" s="246"/>
      <c r="D143" s="37"/>
      <c r="E143" s="246"/>
      <c r="F143" s="247"/>
      <c r="G143" s="245"/>
      <c r="H143" s="246"/>
      <c r="I143" s="247"/>
      <c r="J143" s="37"/>
      <c r="K143" s="248"/>
      <c r="L143" s="248"/>
      <c r="M143" s="248"/>
      <c r="N143" s="248"/>
      <c r="O143" s="248"/>
      <c r="P143" s="249"/>
      <c r="Q143" s="250"/>
      <c r="R143" s="37"/>
      <c r="S143" s="37"/>
      <c r="T143" s="204"/>
      <c r="U143" s="37"/>
      <c r="V143" s="37"/>
      <c r="W143" s="37"/>
    </row>
    <row r="144" spans="1:23" ht="15.75" customHeight="1" x14ac:dyDescent="0.25">
      <c r="A144" s="244"/>
      <c r="B144" s="245"/>
      <c r="C144" s="246"/>
      <c r="D144" s="37"/>
      <c r="E144" s="246"/>
      <c r="F144" s="247"/>
      <c r="G144" s="245"/>
      <c r="H144" s="246"/>
      <c r="I144" s="247"/>
      <c r="J144" s="37"/>
      <c r="K144" s="248"/>
      <c r="L144" s="248"/>
      <c r="M144" s="248"/>
      <c r="N144" s="248"/>
      <c r="O144" s="248"/>
      <c r="P144" s="249"/>
      <c r="Q144" s="250"/>
      <c r="R144" s="37"/>
      <c r="S144" s="37"/>
      <c r="T144" s="204"/>
      <c r="U144" s="37"/>
      <c r="V144" s="37"/>
      <c r="W144" s="37"/>
    </row>
    <row r="145" spans="1:23" ht="15.75" customHeight="1" x14ac:dyDescent="0.25">
      <c r="A145" s="244"/>
      <c r="B145" s="245"/>
      <c r="C145" s="246"/>
      <c r="D145" s="37"/>
      <c r="E145" s="246"/>
      <c r="F145" s="247"/>
      <c r="G145" s="245"/>
      <c r="H145" s="246"/>
      <c r="I145" s="247"/>
      <c r="J145" s="37"/>
      <c r="K145" s="248"/>
      <c r="L145" s="248"/>
      <c r="M145" s="248"/>
      <c r="N145" s="248"/>
      <c r="O145" s="248"/>
      <c r="P145" s="249"/>
      <c r="Q145" s="250"/>
      <c r="R145" s="37"/>
      <c r="S145" s="37"/>
      <c r="T145" s="204"/>
      <c r="U145" s="37"/>
      <c r="V145" s="37"/>
      <c r="W145" s="37"/>
    </row>
    <row r="146" spans="1:23" ht="15.75" customHeight="1" x14ac:dyDescent="0.25">
      <c r="A146" s="244"/>
      <c r="B146" s="245"/>
      <c r="C146" s="246"/>
      <c r="D146" s="37"/>
      <c r="E146" s="246"/>
      <c r="F146" s="247"/>
      <c r="G146" s="245"/>
      <c r="H146" s="246"/>
      <c r="I146" s="247"/>
      <c r="J146" s="37"/>
      <c r="K146" s="248"/>
      <c r="L146" s="248"/>
      <c r="M146" s="248"/>
      <c r="N146" s="248"/>
      <c r="O146" s="248"/>
      <c r="P146" s="249"/>
      <c r="Q146" s="250"/>
      <c r="R146" s="37"/>
      <c r="S146" s="37"/>
      <c r="T146" s="204"/>
      <c r="U146" s="37"/>
      <c r="V146" s="37"/>
      <c r="W146" s="37"/>
    </row>
    <row r="147" spans="1:23" ht="15.75" customHeight="1" x14ac:dyDescent="0.25">
      <c r="A147" s="244"/>
      <c r="B147" s="245"/>
      <c r="C147" s="246"/>
      <c r="D147" s="37"/>
      <c r="E147" s="246"/>
      <c r="F147" s="247"/>
      <c r="G147" s="245"/>
      <c r="H147" s="246"/>
      <c r="I147" s="247"/>
      <c r="J147" s="37"/>
      <c r="K147" s="248"/>
      <c r="L147" s="248"/>
      <c r="M147" s="248"/>
      <c r="N147" s="248"/>
      <c r="O147" s="248"/>
      <c r="P147" s="249"/>
      <c r="Q147" s="250"/>
      <c r="R147" s="37"/>
      <c r="S147" s="37"/>
      <c r="T147" s="204"/>
      <c r="U147" s="37"/>
      <c r="V147" s="37"/>
      <c r="W147" s="37"/>
    </row>
    <row r="148" spans="1:23" ht="15.75" customHeight="1" x14ac:dyDescent="0.25">
      <c r="A148" s="244"/>
      <c r="B148" s="245"/>
      <c r="C148" s="246"/>
      <c r="D148" s="37"/>
      <c r="E148" s="246"/>
      <c r="F148" s="247"/>
      <c r="G148" s="245"/>
      <c r="H148" s="246"/>
      <c r="I148" s="247"/>
      <c r="J148" s="37"/>
      <c r="K148" s="248"/>
      <c r="L148" s="248"/>
      <c r="M148" s="248"/>
      <c r="N148" s="248"/>
      <c r="O148" s="248"/>
      <c r="P148" s="249"/>
      <c r="Q148" s="250"/>
      <c r="R148" s="37"/>
      <c r="S148" s="37"/>
      <c r="T148" s="204"/>
      <c r="U148" s="37"/>
      <c r="V148" s="37"/>
      <c r="W148" s="37"/>
    </row>
    <row r="149" spans="1:23" ht="15.75" customHeight="1" x14ac:dyDescent="0.25">
      <c r="A149" s="244"/>
      <c r="B149" s="245"/>
      <c r="C149" s="246"/>
      <c r="D149" s="37"/>
      <c r="E149" s="246"/>
      <c r="F149" s="247"/>
      <c r="G149" s="245"/>
      <c r="H149" s="246"/>
      <c r="I149" s="247"/>
      <c r="J149" s="37"/>
      <c r="K149" s="248"/>
      <c r="L149" s="248"/>
      <c r="M149" s="248"/>
      <c r="N149" s="248"/>
      <c r="O149" s="248"/>
      <c r="P149" s="249"/>
      <c r="Q149" s="250"/>
      <c r="R149" s="37"/>
      <c r="S149" s="37"/>
      <c r="T149" s="204"/>
      <c r="U149" s="37"/>
      <c r="V149" s="37"/>
      <c r="W149" s="37"/>
    </row>
    <row r="150" spans="1:23" ht="15.75" customHeight="1" x14ac:dyDescent="0.25">
      <c r="A150" s="244"/>
      <c r="B150" s="245"/>
      <c r="C150" s="246"/>
      <c r="D150" s="37"/>
      <c r="E150" s="246"/>
      <c r="F150" s="247"/>
      <c r="G150" s="245"/>
      <c r="H150" s="246"/>
      <c r="I150" s="247"/>
      <c r="J150" s="37"/>
      <c r="K150" s="248"/>
      <c r="L150" s="248"/>
      <c r="M150" s="248"/>
      <c r="N150" s="248"/>
      <c r="O150" s="248"/>
      <c r="P150" s="249"/>
      <c r="Q150" s="250"/>
      <c r="R150" s="37"/>
      <c r="S150" s="37"/>
      <c r="T150" s="204"/>
      <c r="U150" s="37"/>
      <c r="V150" s="37"/>
      <c r="W150" s="37"/>
    </row>
    <row r="151" spans="1:23" ht="15.75" customHeight="1" x14ac:dyDescent="0.25">
      <c r="A151" s="244"/>
      <c r="B151" s="245"/>
      <c r="C151" s="246"/>
      <c r="D151" s="37"/>
      <c r="E151" s="246"/>
      <c r="F151" s="247"/>
      <c r="G151" s="245"/>
      <c r="H151" s="246"/>
      <c r="I151" s="247"/>
      <c r="J151" s="37"/>
      <c r="K151" s="248"/>
      <c r="L151" s="248"/>
      <c r="M151" s="248"/>
      <c r="N151" s="248"/>
      <c r="O151" s="248"/>
      <c r="P151" s="249"/>
      <c r="Q151" s="250"/>
      <c r="R151" s="37"/>
      <c r="S151" s="37"/>
      <c r="T151" s="204"/>
      <c r="U151" s="37"/>
      <c r="V151" s="37"/>
      <c r="W151" s="37"/>
    </row>
    <row r="152" spans="1:23" ht="15.75" customHeight="1" x14ac:dyDescent="0.25">
      <c r="A152" s="244"/>
      <c r="B152" s="245"/>
      <c r="C152" s="246"/>
      <c r="D152" s="37"/>
      <c r="E152" s="246"/>
      <c r="F152" s="247"/>
      <c r="G152" s="245"/>
      <c r="H152" s="246"/>
      <c r="I152" s="247"/>
      <c r="J152" s="37"/>
      <c r="K152" s="248"/>
      <c r="L152" s="248"/>
      <c r="M152" s="248"/>
      <c r="N152" s="248"/>
      <c r="O152" s="248"/>
      <c r="P152" s="249"/>
      <c r="Q152" s="250"/>
      <c r="R152" s="37"/>
      <c r="S152" s="37"/>
      <c r="T152" s="204"/>
      <c r="U152" s="37"/>
      <c r="V152" s="37"/>
      <c r="W152" s="37"/>
    </row>
    <row r="153" spans="1:23" ht="15.75" customHeight="1" x14ac:dyDescent="0.25">
      <c r="A153" s="244"/>
      <c r="B153" s="245"/>
      <c r="C153" s="246"/>
      <c r="D153" s="37"/>
      <c r="E153" s="246"/>
      <c r="F153" s="247"/>
      <c r="G153" s="245"/>
      <c r="H153" s="246"/>
      <c r="I153" s="247"/>
      <c r="J153" s="37"/>
      <c r="K153" s="248"/>
      <c r="L153" s="248"/>
      <c r="M153" s="248"/>
      <c r="N153" s="248"/>
      <c r="O153" s="248"/>
      <c r="P153" s="249"/>
      <c r="Q153" s="250"/>
      <c r="R153" s="37"/>
      <c r="S153" s="37"/>
      <c r="T153" s="204"/>
      <c r="U153" s="37"/>
      <c r="V153" s="37"/>
      <c r="W153" s="37"/>
    </row>
    <row r="154" spans="1:23" ht="15.75" customHeight="1" x14ac:dyDescent="0.25">
      <c r="A154" s="244"/>
      <c r="B154" s="245"/>
      <c r="C154" s="246"/>
      <c r="D154" s="37"/>
      <c r="E154" s="246"/>
      <c r="F154" s="247"/>
      <c r="G154" s="245"/>
      <c r="H154" s="246"/>
      <c r="I154" s="247"/>
      <c r="J154" s="37"/>
      <c r="K154" s="248"/>
      <c r="L154" s="248"/>
      <c r="M154" s="248"/>
      <c r="N154" s="248"/>
      <c r="O154" s="248"/>
      <c r="P154" s="249"/>
      <c r="Q154" s="250"/>
      <c r="R154" s="37"/>
      <c r="S154" s="37"/>
      <c r="T154" s="204"/>
      <c r="U154" s="37"/>
      <c r="V154" s="37"/>
      <c r="W154" s="37"/>
    </row>
    <row r="155" spans="1:23" ht="15.75" customHeight="1" x14ac:dyDescent="0.25">
      <c r="A155" s="244"/>
      <c r="B155" s="245"/>
      <c r="C155" s="246"/>
      <c r="D155" s="37"/>
      <c r="E155" s="246"/>
      <c r="F155" s="247"/>
      <c r="G155" s="245"/>
      <c r="H155" s="246"/>
      <c r="I155" s="247"/>
      <c r="J155" s="37"/>
      <c r="K155" s="248"/>
      <c r="L155" s="248"/>
      <c r="M155" s="248"/>
      <c r="N155" s="248"/>
      <c r="O155" s="248"/>
      <c r="P155" s="249"/>
      <c r="Q155" s="250"/>
      <c r="R155" s="37"/>
      <c r="S155" s="37"/>
      <c r="T155" s="204"/>
      <c r="U155" s="37"/>
      <c r="V155" s="37"/>
      <c r="W155" s="37"/>
    </row>
    <row r="156" spans="1:23" ht="15.75" customHeight="1" x14ac:dyDescent="0.25">
      <c r="A156" s="244"/>
      <c r="B156" s="245"/>
      <c r="C156" s="246"/>
      <c r="D156" s="37"/>
      <c r="E156" s="246"/>
      <c r="F156" s="247"/>
      <c r="G156" s="245"/>
      <c r="H156" s="246"/>
      <c r="I156" s="247"/>
      <c r="J156" s="37"/>
      <c r="K156" s="248"/>
      <c r="L156" s="248"/>
      <c r="M156" s="248"/>
      <c r="N156" s="248"/>
      <c r="O156" s="248"/>
      <c r="P156" s="249"/>
      <c r="Q156" s="250"/>
      <c r="R156" s="37"/>
      <c r="S156" s="37"/>
      <c r="T156" s="204"/>
      <c r="U156" s="37"/>
      <c r="V156" s="37"/>
      <c r="W156" s="37"/>
    </row>
    <row r="157" spans="1:23" ht="15.75" customHeight="1" x14ac:dyDescent="0.25">
      <c r="A157" s="244"/>
      <c r="B157" s="245"/>
      <c r="C157" s="246"/>
      <c r="D157" s="37"/>
      <c r="E157" s="246"/>
      <c r="F157" s="247"/>
      <c r="G157" s="245"/>
      <c r="H157" s="246"/>
      <c r="I157" s="247"/>
      <c r="J157" s="37"/>
      <c r="K157" s="248"/>
      <c r="L157" s="248"/>
      <c r="M157" s="248"/>
      <c r="N157" s="248"/>
      <c r="O157" s="248"/>
      <c r="P157" s="249"/>
      <c r="Q157" s="250"/>
      <c r="R157" s="37"/>
      <c r="S157" s="37"/>
      <c r="T157" s="204"/>
      <c r="U157" s="37"/>
      <c r="V157" s="37"/>
      <c r="W157" s="37"/>
    </row>
    <row r="158" spans="1:23" ht="15.75" customHeight="1" x14ac:dyDescent="0.25">
      <c r="A158" s="244"/>
      <c r="B158" s="245"/>
      <c r="C158" s="246"/>
      <c r="D158" s="37"/>
      <c r="E158" s="246"/>
      <c r="F158" s="247"/>
      <c r="G158" s="245"/>
      <c r="H158" s="246"/>
      <c r="I158" s="247"/>
      <c r="J158" s="37"/>
      <c r="K158" s="248"/>
      <c r="L158" s="248"/>
      <c r="M158" s="248"/>
      <c r="N158" s="248"/>
      <c r="O158" s="248"/>
      <c r="P158" s="249"/>
      <c r="Q158" s="250"/>
      <c r="R158" s="37"/>
      <c r="S158" s="37"/>
      <c r="T158" s="204"/>
      <c r="U158" s="37"/>
      <c r="V158" s="37"/>
      <c r="W158" s="37"/>
    </row>
    <row r="159" spans="1:23" ht="15.75" customHeight="1" x14ac:dyDescent="0.25">
      <c r="A159" s="244"/>
      <c r="B159" s="245"/>
      <c r="C159" s="246"/>
      <c r="D159" s="37"/>
      <c r="E159" s="246"/>
      <c r="F159" s="247"/>
      <c r="G159" s="245"/>
      <c r="H159" s="246"/>
      <c r="I159" s="247"/>
      <c r="J159" s="37"/>
      <c r="K159" s="248"/>
      <c r="L159" s="248"/>
      <c r="M159" s="248"/>
      <c r="N159" s="248"/>
      <c r="O159" s="248"/>
      <c r="P159" s="249"/>
      <c r="Q159" s="250"/>
      <c r="R159" s="37"/>
      <c r="S159" s="37"/>
      <c r="T159" s="204"/>
      <c r="U159" s="37"/>
      <c r="V159" s="37"/>
      <c r="W159" s="37"/>
    </row>
    <row r="160" spans="1:23" ht="15.75" customHeight="1" x14ac:dyDescent="0.25">
      <c r="A160" s="244"/>
      <c r="B160" s="245"/>
      <c r="C160" s="246"/>
      <c r="D160" s="37"/>
      <c r="E160" s="246"/>
      <c r="F160" s="247"/>
      <c r="G160" s="245"/>
      <c r="H160" s="246"/>
      <c r="I160" s="247"/>
      <c r="J160" s="37"/>
      <c r="K160" s="248"/>
      <c r="L160" s="248"/>
      <c r="M160" s="248"/>
      <c r="N160" s="248"/>
      <c r="O160" s="248"/>
      <c r="P160" s="249"/>
      <c r="Q160" s="250"/>
      <c r="R160" s="37"/>
      <c r="S160" s="37"/>
      <c r="T160" s="204"/>
      <c r="U160" s="37"/>
      <c r="V160" s="37"/>
      <c r="W160" s="37"/>
    </row>
    <row r="161" spans="1:23" ht="15.75" customHeight="1" x14ac:dyDescent="0.25">
      <c r="A161" s="244"/>
      <c r="B161" s="245"/>
      <c r="C161" s="246"/>
      <c r="D161" s="37"/>
      <c r="E161" s="246"/>
      <c r="F161" s="247"/>
      <c r="G161" s="245"/>
      <c r="H161" s="246"/>
      <c r="I161" s="247"/>
      <c r="J161" s="37"/>
      <c r="K161" s="248"/>
      <c r="L161" s="248"/>
      <c r="M161" s="248"/>
      <c r="N161" s="248"/>
      <c r="O161" s="248"/>
      <c r="P161" s="249"/>
      <c r="Q161" s="250"/>
      <c r="R161" s="37"/>
      <c r="S161" s="37"/>
      <c r="T161" s="204"/>
      <c r="U161" s="37"/>
      <c r="V161" s="37"/>
      <c r="W161" s="37"/>
    </row>
    <row r="162" spans="1:23" ht="15.75" customHeight="1" x14ac:dyDescent="0.25">
      <c r="A162" s="244"/>
      <c r="B162" s="245"/>
      <c r="C162" s="246"/>
      <c r="D162" s="37"/>
      <c r="E162" s="246"/>
      <c r="F162" s="247"/>
      <c r="G162" s="245"/>
      <c r="H162" s="246"/>
      <c r="I162" s="247"/>
      <c r="J162" s="37"/>
      <c r="K162" s="248"/>
      <c r="L162" s="248"/>
      <c r="M162" s="248"/>
      <c r="N162" s="248"/>
      <c r="O162" s="248"/>
      <c r="P162" s="249"/>
      <c r="Q162" s="250"/>
      <c r="R162" s="37"/>
      <c r="S162" s="37"/>
      <c r="T162" s="204"/>
      <c r="U162" s="37"/>
      <c r="V162" s="37"/>
      <c r="W162" s="37"/>
    </row>
    <row r="163" spans="1:23" ht="15.75" customHeight="1" x14ac:dyDescent="0.25">
      <c r="A163" s="244"/>
      <c r="B163" s="245"/>
      <c r="C163" s="246"/>
      <c r="D163" s="37"/>
      <c r="E163" s="246"/>
      <c r="F163" s="247"/>
      <c r="G163" s="245"/>
      <c r="H163" s="246"/>
      <c r="I163" s="247"/>
      <c r="J163" s="37"/>
      <c r="K163" s="248"/>
      <c r="L163" s="248"/>
      <c r="M163" s="248"/>
      <c r="N163" s="248"/>
      <c r="O163" s="248"/>
      <c r="P163" s="249"/>
      <c r="Q163" s="250"/>
      <c r="R163" s="37"/>
      <c r="S163" s="37"/>
      <c r="T163" s="204"/>
      <c r="U163" s="37"/>
      <c r="V163" s="37"/>
      <c r="W163" s="37"/>
    </row>
    <row r="164" spans="1:23" ht="15.75" customHeight="1" x14ac:dyDescent="0.25">
      <c r="A164" s="244"/>
      <c r="B164" s="245"/>
      <c r="C164" s="246"/>
      <c r="D164" s="37"/>
      <c r="E164" s="246"/>
      <c r="F164" s="247"/>
      <c r="G164" s="245"/>
      <c r="H164" s="246"/>
      <c r="I164" s="247"/>
      <c r="J164" s="37"/>
      <c r="K164" s="248"/>
      <c r="L164" s="248"/>
      <c r="M164" s="248"/>
      <c r="N164" s="248"/>
      <c r="O164" s="248"/>
      <c r="P164" s="249"/>
      <c r="Q164" s="250"/>
      <c r="R164" s="37"/>
      <c r="S164" s="37"/>
      <c r="T164" s="204"/>
      <c r="U164" s="37"/>
      <c r="V164" s="37"/>
      <c r="W164" s="37"/>
    </row>
    <row r="165" spans="1:23" ht="15.75" customHeight="1" x14ac:dyDescent="0.25">
      <c r="A165" s="244"/>
      <c r="B165" s="245"/>
      <c r="C165" s="246"/>
      <c r="D165" s="37"/>
      <c r="E165" s="246"/>
      <c r="F165" s="247"/>
      <c r="G165" s="245"/>
      <c r="H165" s="246"/>
      <c r="I165" s="247"/>
      <c r="J165" s="37"/>
      <c r="K165" s="248"/>
      <c r="L165" s="248"/>
      <c r="M165" s="248"/>
      <c r="N165" s="248"/>
      <c r="O165" s="248"/>
      <c r="P165" s="249"/>
      <c r="Q165" s="250"/>
      <c r="R165" s="37"/>
      <c r="S165" s="37"/>
      <c r="T165" s="204"/>
      <c r="U165" s="37"/>
      <c r="V165" s="37"/>
      <c r="W165" s="37"/>
    </row>
    <row r="166" spans="1:23" ht="15.75" customHeight="1" x14ac:dyDescent="0.25">
      <c r="A166" s="244"/>
      <c r="B166" s="245"/>
      <c r="C166" s="246"/>
      <c r="D166" s="37"/>
      <c r="E166" s="246"/>
      <c r="F166" s="247"/>
      <c r="G166" s="245"/>
      <c r="H166" s="246"/>
      <c r="I166" s="247"/>
      <c r="J166" s="37"/>
      <c r="K166" s="248"/>
      <c r="L166" s="248"/>
      <c r="M166" s="248"/>
      <c r="N166" s="248"/>
      <c r="O166" s="248"/>
      <c r="P166" s="249"/>
      <c r="Q166" s="250"/>
      <c r="R166" s="37"/>
      <c r="S166" s="37"/>
      <c r="T166" s="204"/>
      <c r="U166" s="37"/>
      <c r="V166" s="37"/>
      <c r="W166" s="37"/>
    </row>
    <row r="167" spans="1:23" ht="15.75" customHeight="1" x14ac:dyDescent="0.25">
      <c r="A167" s="244"/>
      <c r="B167" s="245"/>
      <c r="C167" s="246"/>
      <c r="D167" s="37"/>
      <c r="E167" s="246"/>
      <c r="F167" s="247"/>
      <c r="G167" s="245"/>
      <c r="H167" s="246"/>
      <c r="I167" s="247"/>
      <c r="J167" s="37"/>
      <c r="K167" s="248"/>
      <c r="L167" s="248"/>
      <c r="M167" s="248"/>
      <c r="N167" s="248"/>
      <c r="O167" s="248"/>
      <c r="P167" s="249"/>
      <c r="Q167" s="250"/>
      <c r="R167" s="37"/>
      <c r="S167" s="37"/>
      <c r="T167" s="204"/>
      <c r="U167" s="37"/>
      <c r="V167" s="37"/>
      <c r="W167" s="37"/>
    </row>
    <row r="168" spans="1:23" ht="15.75" customHeight="1" x14ac:dyDescent="0.25">
      <c r="A168" s="244"/>
      <c r="B168" s="245"/>
      <c r="C168" s="246"/>
      <c r="D168" s="37"/>
      <c r="E168" s="246"/>
      <c r="F168" s="247"/>
      <c r="G168" s="245"/>
      <c r="H168" s="246"/>
      <c r="I168" s="247"/>
      <c r="J168" s="37"/>
      <c r="K168" s="248"/>
      <c r="L168" s="248"/>
      <c r="M168" s="248"/>
      <c r="N168" s="248"/>
      <c r="O168" s="248"/>
      <c r="P168" s="249"/>
      <c r="Q168" s="250"/>
      <c r="R168" s="37"/>
      <c r="S168" s="37"/>
      <c r="T168" s="204"/>
      <c r="U168" s="37"/>
      <c r="V168" s="37"/>
      <c r="W168" s="37"/>
    </row>
    <row r="169" spans="1:23" ht="15.75" customHeight="1" x14ac:dyDescent="0.25">
      <c r="A169" s="244"/>
      <c r="B169" s="245"/>
      <c r="C169" s="246"/>
      <c r="D169" s="37"/>
      <c r="E169" s="246"/>
      <c r="F169" s="247"/>
      <c r="G169" s="245"/>
      <c r="H169" s="246"/>
      <c r="I169" s="247"/>
      <c r="J169" s="37"/>
      <c r="K169" s="248"/>
      <c r="L169" s="248"/>
      <c r="M169" s="248"/>
      <c r="N169" s="248"/>
      <c r="O169" s="248"/>
      <c r="P169" s="249"/>
      <c r="Q169" s="250"/>
      <c r="R169" s="37"/>
      <c r="S169" s="37"/>
      <c r="T169" s="204"/>
      <c r="U169" s="37"/>
      <c r="V169" s="37"/>
      <c r="W169" s="37"/>
    </row>
    <row r="170" spans="1:23" ht="15.75" customHeight="1" x14ac:dyDescent="0.25">
      <c r="A170" s="244"/>
      <c r="B170" s="245"/>
      <c r="C170" s="246"/>
      <c r="D170" s="37"/>
      <c r="E170" s="246"/>
      <c r="F170" s="247"/>
      <c r="G170" s="245"/>
      <c r="H170" s="246"/>
      <c r="I170" s="247"/>
      <c r="J170" s="37"/>
      <c r="K170" s="248"/>
      <c r="L170" s="248"/>
      <c r="M170" s="248"/>
      <c r="N170" s="248"/>
      <c r="O170" s="248"/>
      <c r="P170" s="249"/>
      <c r="Q170" s="250"/>
      <c r="R170" s="37"/>
      <c r="S170" s="37"/>
      <c r="T170" s="204"/>
      <c r="U170" s="37"/>
      <c r="V170" s="37"/>
      <c r="W170" s="37"/>
    </row>
    <row r="171" spans="1:23" ht="15.75" customHeight="1" x14ac:dyDescent="0.25">
      <c r="A171" s="244"/>
      <c r="B171" s="245"/>
      <c r="C171" s="246"/>
      <c r="D171" s="37"/>
      <c r="E171" s="246"/>
      <c r="F171" s="247"/>
      <c r="G171" s="245"/>
      <c r="H171" s="246"/>
      <c r="I171" s="247"/>
      <c r="J171" s="37"/>
      <c r="K171" s="248"/>
      <c r="L171" s="248"/>
      <c r="M171" s="248"/>
      <c r="N171" s="248"/>
      <c r="O171" s="248"/>
      <c r="P171" s="249"/>
      <c r="Q171" s="250"/>
      <c r="R171" s="37"/>
      <c r="S171" s="37"/>
      <c r="T171" s="204"/>
      <c r="U171" s="37"/>
      <c r="V171" s="37"/>
      <c r="W171" s="37"/>
    </row>
    <row r="172" spans="1:23" ht="15.75" customHeight="1" x14ac:dyDescent="0.25">
      <c r="A172" s="244"/>
      <c r="B172" s="245"/>
      <c r="C172" s="246"/>
      <c r="D172" s="37"/>
      <c r="E172" s="246"/>
      <c r="F172" s="247"/>
      <c r="G172" s="245"/>
      <c r="H172" s="246"/>
      <c r="I172" s="247"/>
      <c r="J172" s="37"/>
      <c r="K172" s="248"/>
      <c r="L172" s="248"/>
      <c r="M172" s="248"/>
      <c r="N172" s="248"/>
      <c r="O172" s="248"/>
      <c r="P172" s="249"/>
      <c r="Q172" s="250"/>
      <c r="R172" s="37"/>
      <c r="S172" s="37"/>
      <c r="T172" s="204"/>
      <c r="U172" s="37"/>
      <c r="V172" s="37"/>
      <c r="W172" s="37"/>
    </row>
    <row r="173" spans="1:23" ht="15.75" customHeight="1" x14ac:dyDescent="0.25">
      <c r="A173" s="244"/>
      <c r="B173" s="245"/>
      <c r="C173" s="246"/>
      <c r="D173" s="37"/>
      <c r="E173" s="246"/>
      <c r="F173" s="247"/>
      <c r="G173" s="245"/>
      <c r="H173" s="246"/>
      <c r="I173" s="247"/>
      <c r="J173" s="37"/>
      <c r="K173" s="248"/>
      <c r="L173" s="248"/>
      <c r="M173" s="248"/>
      <c r="N173" s="248"/>
      <c r="O173" s="248"/>
      <c r="P173" s="249"/>
      <c r="Q173" s="250"/>
      <c r="R173" s="37"/>
      <c r="S173" s="37"/>
      <c r="T173" s="204"/>
      <c r="U173" s="37"/>
      <c r="V173" s="37"/>
      <c r="W173" s="37"/>
    </row>
    <row r="174" spans="1:23" ht="15.75" customHeight="1" x14ac:dyDescent="0.25">
      <c r="A174" s="244"/>
      <c r="B174" s="245"/>
      <c r="C174" s="246"/>
      <c r="D174" s="37"/>
      <c r="E174" s="246"/>
      <c r="F174" s="247"/>
      <c r="G174" s="245"/>
      <c r="H174" s="246"/>
      <c r="I174" s="247"/>
      <c r="J174" s="37"/>
      <c r="K174" s="248"/>
      <c r="L174" s="248"/>
      <c r="M174" s="248"/>
      <c r="N174" s="248"/>
      <c r="O174" s="248"/>
      <c r="P174" s="249"/>
      <c r="Q174" s="250"/>
      <c r="R174" s="37"/>
      <c r="S174" s="37"/>
      <c r="T174" s="204"/>
      <c r="U174" s="37"/>
      <c r="V174" s="37"/>
      <c r="W174" s="37"/>
    </row>
    <row r="175" spans="1:23" ht="15.75" customHeight="1" x14ac:dyDescent="0.25">
      <c r="A175" s="244"/>
      <c r="B175" s="245"/>
      <c r="C175" s="246"/>
      <c r="D175" s="37"/>
      <c r="E175" s="246"/>
      <c r="F175" s="247"/>
      <c r="G175" s="245"/>
      <c r="H175" s="246"/>
      <c r="I175" s="247"/>
      <c r="J175" s="37"/>
      <c r="K175" s="248"/>
      <c r="L175" s="248"/>
      <c r="M175" s="248"/>
      <c r="N175" s="248"/>
      <c r="O175" s="248"/>
      <c r="P175" s="249"/>
      <c r="Q175" s="250"/>
      <c r="R175" s="37"/>
      <c r="S175" s="37"/>
      <c r="T175" s="204"/>
      <c r="U175" s="37"/>
      <c r="V175" s="37"/>
      <c r="W175" s="37"/>
    </row>
    <row r="176" spans="1:23" ht="15.75" customHeight="1" x14ac:dyDescent="0.25">
      <c r="A176" s="244"/>
      <c r="B176" s="245"/>
      <c r="C176" s="246"/>
      <c r="D176" s="37"/>
      <c r="E176" s="246"/>
      <c r="F176" s="247"/>
      <c r="G176" s="245"/>
      <c r="H176" s="246"/>
      <c r="I176" s="247"/>
      <c r="J176" s="37"/>
      <c r="K176" s="248"/>
      <c r="L176" s="248"/>
      <c r="M176" s="248"/>
      <c r="N176" s="248"/>
      <c r="O176" s="248"/>
      <c r="P176" s="249"/>
      <c r="Q176" s="250"/>
      <c r="R176" s="37"/>
      <c r="S176" s="37"/>
      <c r="T176" s="204"/>
      <c r="U176" s="37"/>
      <c r="V176" s="37"/>
      <c r="W176" s="37"/>
    </row>
    <row r="177" spans="1:23" ht="15.75" customHeight="1" x14ac:dyDescent="0.25">
      <c r="A177" s="244"/>
      <c r="B177" s="245"/>
      <c r="C177" s="246"/>
      <c r="D177" s="37"/>
      <c r="E177" s="246"/>
      <c r="F177" s="247"/>
      <c r="G177" s="245"/>
      <c r="H177" s="246"/>
      <c r="I177" s="247"/>
      <c r="J177" s="37"/>
      <c r="K177" s="248"/>
      <c r="L177" s="248"/>
      <c r="M177" s="248"/>
      <c r="N177" s="248"/>
      <c r="O177" s="248"/>
      <c r="P177" s="249"/>
      <c r="Q177" s="250"/>
      <c r="R177" s="37"/>
      <c r="S177" s="37"/>
      <c r="T177" s="204"/>
      <c r="U177" s="37"/>
      <c r="V177" s="37"/>
      <c r="W177" s="37"/>
    </row>
    <row r="178" spans="1:23" ht="15.75" customHeight="1" x14ac:dyDescent="0.25">
      <c r="A178" s="244"/>
      <c r="B178" s="245"/>
      <c r="C178" s="246"/>
      <c r="D178" s="37"/>
      <c r="E178" s="246"/>
      <c r="F178" s="247"/>
      <c r="G178" s="245"/>
      <c r="H178" s="246"/>
      <c r="I178" s="247"/>
      <c r="J178" s="37"/>
      <c r="K178" s="248"/>
      <c r="L178" s="248"/>
      <c r="M178" s="248"/>
      <c r="N178" s="248"/>
      <c r="O178" s="248"/>
      <c r="P178" s="249"/>
      <c r="Q178" s="250"/>
      <c r="R178" s="37"/>
      <c r="S178" s="37"/>
      <c r="T178" s="204"/>
      <c r="U178" s="37"/>
      <c r="V178" s="37"/>
      <c r="W178" s="37"/>
    </row>
    <row r="179" spans="1:23" ht="15.75" customHeight="1" x14ac:dyDescent="0.25">
      <c r="A179" s="244"/>
      <c r="B179" s="245"/>
      <c r="C179" s="246"/>
      <c r="D179" s="37"/>
      <c r="E179" s="246"/>
      <c r="F179" s="247"/>
      <c r="G179" s="245"/>
      <c r="H179" s="246"/>
      <c r="I179" s="247"/>
      <c r="J179" s="37"/>
      <c r="K179" s="248"/>
      <c r="L179" s="248"/>
      <c r="M179" s="248"/>
      <c r="N179" s="248"/>
      <c r="O179" s="248"/>
      <c r="P179" s="249"/>
      <c r="Q179" s="250"/>
      <c r="R179" s="37"/>
      <c r="S179" s="37"/>
      <c r="T179" s="204"/>
      <c r="U179" s="37"/>
      <c r="V179" s="37"/>
      <c r="W179" s="37"/>
    </row>
    <row r="180" spans="1:23" ht="15.75" customHeight="1" x14ac:dyDescent="0.25">
      <c r="A180" s="244"/>
      <c r="B180" s="245"/>
      <c r="C180" s="246"/>
      <c r="D180" s="37"/>
      <c r="E180" s="246"/>
      <c r="F180" s="247"/>
      <c r="G180" s="245"/>
      <c r="H180" s="246"/>
      <c r="I180" s="247"/>
      <c r="J180" s="37"/>
      <c r="K180" s="248"/>
      <c r="L180" s="248"/>
      <c r="M180" s="248"/>
      <c r="N180" s="248"/>
      <c r="O180" s="248"/>
      <c r="P180" s="249"/>
      <c r="Q180" s="250"/>
      <c r="R180" s="37"/>
      <c r="S180" s="37"/>
      <c r="T180" s="204"/>
      <c r="U180" s="37"/>
      <c r="V180" s="37"/>
      <c r="W180" s="37"/>
    </row>
    <row r="181" spans="1:23" ht="15.75" customHeight="1" x14ac:dyDescent="0.25">
      <c r="A181" s="244"/>
      <c r="B181" s="245"/>
      <c r="C181" s="246"/>
      <c r="D181" s="37"/>
      <c r="E181" s="246"/>
      <c r="F181" s="247"/>
      <c r="G181" s="245"/>
      <c r="H181" s="246"/>
      <c r="I181" s="247"/>
      <c r="J181" s="37"/>
      <c r="K181" s="248"/>
      <c r="L181" s="248"/>
      <c r="M181" s="248"/>
      <c r="N181" s="248"/>
      <c r="O181" s="248"/>
      <c r="P181" s="249"/>
      <c r="Q181" s="250"/>
      <c r="R181" s="37"/>
      <c r="S181" s="37"/>
      <c r="T181" s="204"/>
      <c r="U181" s="37"/>
      <c r="V181" s="37"/>
      <c r="W181" s="37"/>
    </row>
    <row r="182" spans="1:23" ht="15.75" customHeight="1" x14ac:dyDescent="0.25">
      <c r="A182" s="244"/>
      <c r="B182" s="245"/>
      <c r="C182" s="246"/>
      <c r="D182" s="37"/>
      <c r="E182" s="246"/>
      <c r="F182" s="247"/>
      <c r="G182" s="245"/>
      <c r="H182" s="246"/>
      <c r="I182" s="247"/>
      <c r="J182" s="37"/>
      <c r="K182" s="248"/>
      <c r="L182" s="248"/>
      <c r="M182" s="248"/>
      <c r="N182" s="248"/>
      <c r="O182" s="248"/>
      <c r="P182" s="249"/>
      <c r="Q182" s="250"/>
      <c r="R182" s="37"/>
      <c r="S182" s="37"/>
      <c r="T182" s="204"/>
      <c r="U182" s="37"/>
      <c r="V182" s="37"/>
      <c r="W182" s="37"/>
    </row>
    <row r="183" spans="1:23" ht="15.75" customHeight="1" x14ac:dyDescent="0.25">
      <c r="A183" s="244"/>
      <c r="B183" s="245"/>
      <c r="C183" s="246"/>
      <c r="D183" s="37"/>
      <c r="E183" s="246"/>
      <c r="F183" s="247"/>
      <c r="G183" s="245"/>
      <c r="H183" s="246"/>
      <c r="I183" s="247"/>
      <c r="J183" s="37"/>
      <c r="K183" s="248"/>
      <c r="L183" s="248"/>
      <c r="M183" s="248"/>
      <c r="N183" s="248"/>
      <c r="O183" s="248"/>
      <c r="P183" s="249"/>
      <c r="Q183" s="250"/>
      <c r="R183" s="37"/>
      <c r="S183" s="37"/>
      <c r="T183" s="204"/>
      <c r="U183" s="37"/>
      <c r="V183" s="37"/>
      <c r="W183" s="37"/>
    </row>
    <row r="184" spans="1:23" ht="15.75" customHeight="1" x14ac:dyDescent="0.25">
      <c r="A184" s="244"/>
      <c r="B184" s="245"/>
      <c r="C184" s="246"/>
      <c r="D184" s="37"/>
      <c r="E184" s="246"/>
      <c r="F184" s="247"/>
      <c r="G184" s="245"/>
      <c r="H184" s="246"/>
      <c r="I184" s="247"/>
      <c r="J184" s="37"/>
      <c r="K184" s="248"/>
      <c r="L184" s="248"/>
      <c r="M184" s="248"/>
      <c r="N184" s="248"/>
      <c r="O184" s="248"/>
      <c r="P184" s="249"/>
      <c r="Q184" s="250"/>
      <c r="R184" s="37"/>
      <c r="S184" s="37"/>
      <c r="T184" s="204"/>
      <c r="U184" s="37"/>
      <c r="V184" s="37"/>
      <c r="W184" s="37"/>
    </row>
    <row r="185" spans="1:23" ht="15.75" customHeight="1" x14ac:dyDescent="0.25">
      <c r="A185" s="244"/>
      <c r="B185" s="245"/>
      <c r="C185" s="246"/>
      <c r="D185" s="37"/>
      <c r="E185" s="246"/>
      <c r="F185" s="247"/>
      <c r="G185" s="245"/>
      <c r="H185" s="246"/>
      <c r="I185" s="247"/>
      <c r="J185" s="37"/>
      <c r="K185" s="248"/>
      <c r="L185" s="248"/>
      <c r="M185" s="248"/>
      <c r="N185" s="248"/>
      <c r="O185" s="248"/>
      <c r="P185" s="249"/>
      <c r="Q185" s="250"/>
      <c r="R185" s="37"/>
      <c r="S185" s="37"/>
      <c r="T185" s="204"/>
      <c r="U185" s="37"/>
      <c r="V185" s="37"/>
      <c r="W185" s="37"/>
    </row>
    <row r="186" spans="1:23" ht="15.75" customHeight="1" x14ac:dyDescent="0.25">
      <c r="A186" s="244"/>
      <c r="B186" s="245"/>
      <c r="C186" s="246"/>
      <c r="D186" s="37"/>
      <c r="E186" s="246"/>
      <c r="F186" s="247"/>
      <c r="G186" s="245"/>
      <c r="H186" s="246"/>
      <c r="I186" s="247"/>
      <c r="J186" s="37"/>
      <c r="K186" s="248"/>
      <c r="L186" s="248"/>
      <c r="M186" s="248"/>
      <c r="N186" s="248"/>
      <c r="O186" s="248"/>
      <c r="P186" s="249"/>
      <c r="Q186" s="250"/>
      <c r="R186" s="37"/>
      <c r="S186" s="37"/>
      <c r="T186" s="204"/>
      <c r="U186" s="37"/>
      <c r="V186" s="37"/>
      <c r="W186" s="37"/>
    </row>
    <row r="187" spans="1:23" ht="15.75" customHeight="1" x14ac:dyDescent="0.25">
      <c r="A187" s="244"/>
      <c r="B187" s="245"/>
      <c r="C187" s="246"/>
      <c r="D187" s="37"/>
      <c r="E187" s="246"/>
      <c r="F187" s="247"/>
      <c r="G187" s="245"/>
      <c r="H187" s="246"/>
      <c r="I187" s="247"/>
      <c r="J187" s="37"/>
      <c r="K187" s="248"/>
      <c r="L187" s="248"/>
      <c r="M187" s="248"/>
      <c r="N187" s="248"/>
      <c r="O187" s="248"/>
      <c r="P187" s="249"/>
      <c r="Q187" s="250"/>
      <c r="R187" s="37"/>
      <c r="S187" s="37"/>
      <c r="T187" s="204"/>
      <c r="U187" s="37"/>
      <c r="V187" s="37"/>
      <c r="W187" s="37"/>
    </row>
    <row r="188" spans="1:23" ht="15.75" customHeight="1" x14ac:dyDescent="0.25">
      <c r="A188" s="244"/>
      <c r="B188" s="245"/>
      <c r="C188" s="246"/>
      <c r="D188" s="37"/>
      <c r="E188" s="246"/>
      <c r="F188" s="247"/>
      <c r="G188" s="245"/>
      <c r="H188" s="246"/>
      <c r="I188" s="247"/>
      <c r="J188" s="37"/>
      <c r="K188" s="248"/>
      <c r="L188" s="248"/>
      <c r="M188" s="248"/>
      <c r="N188" s="248"/>
      <c r="O188" s="248"/>
      <c r="P188" s="249"/>
      <c r="Q188" s="250"/>
      <c r="R188" s="37"/>
      <c r="S188" s="37"/>
      <c r="T188" s="204"/>
      <c r="U188" s="37"/>
      <c r="V188" s="37"/>
      <c r="W188" s="37"/>
    </row>
    <row r="189" spans="1:23" ht="15.75" customHeight="1" x14ac:dyDescent="0.25">
      <c r="A189" s="244"/>
      <c r="B189" s="245"/>
      <c r="C189" s="246"/>
      <c r="D189" s="37"/>
      <c r="E189" s="246"/>
      <c r="F189" s="247"/>
      <c r="G189" s="245"/>
      <c r="H189" s="246"/>
      <c r="I189" s="247"/>
      <c r="J189" s="37"/>
      <c r="K189" s="248"/>
      <c r="L189" s="248"/>
      <c r="M189" s="248"/>
      <c r="N189" s="248"/>
      <c r="O189" s="248"/>
      <c r="P189" s="249"/>
      <c r="Q189" s="250"/>
      <c r="R189" s="37"/>
      <c r="S189" s="37"/>
      <c r="T189" s="204"/>
      <c r="U189" s="37"/>
      <c r="V189" s="37"/>
      <c r="W189" s="37"/>
    </row>
    <row r="190" spans="1:23" ht="15.75" customHeight="1" x14ac:dyDescent="0.25">
      <c r="A190" s="244"/>
      <c r="B190" s="245"/>
      <c r="C190" s="246"/>
      <c r="D190" s="37"/>
      <c r="E190" s="246"/>
      <c r="F190" s="247"/>
      <c r="G190" s="245"/>
      <c r="H190" s="246"/>
      <c r="I190" s="247"/>
      <c r="J190" s="37"/>
      <c r="K190" s="248"/>
      <c r="L190" s="248"/>
      <c r="M190" s="248"/>
      <c r="N190" s="248"/>
      <c r="O190" s="248"/>
      <c r="P190" s="249"/>
      <c r="Q190" s="250"/>
      <c r="R190" s="37"/>
      <c r="S190" s="37"/>
      <c r="T190" s="204"/>
      <c r="U190" s="37"/>
      <c r="V190" s="37"/>
      <c r="W190" s="37"/>
    </row>
    <row r="191" spans="1:23" ht="15.75" customHeight="1" x14ac:dyDescent="0.25">
      <c r="A191" s="244"/>
      <c r="B191" s="245"/>
      <c r="C191" s="246"/>
      <c r="D191" s="37"/>
      <c r="E191" s="246"/>
      <c r="F191" s="247"/>
      <c r="G191" s="245"/>
      <c r="H191" s="246"/>
      <c r="I191" s="247"/>
      <c r="J191" s="37"/>
      <c r="K191" s="248"/>
      <c r="L191" s="248"/>
      <c r="M191" s="248"/>
      <c r="N191" s="248"/>
      <c r="O191" s="248"/>
      <c r="P191" s="249"/>
      <c r="Q191" s="250"/>
      <c r="R191" s="37"/>
      <c r="S191" s="37"/>
      <c r="T191" s="204"/>
      <c r="U191" s="37"/>
      <c r="V191" s="37"/>
      <c r="W191" s="37"/>
    </row>
    <row r="192" spans="1:23" ht="15.75" customHeight="1" x14ac:dyDescent="0.25">
      <c r="A192" s="244"/>
      <c r="B192" s="245"/>
      <c r="C192" s="246"/>
      <c r="D192" s="37"/>
      <c r="E192" s="246"/>
      <c r="F192" s="247"/>
      <c r="G192" s="245"/>
      <c r="H192" s="246"/>
      <c r="I192" s="247"/>
      <c r="J192" s="37"/>
      <c r="K192" s="248"/>
      <c r="L192" s="248"/>
      <c r="M192" s="248"/>
      <c r="N192" s="248"/>
      <c r="O192" s="248"/>
      <c r="P192" s="249"/>
      <c r="Q192" s="250"/>
      <c r="R192" s="37"/>
      <c r="S192" s="37"/>
      <c r="T192" s="204"/>
      <c r="U192" s="37"/>
      <c r="V192" s="37"/>
      <c r="W192" s="37"/>
    </row>
    <row r="193" spans="1:23" ht="15.75" customHeight="1" x14ac:dyDescent="0.25">
      <c r="A193" s="244"/>
      <c r="B193" s="245"/>
      <c r="C193" s="246"/>
      <c r="D193" s="37"/>
      <c r="E193" s="246"/>
      <c r="F193" s="247"/>
      <c r="G193" s="245"/>
      <c r="H193" s="246"/>
      <c r="I193" s="247"/>
      <c r="J193" s="37"/>
      <c r="K193" s="248"/>
      <c r="L193" s="248"/>
      <c r="M193" s="248"/>
      <c r="N193" s="248"/>
      <c r="O193" s="248"/>
      <c r="P193" s="249"/>
      <c r="Q193" s="250"/>
      <c r="R193" s="37"/>
      <c r="S193" s="37"/>
      <c r="T193" s="204"/>
      <c r="U193" s="37"/>
      <c r="V193" s="37"/>
      <c r="W193" s="37"/>
    </row>
    <row r="194" spans="1:23" ht="15.75" customHeight="1" x14ac:dyDescent="0.25">
      <c r="A194" s="244"/>
      <c r="B194" s="245"/>
      <c r="C194" s="246"/>
      <c r="D194" s="37"/>
      <c r="E194" s="246"/>
      <c r="F194" s="247"/>
      <c r="G194" s="245"/>
      <c r="H194" s="246"/>
      <c r="I194" s="247"/>
      <c r="J194" s="37"/>
      <c r="K194" s="248"/>
      <c r="L194" s="248"/>
      <c r="M194" s="248"/>
      <c r="N194" s="248"/>
      <c r="O194" s="248"/>
      <c r="P194" s="249"/>
      <c r="Q194" s="250"/>
      <c r="R194" s="37"/>
      <c r="S194" s="37"/>
      <c r="T194" s="204"/>
      <c r="U194" s="37"/>
      <c r="V194" s="37"/>
      <c r="W194" s="37"/>
    </row>
    <row r="195" spans="1:23" ht="15.75" customHeight="1" x14ac:dyDescent="0.25">
      <c r="A195" s="244"/>
      <c r="B195" s="245"/>
      <c r="C195" s="246"/>
      <c r="D195" s="37"/>
      <c r="E195" s="246"/>
      <c r="F195" s="247"/>
      <c r="G195" s="245"/>
      <c r="H195" s="246"/>
      <c r="I195" s="247"/>
      <c r="J195" s="37"/>
      <c r="K195" s="248"/>
      <c r="L195" s="248"/>
      <c r="M195" s="248"/>
      <c r="N195" s="248"/>
      <c r="O195" s="248"/>
      <c r="P195" s="249"/>
      <c r="Q195" s="250"/>
      <c r="R195" s="37"/>
      <c r="S195" s="37"/>
      <c r="T195" s="204"/>
      <c r="U195" s="37"/>
      <c r="V195" s="37"/>
      <c r="W195" s="37"/>
    </row>
    <row r="196" spans="1:23" ht="15.75" customHeight="1" x14ac:dyDescent="0.25">
      <c r="A196" s="244"/>
      <c r="B196" s="245"/>
      <c r="C196" s="246"/>
      <c r="D196" s="37"/>
      <c r="E196" s="246"/>
      <c r="F196" s="247"/>
      <c r="G196" s="245"/>
      <c r="H196" s="246"/>
      <c r="I196" s="247"/>
      <c r="J196" s="37"/>
      <c r="K196" s="248"/>
      <c r="L196" s="248"/>
      <c r="M196" s="248"/>
      <c r="N196" s="248"/>
      <c r="O196" s="248"/>
      <c r="P196" s="249"/>
      <c r="Q196" s="250"/>
      <c r="R196" s="37"/>
      <c r="S196" s="37"/>
      <c r="T196" s="204"/>
      <c r="U196" s="37"/>
      <c r="V196" s="37"/>
      <c r="W196" s="37"/>
    </row>
    <row r="197" spans="1:23" ht="15.75" customHeight="1" x14ac:dyDescent="0.25">
      <c r="A197" s="244"/>
      <c r="B197" s="245"/>
      <c r="C197" s="246"/>
      <c r="D197" s="37"/>
      <c r="E197" s="246"/>
      <c r="F197" s="247"/>
      <c r="G197" s="245"/>
      <c r="H197" s="246"/>
      <c r="I197" s="247"/>
      <c r="J197" s="37"/>
      <c r="K197" s="248"/>
      <c r="L197" s="248"/>
      <c r="M197" s="248"/>
      <c r="N197" s="248"/>
      <c r="O197" s="248"/>
      <c r="P197" s="249"/>
      <c r="Q197" s="250"/>
      <c r="R197" s="37"/>
      <c r="S197" s="37"/>
      <c r="T197" s="204"/>
      <c r="U197" s="37"/>
      <c r="V197" s="37"/>
      <c r="W197" s="37"/>
    </row>
    <row r="198" spans="1:23" ht="15.75" customHeight="1" x14ac:dyDescent="0.25">
      <c r="A198" s="244"/>
      <c r="B198" s="245"/>
      <c r="C198" s="246"/>
      <c r="D198" s="37"/>
      <c r="E198" s="246"/>
      <c r="F198" s="247"/>
      <c r="G198" s="245"/>
      <c r="H198" s="246"/>
      <c r="I198" s="247"/>
      <c r="J198" s="37"/>
      <c r="K198" s="248"/>
      <c r="L198" s="248"/>
      <c r="M198" s="248"/>
      <c r="N198" s="248"/>
      <c r="O198" s="248"/>
      <c r="P198" s="249"/>
      <c r="Q198" s="250"/>
      <c r="R198" s="37"/>
      <c r="S198" s="37"/>
      <c r="T198" s="204"/>
      <c r="U198" s="37"/>
      <c r="V198" s="37"/>
      <c r="W198" s="37"/>
    </row>
    <row r="199" spans="1:23" ht="15.75" customHeight="1" x14ac:dyDescent="0.25">
      <c r="A199" s="244"/>
      <c r="B199" s="245"/>
      <c r="C199" s="246"/>
      <c r="D199" s="37"/>
      <c r="E199" s="246"/>
      <c r="F199" s="247"/>
      <c r="G199" s="245"/>
      <c r="H199" s="246"/>
      <c r="I199" s="247"/>
      <c r="J199" s="37"/>
      <c r="K199" s="248"/>
      <c r="L199" s="248"/>
      <c r="M199" s="248"/>
      <c r="N199" s="248"/>
      <c r="O199" s="248"/>
      <c r="P199" s="249"/>
      <c r="Q199" s="250"/>
      <c r="R199" s="37"/>
      <c r="S199" s="37"/>
      <c r="T199" s="204"/>
      <c r="U199" s="37"/>
      <c r="V199" s="37"/>
      <c r="W199" s="37"/>
    </row>
    <row r="200" spans="1:23" ht="15.75" customHeight="1" x14ac:dyDescent="0.25">
      <c r="A200" s="244"/>
      <c r="B200" s="245"/>
      <c r="C200" s="246"/>
      <c r="D200" s="37"/>
      <c r="E200" s="246"/>
      <c r="F200" s="247"/>
      <c r="G200" s="245"/>
      <c r="H200" s="246"/>
      <c r="I200" s="247"/>
      <c r="J200" s="37"/>
      <c r="K200" s="248"/>
      <c r="L200" s="248"/>
      <c r="M200" s="248"/>
      <c r="N200" s="248"/>
      <c r="O200" s="248"/>
      <c r="P200" s="249"/>
      <c r="Q200" s="250"/>
      <c r="R200" s="37"/>
      <c r="S200" s="37"/>
      <c r="T200" s="204"/>
      <c r="U200" s="37"/>
      <c r="V200" s="37"/>
      <c r="W200" s="37"/>
    </row>
    <row r="201" spans="1:23" ht="15.75" customHeight="1" x14ac:dyDescent="0.25">
      <c r="A201" s="244"/>
      <c r="B201" s="245"/>
      <c r="C201" s="246"/>
      <c r="D201" s="37"/>
      <c r="E201" s="246"/>
      <c r="F201" s="247"/>
      <c r="G201" s="245"/>
      <c r="H201" s="246"/>
      <c r="I201" s="247"/>
      <c r="J201" s="37"/>
      <c r="K201" s="248"/>
      <c r="L201" s="248"/>
      <c r="M201" s="248"/>
      <c r="N201" s="248"/>
      <c r="O201" s="248"/>
      <c r="P201" s="249"/>
      <c r="Q201" s="250"/>
      <c r="R201" s="37"/>
      <c r="S201" s="37"/>
      <c r="T201" s="204"/>
      <c r="U201" s="37"/>
      <c r="V201" s="37"/>
      <c r="W201" s="37"/>
    </row>
    <row r="202" spans="1:23" ht="15.75" customHeight="1" x14ac:dyDescent="0.25">
      <c r="A202" s="244"/>
      <c r="B202" s="245"/>
      <c r="C202" s="246"/>
      <c r="D202" s="37"/>
      <c r="E202" s="246"/>
      <c r="F202" s="247"/>
      <c r="G202" s="245"/>
      <c r="H202" s="246"/>
      <c r="I202" s="247"/>
      <c r="J202" s="37"/>
      <c r="K202" s="248"/>
      <c r="L202" s="248"/>
      <c r="M202" s="248"/>
      <c r="N202" s="248"/>
      <c r="O202" s="248"/>
      <c r="P202" s="249"/>
      <c r="Q202" s="250"/>
      <c r="R202" s="37"/>
      <c r="S202" s="37"/>
      <c r="T202" s="204"/>
      <c r="U202" s="37"/>
      <c r="V202" s="37"/>
      <c r="W202" s="37"/>
    </row>
    <row r="203" spans="1:23" ht="15.75" customHeight="1" x14ac:dyDescent="0.25">
      <c r="A203" s="244"/>
      <c r="B203" s="245"/>
      <c r="C203" s="246"/>
      <c r="D203" s="37"/>
      <c r="E203" s="246"/>
      <c r="F203" s="247"/>
      <c r="G203" s="245"/>
      <c r="H203" s="246"/>
      <c r="I203" s="247"/>
      <c r="J203" s="37"/>
      <c r="K203" s="248"/>
      <c r="L203" s="248"/>
      <c r="M203" s="248"/>
      <c r="N203" s="248"/>
      <c r="O203" s="248"/>
      <c r="P203" s="249"/>
      <c r="Q203" s="250"/>
      <c r="R203" s="37"/>
      <c r="S203" s="37"/>
      <c r="T203" s="204"/>
      <c r="U203" s="37"/>
      <c r="V203" s="37"/>
      <c r="W203" s="37"/>
    </row>
    <row r="204" spans="1:23" ht="15.75" customHeight="1" x14ac:dyDescent="0.25">
      <c r="A204" s="244"/>
      <c r="B204" s="245"/>
      <c r="C204" s="246"/>
      <c r="D204" s="37"/>
      <c r="E204" s="246"/>
      <c r="F204" s="247"/>
      <c r="G204" s="245"/>
      <c r="H204" s="246"/>
      <c r="I204" s="247"/>
      <c r="J204" s="37"/>
      <c r="K204" s="248"/>
      <c r="L204" s="248"/>
      <c r="M204" s="248"/>
      <c r="N204" s="248"/>
      <c r="O204" s="248"/>
      <c r="P204" s="249"/>
      <c r="Q204" s="250"/>
      <c r="R204" s="37"/>
      <c r="S204" s="37"/>
      <c r="T204" s="204"/>
      <c r="U204" s="37"/>
      <c r="V204" s="37"/>
      <c r="W204" s="37"/>
    </row>
    <row r="205" spans="1:23" ht="15.75" customHeight="1" x14ac:dyDescent="0.25">
      <c r="A205" s="244"/>
      <c r="B205" s="245"/>
      <c r="C205" s="246"/>
      <c r="D205" s="37"/>
      <c r="E205" s="246"/>
      <c r="F205" s="247"/>
      <c r="G205" s="245"/>
      <c r="H205" s="246"/>
      <c r="I205" s="247"/>
      <c r="J205" s="37"/>
      <c r="K205" s="248"/>
      <c r="L205" s="248"/>
      <c r="M205" s="248"/>
      <c r="N205" s="248"/>
      <c r="O205" s="248"/>
      <c r="P205" s="249"/>
      <c r="Q205" s="250"/>
      <c r="R205" s="37"/>
      <c r="S205" s="37"/>
      <c r="T205" s="204"/>
      <c r="U205" s="37"/>
      <c r="V205" s="37"/>
      <c r="W205" s="37"/>
    </row>
    <row r="206" spans="1:23" ht="15.75" customHeight="1" x14ac:dyDescent="0.25">
      <c r="A206" s="244"/>
      <c r="B206" s="245"/>
      <c r="C206" s="246"/>
      <c r="D206" s="37"/>
      <c r="E206" s="246"/>
      <c r="F206" s="247"/>
      <c r="G206" s="245"/>
      <c r="H206" s="246"/>
      <c r="I206" s="247"/>
      <c r="J206" s="37"/>
      <c r="K206" s="248"/>
      <c r="L206" s="248"/>
      <c r="M206" s="248"/>
      <c r="N206" s="248"/>
      <c r="O206" s="248"/>
      <c r="P206" s="249"/>
      <c r="Q206" s="250"/>
      <c r="R206" s="37"/>
      <c r="S206" s="37"/>
      <c r="T206" s="204"/>
      <c r="U206" s="37"/>
      <c r="V206" s="37"/>
      <c r="W206" s="37"/>
    </row>
    <row r="207" spans="1:23" ht="15.75" customHeight="1" x14ac:dyDescent="0.25">
      <c r="A207" s="244"/>
      <c r="B207" s="245"/>
      <c r="C207" s="246"/>
      <c r="D207" s="37"/>
      <c r="E207" s="246"/>
      <c r="F207" s="247"/>
      <c r="G207" s="245"/>
      <c r="H207" s="246"/>
      <c r="I207" s="247"/>
      <c r="J207" s="37"/>
      <c r="K207" s="248"/>
      <c r="L207" s="248"/>
      <c r="M207" s="248"/>
      <c r="N207" s="248"/>
      <c r="O207" s="248"/>
      <c r="P207" s="249"/>
      <c r="Q207" s="250"/>
      <c r="R207" s="37"/>
      <c r="S207" s="37"/>
      <c r="T207" s="204"/>
      <c r="U207" s="37"/>
      <c r="V207" s="37"/>
      <c r="W207" s="37"/>
    </row>
    <row r="208" spans="1:23" ht="15.75" customHeight="1" x14ac:dyDescent="0.25">
      <c r="A208" s="244"/>
      <c r="B208" s="245"/>
      <c r="C208" s="246"/>
      <c r="D208" s="37"/>
      <c r="E208" s="246"/>
      <c r="F208" s="247"/>
      <c r="G208" s="245"/>
      <c r="H208" s="246"/>
      <c r="I208" s="247"/>
      <c r="J208" s="37"/>
      <c r="K208" s="248"/>
      <c r="L208" s="248"/>
      <c r="M208" s="248"/>
      <c r="N208" s="248"/>
      <c r="O208" s="248"/>
      <c r="P208" s="249"/>
      <c r="Q208" s="250"/>
      <c r="R208" s="37"/>
      <c r="S208" s="37"/>
      <c r="T208" s="204"/>
      <c r="U208" s="37"/>
      <c r="V208" s="37"/>
      <c r="W208" s="37"/>
    </row>
    <row r="209" spans="1:23" ht="15.75" customHeight="1" x14ac:dyDescent="0.25">
      <c r="A209" s="244"/>
      <c r="B209" s="245"/>
      <c r="C209" s="246"/>
      <c r="D209" s="37"/>
      <c r="E209" s="246"/>
      <c r="F209" s="247"/>
      <c r="G209" s="245"/>
      <c r="H209" s="246"/>
      <c r="I209" s="247"/>
      <c r="J209" s="37"/>
      <c r="K209" s="248"/>
      <c r="L209" s="248"/>
      <c r="M209" s="248"/>
      <c r="N209" s="248"/>
      <c r="O209" s="248"/>
      <c r="P209" s="249"/>
      <c r="Q209" s="250"/>
      <c r="R209" s="37"/>
      <c r="S209" s="37"/>
      <c r="T209" s="204"/>
      <c r="U209" s="37"/>
      <c r="V209" s="37"/>
      <c r="W209" s="37"/>
    </row>
    <row r="210" spans="1:23" ht="15.75" customHeight="1" x14ac:dyDescent="0.25">
      <c r="A210" s="244"/>
      <c r="B210" s="245"/>
      <c r="C210" s="246"/>
      <c r="D210" s="37"/>
      <c r="E210" s="246"/>
      <c r="F210" s="247"/>
      <c r="G210" s="245"/>
      <c r="H210" s="246"/>
      <c r="I210" s="247"/>
      <c r="J210" s="37"/>
      <c r="K210" s="248"/>
      <c r="L210" s="248"/>
      <c r="M210" s="248"/>
      <c r="N210" s="248"/>
      <c r="O210" s="248"/>
      <c r="P210" s="249"/>
      <c r="Q210" s="250"/>
      <c r="R210" s="37"/>
      <c r="S210" s="37"/>
      <c r="T210" s="204"/>
      <c r="U210" s="37"/>
      <c r="V210" s="37"/>
      <c r="W210" s="37"/>
    </row>
    <row r="211" spans="1:23" ht="15.75" customHeight="1" x14ac:dyDescent="0.25">
      <c r="A211" s="244"/>
      <c r="B211" s="245"/>
      <c r="C211" s="246"/>
      <c r="D211" s="37"/>
      <c r="E211" s="246"/>
      <c r="F211" s="247"/>
      <c r="G211" s="245"/>
      <c r="H211" s="246"/>
      <c r="I211" s="247"/>
      <c r="J211" s="37"/>
      <c r="K211" s="248"/>
      <c r="L211" s="248"/>
      <c r="M211" s="248"/>
      <c r="N211" s="248"/>
      <c r="O211" s="248"/>
      <c r="P211" s="249"/>
      <c r="Q211" s="250"/>
      <c r="R211" s="37"/>
      <c r="S211" s="37"/>
      <c r="T211" s="204"/>
      <c r="U211" s="37"/>
      <c r="V211" s="37"/>
      <c r="W211" s="37"/>
    </row>
    <row r="212" spans="1:23" ht="15.75" customHeight="1" x14ac:dyDescent="0.25">
      <c r="A212" s="244"/>
      <c r="B212" s="245"/>
      <c r="C212" s="246"/>
      <c r="D212" s="37"/>
      <c r="E212" s="246"/>
      <c r="F212" s="247"/>
      <c r="G212" s="245"/>
      <c r="H212" s="246"/>
      <c r="I212" s="247"/>
      <c r="J212" s="37"/>
      <c r="K212" s="248"/>
      <c r="L212" s="248"/>
      <c r="M212" s="248"/>
      <c r="N212" s="248"/>
      <c r="O212" s="248"/>
      <c r="P212" s="249"/>
      <c r="Q212" s="250"/>
      <c r="R212" s="37"/>
      <c r="S212" s="37"/>
      <c r="T212" s="204"/>
      <c r="U212" s="37"/>
      <c r="V212" s="37"/>
      <c r="W212" s="37"/>
    </row>
    <row r="213" spans="1:23" ht="15.75" customHeight="1" x14ac:dyDescent="0.25">
      <c r="A213" s="244"/>
      <c r="B213" s="245"/>
      <c r="C213" s="246"/>
      <c r="D213" s="37"/>
      <c r="E213" s="246"/>
      <c r="F213" s="247"/>
      <c r="G213" s="245"/>
      <c r="H213" s="246"/>
      <c r="I213" s="247"/>
      <c r="J213" s="37"/>
      <c r="K213" s="248"/>
      <c r="L213" s="248"/>
      <c r="M213" s="248"/>
      <c r="N213" s="248"/>
      <c r="O213" s="248"/>
      <c r="P213" s="249"/>
      <c r="Q213" s="250"/>
      <c r="R213" s="37"/>
      <c r="S213" s="37"/>
      <c r="T213" s="204"/>
      <c r="U213" s="37"/>
      <c r="V213" s="37"/>
      <c r="W213" s="37"/>
    </row>
    <row r="214" spans="1:23" ht="15.75" customHeight="1" x14ac:dyDescent="0.25">
      <c r="A214" s="244"/>
      <c r="B214" s="245"/>
      <c r="C214" s="246"/>
      <c r="D214" s="37"/>
      <c r="E214" s="246"/>
      <c r="F214" s="247"/>
      <c r="G214" s="245"/>
      <c r="H214" s="246"/>
      <c r="I214" s="247"/>
      <c r="J214" s="37"/>
      <c r="K214" s="248"/>
      <c r="L214" s="248"/>
      <c r="M214" s="248"/>
      <c r="N214" s="248"/>
      <c r="O214" s="248"/>
      <c r="P214" s="249"/>
      <c r="Q214" s="250"/>
      <c r="R214" s="37"/>
      <c r="S214" s="37"/>
      <c r="T214" s="204"/>
      <c r="U214" s="37"/>
      <c r="V214" s="37"/>
      <c r="W214" s="37"/>
    </row>
    <row r="215" spans="1:23" ht="15.75" customHeight="1" x14ac:dyDescent="0.25">
      <c r="A215" s="244"/>
      <c r="B215" s="245"/>
      <c r="C215" s="246"/>
      <c r="D215" s="37"/>
      <c r="E215" s="246"/>
      <c r="F215" s="247"/>
      <c r="G215" s="245"/>
      <c r="H215" s="246"/>
      <c r="I215" s="247"/>
      <c r="J215" s="37"/>
      <c r="K215" s="248"/>
      <c r="L215" s="248"/>
      <c r="M215" s="248"/>
      <c r="N215" s="248"/>
      <c r="O215" s="248"/>
      <c r="P215" s="249"/>
      <c r="Q215" s="250"/>
      <c r="R215" s="37"/>
      <c r="S215" s="37"/>
      <c r="T215" s="204"/>
      <c r="U215" s="37"/>
      <c r="V215" s="37"/>
      <c r="W215" s="37"/>
    </row>
    <row r="216" spans="1:23" ht="15.75" customHeight="1" x14ac:dyDescent="0.25">
      <c r="A216" s="244"/>
      <c r="B216" s="245"/>
      <c r="C216" s="246"/>
      <c r="D216" s="37"/>
      <c r="E216" s="246"/>
      <c r="F216" s="247"/>
      <c r="G216" s="245"/>
      <c r="H216" s="246"/>
      <c r="I216" s="247"/>
      <c r="J216" s="37"/>
      <c r="K216" s="248"/>
      <c r="L216" s="248"/>
      <c r="M216" s="248"/>
      <c r="N216" s="248"/>
      <c r="O216" s="248"/>
      <c r="P216" s="249"/>
      <c r="Q216" s="250"/>
      <c r="R216" s="37"/>
      <c r="S216" s="37"/>
      <c r="T216" s="204"/>
      <c r="U216" s="37"/>
      <c r="V216" s="37"/>
      <c r="W216" s="37"/>
    </row>
    <row r="217" spans="1:23" ht="15.75" customHeight="1" x14ac:dyDescent="0.25">
      <c r="A217" s="244"/>
      <c r="B217" s="245"/>
      <c r="C217" s="246"/>
      <c r="D217" s="37"/>
      <c r="E217" s="246"/>
      <c r="F217" s="247"/>
      <c r="G217" s="245"/>
      <c r="H217" s="246"/>
      <c r="I217" s="247"/>
      <c r="J217" s="37"/>
      <c r="K217" s="248"/>
      <c r="L217" s="248"/>
      <c r="M217" s="248"/>
      <c r="N217" s="248"/>
      <c r="O217" s="248"/>
      <c r="P217" s="249"/>
      <c r="Q217" s="250"/>
      <c r="R217" s="37"/>
      <c r="S217" s="37"/>
      <c r="T217" s="204"/>
      <c r="U217" s="37"/>
      <c r="V217" s="37"/>
      <c r="W217" s="37"/>
    </row>
    <row r="218" spans="1:23" ht="15.75" customHeight="1" x14ac:dyDescent="0.25">
      <c r="A218" s="244"/>
      <c r="B218" s="245"/>
      <c r="C218" s="246"/>
      <c r="D218" s="37"/>
      <c r="E218" s="246"/>
      <c r="F218" s="247"/>
      <c r="G218" s="245"/>
      <c r="H218" s="246"/>
      <c r="I218" s="247"/>
      <c r="J218" s="37"/>
      <c r="K218" s="248"/>
      <c r="L218" s="248"/>
      <c r="M218" s="248"/>
      <c r="N218" s="248"/>
      <c r="O218" s="248"/>
      <c r="P218" s="249"/>
      <c r="Q218" s="250"/>
      <c r="R218" s="37"/>
      <c r="S218" s="37"/>
      <c r="T218" s="204"/>
      <c r="U218" s="37"/>
      <c r="V218" s="37"/>
      <c r="W218" s="37"/>
    </row>
    <row r="219" spans="1:23" ht="15.75" customHeight="1" x14ac:dyDescent="0.25">
      <c r="A219" s="244"/>
      <c r="B219" s="245"/>
      <c r="C219" s="246"/>
      <c r="D219" s="37"/>
      <c r="E219" s="246"/>
      <c r="F219" s="247"/>
      <c r="G219" s="245"/>
      <c r="H219" s="246"/>
      <c r="I219" s="247"/>
      <c r="J219" s="37"/>
      <c r="K219" s="248"/>
      <c r="L219" s="248"/>
      <c r="M219" s="248"/>
      <c r="N219" s="248"/>
      <c r="O219" s="248"/>
      <c r="P219" s="249"/>
      <c r="Q219" s="250"/>
      <c r="R219" s="37"/>
      <c r="S219" s="37"/>
      <c r="T219" s="204"/>
      <c r="U219" s="37"/>
      <c r="V219" s="37"/>
      <c r="W219" s="37"/>
    </row>
    <row r="220" spans="1:23" ht="15.75" customHeight="1" x14ac:dyDescent="0.25">
      <c r="A220" s="244"/>
      <c r="B220" s="245"/>
      <c r="C220" s="246"/>
      <c r="D220" s="37"/>
      <c r="E220" s="246"/>
      <c r="F220" s="247"/>
      <c r="G220" s="245"/>
      <c r="H220" s="246"/>
      <c r="I220" s="247"/>
      <c r="J220" s="37"/>
      <c r="K220" s="248"/>
      <c r="L220" s="248"/>
      <c r="M220" s="248"/>
      <c r="N220" s="248"/>
      <c r="O220" s="248"/>
      <c r="P220" s="249"/>
      <c r="Q220" s="250"/>
      <c r="R220" s="37"/>
      <c r="S220" s="37"/>
      <c r="T220" s="204"/>
      <c r="U220" s="37"/>
      <c r="V220" s="37"/>
      <c r="W220" s="37"/>
    </row>
    <row r="221" spans="1:23" ht="15.75" customHeight="1" x14ac:dyDescent="0.25">
      <c r="A221" s="244"/>
      <c r="B221" s="245"/>
      <c r="C221" s="246"/>
      <c r="D221" s="37"/>
      <c r="E221" s="246"/>
      <c r="F221" s="247"/>
      <c r="G221" s="245"/>
      <c r="H221" s="246"/>
      <c r="I221" s="247"/>
      <c r="J221" s="37"/>
      <c r="K221" s="248"/>
      <c r="L221" s="248"/>
      <c r="M221" s="248"/>
      <c r="N221" s="248"/>
      <c r="O221" s="248"/>
      <c r="P221" s="249"/>
      <c r="Q221" s="250"/>
      <c r="R221" s="37"/>
      <c r="S221" s="37"/>
      <c r="T221" s="204"/>
      <c r="U221" s="37"/>
      <c r="V221" s="37"/>
      <c r="W221" s="37"/>
    </row>
    <row r="222" spans="1:23" ht="15.75" customHeight="1" x14ac:dyDescent="0.25">
      <c r="A222" s="244"/>
      <c r="B222" s="245"/>
      <c r="C222" s="246"/>
      <c r="D222" s="37"/>
      <c r="E222" s="246"/>
      <c r="F222" s="247"/>
      <c r="G222" s="245"/>
      <c r="H222" s="246"/>
      <c r="I222" s="247"/>
      <c r="J222" s="37"/>
      <c r="K222" s="248"/>
      <c r="L222" s="248"/>
      <c r="M222" s="248"/>
      <c r="N222" s="248"/>
      <c r="O222" s="248"/>
      <c r="P222" s="249"/>
      <c r="Q222" s="250"/>
      <c r="R222" s="37"/>
      <c r="S222" s="37"/>
      <c r="T222" s="204"/>
      <c r="U222" s="37"/>
      <c r="V222" s="37"/>
      <c r="W222" s="37"/>
    </row>
    <row r="223" spans="1:23" ht="15.75" customHeight="1" x14ac:dyDescent="0.25">
      <c r="A223" s="244"/>
      <c r="B223" s="245"/>
      <c r="C223" s="246"/>
      <c r="D223" s="37"/>
      <c r="E223" s="246"/>
      <c r="F223" s="247"/>
      <c r="G223" s="245"/>
      <c r="H223" s="246"/>
      <c r="I223" s="247"/>
      <c r="J223" s="37"/>
      <c r="K223" s="248"/>
      <c r="L223" s="248"/>
      <c r="M223" s="248"/>
      <c r="N223" s="248"/>
      <c r="O223" s="248"/>
      <c r="P223" s="249"/>
      <c r="Q223" s="250"/>
      <c r="R223" s="37"/>
      <c r="S223" s="37"/>
      <c r="T223" s="204"/>
      <c r="U223" s="37"/>
      <c r="V223" s="37"/>
      <c r="W223" s="37"/>
    </row>
    <row r="224" spans="1:23" ht="15.75" customHeight="1" x14ac:dyDescent="0.25">
      <c r="A224" s="244"/>
      <c r="B224" s="245"/>
      <c r="C224" s="246"/>
      <c r="D224" s="37"/>
      <c r="E224" s="246"/>
      <c r="F224" s="247"/>
      <c r="G224" s="245"/>
      <c r="H224" s="246"/>
      <c r="I224" s="247"/>
      <c r="J224" s="37"/>
      <c r="K224" s="248"/>
      <c r="L224" s="248"/>
      <c r="M224" s="248"/>
      <c r="N224" s="248"/>
      <c r="O224" s="248"/>
      <c r="P224" s="249"/>
      <c r="Q224" s="250"/>
      <c r="R224" s="37"/>
      <c r="S224" s="37"/>
      <c r="T224" s="204"/>
      <c r="U224" s="37"/>
      <c r="V224" s="37"/>
      <c r="W224" s="37"/>
    </row>
    <row r="225" spans="1:23" ht="15.75" customHeight="1" x14ac:dyDescent="0.25">
      <c r="A225" s="244"/>
      <c r="B225" s="245"/>
      <c r="C225" s="246"/>
      <c r="D225" s="37"/>
      <c r="E225" s="246"/>
      <c r="F225" s="247"/>
      <c r="G225" s="245"/>
      <c r="H225" s="246"/>
      <c r="I225" s="247"/>
      <c r="J225" s="37"/>
      <c r="K225" s="248"/>
      <c r="L225" s="248"/>
      <c r="M225" s="248"/>
      <c r="N225" s="248"/>
      <c r="O225" s="248"/>
      <c r="P225" s="249"/>
      <c r="Q225" s="250"/>
      <c r="R225" s="37"/>
      <c r="S225" s="37"/>
      <c r="T225" s="204"/>
      <c r="U225" s="37"/>
      <c r="V225" s="37"/>
      <c r="W225" s="37"/>
    </row>
    <row r="226" spans="1:23" ht="15.75" customHeight="1" x14ac:dyDescent="0.25">
      <c r="A226" s="244"/>
      <c r="B226" s="245"/>
      <c r="C226" s="246"/>
      <c r="D226" s="37"/>
      <c r="E226" s="246"/>
      <c r="F226" s="247"/>
      <c r="G226" s="245"/>
      <c r="H226" s="246"/>
      <c r="I226" s="247"/>
      <c r="J226" s="37"/>
      <c r="K226" s="248"/>
      <c r="L226" s="248"/>
      <c r="M226" s="248"/>
      <c r="N226" s="248"/>
      <c r="O226" s="248"/>
      <c r="P226" s="249"/>
      <c r="Q226" s="250"/>
      <c r="R226" s="37"/>
      <c r="S226" s="37"/>
      <c r="T226" s="204"/>
      <c r="U226" s="37"/>
      <c r="V226" s="37"/>
      <c r="W226" s="37"/>
    </row>
    <row r="227" spans="1:23" ht="15.75" customHeight="1" x14ac:dyDescent="0.25">
      <c r="A227" s="244"/>
      <c r="B227" s="245"/>
      <c r="C227" s="246"/>
      <c r="D227" s="37"/>
      <c r="E227" s="246"/>
      <c r="F227" s="247"/>
      <c r="G227" s="245"/>
      <c r="H227" s="246"/>
      <c r="I227" s="247"/>
      <c r="J227" s="37"/>
      <c r="K227" s="248"/>
      <c r="L227" s="248"/>
      <c r="M227" s="248"/>
      <c r="N227" s="248"/>
      <c r="O227" s="248"/>
      <c r="P227" s="249"/>
      <c r="Q227" s="250"/>
      <c r="R227" s="37"/>
      <c r="S227" s="37"/>
      <c r="T227" s="204"/>
      <c r="U227" s="37"/>
      <c r="V227" s="37"/>
      <c r="W227" s="37"/>
    </row>
    <row r="228" spans="1:23" ht="15.75" customHeight="1" x14ac:dyDescent="0.25">
      <c r="A228" s="244"/>
      <c r="B228" s="245"/>
      <c r="C228" s="246"/>
      <c r="D228" s="37"/>
      <c r="E228" s="246"/>
      <c r="F228" s="247"/>
      <c r="G228" s="245"/>
      <c r="H228" s="246"/>
      <c r="I228" s="247"/>
      <c r="J228" s="37"/>
      <c r="K228" s="248"/>
      <c r="L228" s="248"/>
      <c r="M228" s="248"/>
      <c r="N228" s="248"/>
      <c r="O228" s="248"/>
      <c r="P228" s="249"/>
      <c r="Q228" s="250"/>
      <c r="R228" s="37"/>
      <c r="S228" s="37"/>
      <c r="T228" s="204"/>
      <c r="U228" s="37"/>
      <c r="V228" s="37"/>
      <c r="W228" s="37"/>
    </row>
    <row r="229" spans="1:23" ht="15.75" customHeight="1" x14ac:dyDescent="0.25">
      <c r="A229" s="244"/>
      <c r="B229" s="245"/>
      <c r="C229" s="246"/>
      <c r="D229" s="37"/>
      <c r="E229" s="246"/>
      <c r="F229" s="247"/>
      <c r="G229" s="245"/>
      <c r="H229" s="246"/>
      <c r="I229" s="247"/>
      <c r="J229" s="37"/>
      <c r="K229" s="248"/>
      <c r="L229" s="248"/>
      <c r="M229" s="248"/>
      <c r="N229" s="248"/>
      <c r="O229" s="248"/>
      <c r="P229" s="249"/>
      <c r="Q229" s="250"/>
      <c r="R229" s="37"/>
      <c r="S229" s="37"/>
      <c r="T229" s="204"/>
      <c r="U229" s="37"/>
      <c r="V229" s="37"/>
      <c r="W229" s="37"/>
    </row>
    <row r="230" spans="1:23" ht="15.75" customHeight="1" x14ac:dyDescent="0.25">
      <c r="A230" s="244"/>
      <c r="B230" s="245"/>
      <c r="C230" s="246"/>
      <c r="D230" s="37"/>
      <c r="E230" s="246"/>
      <c r="F230" s="247"/>
      <c r="G230" s="245"/>
      <c r="H230" s="246"/>
      <c r="I230" s="247"/>
      <c r="J230" s="37"/>
      <c r="K230" s="248"/>
      <c r="L230" s="248"/>
      <c r="M230" s="248"/>
      <c r="N230" s="248"/>
      <c r="O230" s="248"/>
      <c r="P230" s="249"/>
      <c r="Q230" s="250"/>
      <c r="R230" s="37"/>
      <c r="S230" s="37"/>
      <c r="T230" s="204"/>
      <c r="U230" s="37"/>
      <c r="V230" s="37"/>
      <c r="W230" s="37"/>
    </row>
    <row r="231" spans="1:23" ht="15.75" customHeight="1" x14ac:dyDescent="0.25">
      <c r="A231" s="244"/>
      <c r="B231" s="245"/>
      <c r="C231" s="246"/>
      <c r="D231" s="37"/>
      <c r="E231" s="246"/>
      <c r="F231" s="247"/>
      <c r="G231" s="245"/>
      <c r="H231" s="246"/>
      <c r="I231" s="247"/>
      <c r="J231" s="37"/>
      <c r="K231" s="248"/>
      <c r="L231" s="248"/>
      <c r="M231" s="248"/>
      <c r="N231" s="248"/>
      <c r="O231" s="248"/>
      <c r="P231" s="249"/>
      <c r="Q231" s="250"/>
      <c r="R231" s="37"/>
      <c r="S231" s="37"/>
      <c r="T231" s="204"/>
      <c r="U231" s="37"/>
      <c r="V231" s="37"/>
      <c r="W231" s="37"/>
    </row>
    <row r="232" spans="1:23" ht="15.75" customHeight="1" x14ac:dyDescent="0.25">
      <c r="A232" s="244"/>
      <c r="B232" s="245"/>
      <c r="C232" s="246"/>
      <c r="D232" s="37"/>
      <c r="E232" s="246"/>
      <c r="F232" s="247"/>
      <c r="G232" s="245"/>
      <c r="H232" s="246"/>
      <c r="I232" s="247"/>
      <c r="J232" s="37"/>
      <c r="K232" s="248"/>
      <c r="L232" s="248"/>
      <c r="M232" s="248"/>
      <c r="N232" s="248"/>
      <c r="O232" s="248"/>
      <c r="P232" s="249"/>
      <c r="Q232" s="250"/>
      <c r="R232" s="37"/>
      <c r="S232" s="37"/>
      <c r="T232" s="204"/>
      <c r="U232" s="37"/>
      <c r="V232" s="37"/>
      <c r="W232" s="37"/>
    </row>
    <row r="233" spans="1:23" ht="15.75" customHeight="1" x14ac:dyDescent="0.25">
      <c r="A233" s="244"/>
      <c r="B233" s="245"/>
      <c r="C233" s="246"/>
      <c r="D233" s="37"/>
      <c r="E233" s="246"/>
      <c r="F233" s="247"/>
      <c r="G233" s="245"/>
      <c r="H233" s="246"/>
      <c r="I233" s="247"/>
      <c r="J233" s="37"/>
      <c r="K233" s="248"/>
      <c r="L233" s="248"/>
      <c r="M233" s="248"/>
      <c r="N233" s="248"/>
      <c r="O233" s="248"/>
      <c r="P233" s="249"/>
      <c r="Q233" s="250"/>
      <c r="R233" s="37"/>
      <c r="S233" s="37"/>
      <c r="T233" s="204"/>
      <c r="U233" s="37"/>
      <c r="V233" s="37"/>
      <c r="W233" s="37"/>
    </row>
    <row r="234" spans="1:23" ht="15.75" customHeight="1" x14ac:dyDescent="0.25">
      <c r="A234" s="244"/>
      <c r="B234" s="245"/>
      <c r="C234" s="246"/>
      <c r="D234" s="37"/>
      <c r="E234" s="246"/>
      <c r="F234" s="247"/>
      <c r="G234" s="245"/>
      <c r="H234" s="246"/>
      <c r="I234" s="247"/>
      <c r="J234" s="37"/>
      <c r="K234" s="248"/>
      <c r="L234" s="248"/>
      <c r="M234" s="248"/>
      <c r="N234" s="248"/>
      <c r="O234" s="248"/>
      <c r="P234" s="249"/>
      <c r="Q234" s="250"/>
      <c r="R234" s="37"/>
      <c r="S234" s="37"/>
      <c r="T234" s="204"/>
      <c r="U234" s="37"/>
      <c r="V234" s="37"/>
      <c r="W234" s="37"/>
    </row>
    <row r="235" spans="1:23" ht="15.75" customHeight="1" x14ac:dyDescent="0.25">
      <c r="A235" s="244"/>
      <c r="B235" s="245"/>
      <c r="C235" s="246"/>
      <c r="D235" s="37"/>
      <c r="E235" s="246"/>
      <c r="F235" s="247"/>
      <c r="G235" s="245"/>
      <c r="H235" s="246"/>
      <c r="I235" s="247"/>
      <c r="J235" s="37"/>
      <c r="K235" s="248"/>
      <c r="L235" s="248"/>
      <c r="M235" s="248"/>
      <c r="N235" s="248"/>
      <c r="O235" s="248"/>
      <c r="P235" s="249"/>
      <c r="Q235" s="250"/>
      <c r="R235" s="37"/>
      <c r="S235" s="37"/>
      <c r="T235" s="204"/>
      <c r="U235" s="37"/>
      <c r="V235" s="37"/>
      <c r="W235" s="37"/>
    </row>
    <row r="236" spans="1:23" ht="15.75" customHeight="1" x14ac:dyDescent="0.25">
      <c r="A236" s="244"/>
      <c r="B236" s="245"/>
      <c r="C236" s="246"/>
      <c r="D236" s="37"/>
      <c r="E236" s="246"/>
      <c r="F236" s="247"/>
      <c r="G236" s="245"/>
      <c r="H236" s="246"/>
      <c r="I236" s="247"/>
      <c r="J236" s="37"/>
      <c r="K236" s="248"/>
      <c r="L236" s="248"/>
      <c r="M236" s="248"/>
      <c r="N236" s="248"/>
      <c r="O236" s="248"/>
      <c r="P236" s="249"/>
      <c r="Q236" s="250"/>
      <c r="R236" s="37"/>
      <c r="S236" s="37"/>
      <c r="T236" s="204"/>
      <c r="U236" s="37"/>
      <c r="V236" s="37"/>
      <c r="W236" s="37"/>
    </row>
    <row r="237" spans="1:23" ht="15.75" customHeight="1" x14ac:dyDescent="0.25">
      <c r="A237" s="244"/>
      <c r="B237" s="245"/>
      <c r="C237" s="246"/>
      <c r="D237" s="37"/>
      <c r="E237" s="246"/>
      <c r="F237" s="247"/>
      <c r="G237" s="245"/>
      <c r="H237" s="246"/>
      <c r="I237" s="247"/>
      <c r="J237" s="37"/>
      <c r="K237" s="248"/>
      <c r="L237" s="248"/>
      <c r="M237" s="248"/>
      <c r="N237" s="248"/>
      <c r="O237" s="248"/>
      <c r="P237" s="249"/>
      <c r="Q237" s="250"/>
      <c r="R237" s="37"/>
      <c r="S237" s="37"/>
      <c r="T237" s="204"/>
      <c r="U237" s="37"/>
      <c r="V237" s="37"/>
      <c r="W237" s="37"/>
    </row>
    <row r="238" spans="1:23" ht="15.75" customHeight="1" x14ac:dyDescent="0.25">
      <c r="A238" s="244"/>
      <c r="B238" s="245"/>
      <c r="C238" s="246"/>
      <c r="D238" s="37"/>
      <c r="E238" s="246"/>
      <c r="F238" s="247"/>
      <c r="G238" s="245"/>
      <c r="H238" s="246"/>
      <c r="I238" s="247"/>
      <c r="J238" s="37"/>
      <c r="K238" s="248"/>
      <c r="L238" s="248"/>
      <c r="M238" s="248"/>
      <c r="N238" s="248"/>
      <c r="O238" s="248"/>
      <c r="P238" s="249"/>
      <c r="Q238" s="250"/>
      <c r="R238" s="37"/>
      <c r="S238" s="37"/>
      <c r="T238" s="204"/>
      <c r="U238" s="37"/>
      <c r="V238" s="37"/>
      <c r="W238" s="37"/>
    </row>
    <row r="239" spans="1:23" ht="15.75" customHeight="1" x14ac:dyDescent="0.25">
      <c r="A239" s="244"/>
      <c r="B239" s="245"/>
      <c r="C239" s="246"/>
      <c r="D239" s="37"/>
      <c r="E239" s="246"/>
      <c r="F239" s="247"/>
      <c r="G239" s="245"/>
      <c r="H239" s="246"/>
      <c r="I239" s="247"/>
      <c r="J239" s="37"/>
      <c r="K239" s="248"/>
      <c r="L239" s="248"/>
      <c r="M239" s="248"/>
      <c r="N239" s="248"/>
      <c r="O239" s="248"/>
      <c r="P239" s="249"/>
      <c r="Q239" s="250"/>
      <c r="R239" s="37"/>
      <c r="S239" s="37"/>
      <c r="T239" s="204"/>
      <c r="U239" s="37"/>
      <c r="V239" s="37"/>
      <c r="W239" s="37"/>
    </row>
    <row r="240" spans="1:23" ht="15.75" customHeight="1" x14ac:dyDescent="0.25">
      <c r="A240" s="244"/>
      <c r="B240" s="245"/>
      <c r="C240" s="246"/>
      <c r="D240" s="37"/>
      <c r="E240" s="246"/>
      <c r="F240" s="247"/>
      <c r="G240" s="245"/>
      <c r="H240" s="246"/>
      <c r="I240" s="247"/>
      <c r="J240" s="37"/>
      <c r="K240" s="248"/>
      <c r="L240" s="248"/>
      <c r="M240" s="248"/>
      <c r="N240" s="248"/>
      <c r="O240" s="248"/>
      <c r="P240" s="249"/>
      <c r="Q240" s="250"/>
      <c r="R240" s="37"/>
      <c r="S240" s="37"/>
      <c r="T240" s="204"/>
      <c r="U240" s="37"/>
      <c r="V240" s="37"/>
      <c r="W240" s="37"/>
    </row>
    <row r="241" spans="1:23" ht="15.75" customHeight="1" x14ac:dyDescent="0.25">
      <c r="A241" s="244"/>
      <c r="B241" s="245"/>
      <c r="C241" s="246"/>
      <c r="D241" s="37"/>
      <c r="E241" s="246"/>
      <c r="F241" s="247"/>
      <c r="G241" s="245"/>
      <c r="H241" s="246"/>
      <c r="I241" s="247"/>
      <c r="J241" s="37"/>
      <c r="K241" s="248"/>
      <c r="L241" s="248"/>
      <c r="M241" s="248"/>
      <c r="N241" s="248"/>
      <c r="O241" s="248"/>
      <c r="P241" s="249"/>
      <c r="Q241" s="250"/>
      <c r="R241" s="37"/>
      <c r="S241" s="37"/>
      <c r="T241" s="204"/>
      <c r="U241" s="37"/>
      <c r="V241" s="37"/>
      <c r="W241" s="37"/>
    </row>
    <row r="242" spans="1:23" ht="15.75" customHeight="1" x14ac:dyDescent="0.25">
      <c r="A242" s="244"/>
      <c r="B242" s="245"/>
      <c r="C242" s="246"/>
      <c r="D242" s="37"/>
      <c r="E242" s="246"/>
      <c r="F242" s="247"/>
      <c r="G242" s="245"/>
      <c r="H242" s="246"/>
      <c r="I242" s="247"/>
      <c r="J242" s="37"/>
      <c r="K242" s="248"/>
      <c r="L242" s="248"/>
      <c r="M242" s="248"/>
      <c r="N242" s="248"/>
      <c r="O242" s="248"/>
      <c r="P242" s="249"/>
      <c r="Q242" s="250"/>
      <c r="R242" s="37"/>
      <c r="S242" s="37"/>
      <c r="T242" s="204"/>
      <c r="U242" s="37"/>
      <c r="V242" s="37"/>
      <c r="W242" s="37"/>
    </row>
    <row r="243" spans="1:23" ht="15.75" customHeight="1" x14ac:dyDescent="0.25">
      <c r="A243" s="244"/>
      <c r="B243" s="245"/>
      <c r="C243" s="246"/>
      <c r="D243" s="37"/>
      <c r="E243" s="246"/>
      <c r="F243" s="247"/>
      <c r="G243" s="245"/>
      <c r="H243" s="246"/>
      <c r="I243" s="247"/>
      <c r="J243" s="37"/>
      <c r="K243" s="248"/>
      <c r="L243" s="248"/>
      <c r="M243" s="248"/>
      <c r="N243" s="248"/>
      <c r="O243" s="248"/>
      <c r="P243" s="249"/>
      <c r="Q243" s="250"/>
      <c r="R243" s="37"/>
      <c r="S243" s="37"/>
      <c r="T243" s="204"/>
      <c r="U243" s="37"/>
      <c r="V243" s="37"/>
      <c r="W243" s="37"/>
    </row>
    <row r="244" spans="1:23" ht="15.75" customHeight="1" x14ac:dyDescent="0.25">
      <c r="A244" s="244"/>
      <c r="B244" s="245"/>
      <c r="C244" s="246"/>
      <c r="D244" s="37"/>
      <c r="E244" s="246"/>
      <c r="F244" s="247"/>
      <c r="G244" s="245"/>
      <c r="H244" s="246"/>
      <c r="I244" s="247"/>
      <c r="J244" s="37"/>
      <c r="K244" s="248"/>
      <c r="L244" s="248"/>
      <c r="M244" s="248"/>
      <c r="N244" s="248"/>
      <c r="O244" s="248"/>
      <c r="P244" s="249"/>
      <c r="Q244" s="250"/>
      <c r="R244" s="37"/>
      <c r="S244" s="37"/>
      <c r="T244" s="204"/>
      <c r="U244" s="37"/>
      <c r="V244" s="37"/>
      <c r="W244" s="37"/>
    </row>
    <row r="245" spans="1:23" ht="15.75" customHeight="1" x14ac:dyDescent="0.25">
      <c r="A245" s="244"/>
      <c r="B245" s="245"/>
      <c r="C245" s="246"/>
      <c r="D245" s="37"/>
      <c r="E245" s="246"/>
      <c r="F245" s="247"/>
      <c r="G245" s="245"/>
      <c r="H245" s="246"/>
      <c r="I245" s="247"/>
      <c r="J245" s="37"/>
      <c r="K245" s="248"/>
      <c r="L245" s="248"/>
      <c r="M245" s="248"/>
      <c r="N245" s="248"/>
      <c r="O245" s="248"/>
      <c r="P245" s="249"/>
      <c r="Q245" s="250"/>
      <c r="R245" s="37"/>
      <c r="S245" s="37"/>
      <c r="T245" s="204"/>
      <c r="U245" s="37"/>
      <c r="V245" s="37"/>
      <c r="W245" s="37"/>
    </row>
    <row r="246" spans="1:23" ht="15.75" customHeight="1" x14ac:dyDescent="0.25">
      <c r="A246" s="244"/>
      <c r="B246" s="245"/>
      <c r="C246" s="246"/>
      <c r="D246" s="37"/>
      <c r="E246" s="246"/>
      <c r="F246" s="247"/>
      <c r="G246" s="245"/>
      <c r="H246" s="246"/>
      <c r="I246" s="247"/>
      <c r="J246" s="37"/>
      <c r="K246" s="248"/>
      <c r="L246" s="248"/>
      <c r="M246" s="248"/>
      <c r="N246" s="248"/>
      <c r="O246" s="248"/>
      <c r="P246" s="249"/>
      <c r="Q246" s="250"/>
      <c r="R246" s="37"/>
      <c r="S246" s="37"/>
      <c r="T246" s="204"/>
      <c r="U246" s="37"/>
      <c r="V246" s="37"/>
      <c r="W246" s="37"/>
    </row>
    <row r="247" spans="1:23" ht="15.75" customHeight="1" x14ac:dyDescent="0.25">
      <c r="A247" s="244"/>
      <c r="B247" s="245"/>
      <c r="C247" s="246"/>
      <c r="D247" s="37"/>
      <c r="E247" s="246"/>
      <c r="F247" s="247"/>
      <c r="G247" s="245"/>
      <c r="H247" s="246"/>
      <c r="I247" s="247"/>
      <c r="J247" s="37"/>
      <c r="K247" s="248"/>
      <c r="L247" s="248"/>
      <c r="M247" s="248"/>
      <c r="N247" s="248"/>
      <c r="O247" s="248"/>
      <c r="P247" s="249"/>
      <c r="Q247" s="250"/>
      <c r="R247" s="37"/>
      <c r="S247" s="37"/>
      <c r="T247" s="204"/>
      <c r="U247" s="37"/>
      <c r="V247" s="37"/>
      <c r="W247" s="37"/>
    </row>
    <row r="248" spans="1:23" ht="15.75" customHeight="1" x14ac:dyDescent="0.25">
      <c r="A248" s="244"/>
      <c r="B248" s="245"/>
      <c r="C248" s="246"/>
      <c r="D248" s="37"/>
      <c r="E248" s="246"/>
      <c r="F248" s="247"/>
      <c r="G248" s="245"/>
      <c r="H248" s="246"/>
      <c r="I248" s="247"/>
      <c r="J248" s="37"/>
      <c r="K248" s="248"/>
      <c r="L248" s="248"/>
      <c r="M248" s="248"/>
      <c r="N248" s="248"/>
      <c r="O248" s="248"/>
      <c r="P248" s="249"/>
      <c r="Q248" s="250"/>
      <c r="R248" s="37"/>
      <c r="S248" s="37"/>
      <c r="T248" s="204"/>
      <c r="U248" s="37"/>
      <c r="V248" s="37"/>
      <c r="W248" s="37"/>
    </row>
    <row r="249" spans="1:23" ht="15.75" customHeight="1" x14ac:dyDescent="0.25">
      <c r="A249" s="244"/>
      <c r="B249" s="245"/>
      <c r="C249" s="246"/>
      <c r="D249" s="37"/>
      <c r="E249" s="246"/>
      <c r="F249" s="247"/>
      <c r="G249" s="245"/>
      <c r="H249" s="246"/>
      <c r="I249" s="247"/>
      <c r="J249" s="37"/>
      <c r="K249" s="248"/>
      <c r="L249" s="248"/>
      <c r="M249" s="248"/>
      <c r="N249" s="248"/>
      <c r="O249" s="248"/>
      <c r="P249" s="249"/>
      <c r="Q249" s="250"/>
      <c r="R249" s="37"/>
      <c r="S249" s="37"/>
      <c r="T249" s="204"/>
      <c r="U249" s="37"/>
      <c r="V249" s="37"/>
      <c r="W249" s="37"/>
    </row>
    <row r="250" spans="1:23" ht="15.75" customHeight="1" x14ac:dyDescent="0.25">
      <c r="A250" s="244"/>
      <c r="B250" s="245"/>
      <c r="C250" s="246"/>
      <c r="D250" s="37"/>
      <c r="E250" s="246"/>
      <c r="F250" s="247"/>
      <c r="G250" s="245"/>
      <c r="H250" s="246"/>
      <c r="I250" s="247"/>
      <c r="J250" s="37"/>
      <c r="K250" s="248"/>
      <c r="L250" s="248"/>
      <c r="M250" s="248"/>
      <c r="N250" s="248"/>
      <c r="O250" s="248"/>
      <c r="P250" s="249"/>
      <c r="Q250" s="250"/>
      <c r="R250" s="37"/>
      <c r="S250" s="37"/>
      <c r="T250" s="204"/>
      <c r="U250" s="37"/>
      <c r="V250" s="37"/>
      <c r="W250" s="37"/>
    </row>
    <row r="251" spans="1:23" ht="15.75" customHeight="1" x14ac:dyDescent="0.25">
      <c r="A251" s="244"/>
      <c r="B251" s="245"/>
      <c r="C251" s="246"/>
      <c r="D251" s="37"/>
      <c r="E251" s="246"/>
      <c r="F251" s="247"/>
      <c r="G251" s="245"/>
      <c r="H251" s="246"/>
      <c r="I251" s="247"/>
      <c r="J251" s="37"/>
      <c r="K251" s="248"/>
      <c r="L251" s="248"/>
      <c r="M251" s="248"/>
      <c r="N251" s="248"/>
      <c r="O251" s="248"/>
      <c r="P251" s="249"/>
      <c r="Q251" s="250"/>
      <c r="R251" s="37"/>
      <c r="S251" s="37"/>
      <c r="T251" s="204"/>
      <c r="U251" s="37"/>
      <c r="V251" s="37"/>
      <c r="W251" s="37"/>
    </row>
    <row r="252" spans="1:23" ht="15.75" customHeight="1" x14ac:dyDescent="0.25">
      <c r="A252" s="244"/>
      <c r="B252" s="245"/>
      <c r="C252" s="246"/>
      <c r="D252" s="37"/>
      <c r="E252" s="246"/>
      <c r="F252" s="247"/>
      <c r="G252" s="245"/>
      <c r="H252" s="246"/>
      <c r="I252" s="247"/>
      <c r="J252" s="37"/>
      <c r="K252" s="248"/>
      <c r="L252" s="248"/>
      <c r="M252" s="248"/>
      <c r="N252" s="248"/>
      <c r="O252" s="248"/>
      <c r="P252" s="249"/>
      <c r="Q252" s="250"/>
      <c r="R252" s="37"/>
      <c r="S252" s="37"/>
      <c r="T252" s="204"/>
      <c r="U252" s="37"/>
      <c r="V252" s="37"/>
      <c r="W252" s="37"/>
    </row>
    <row r="253" spans="1:23" ht="15.75" customHeight="1" x14ac:dyDescent="0.25">
      <c r="A253" s="244"/>
      <c r="B253" s="245"/>
      <c r="C253" s="246"/>
      <c r="D253" s="37"/>
      <c r="E253" s="246"/>
      <c r="F253" s="247"/>
      <c r="G253" s="245"/>
      <c r="H253" s="246"/>
      <c r="I253" s="247"/>
      <c r="J253" s="37"/>
      <c r="K253" s="248"/>
      <c r="L253" s="248"/>
      <c r="M253" s="248"/>
      <c r="N253" s="248"/>
      <c r="O253" s="248"/>
      <c r="P253" s="249"/>
      <c r="Q253" s="250"/>
      <c r="R253" s="37"/>
      <c r="S253" s="37"/>
      <c r="T253" s="204"/>
      <c r="U253" s="37"/>
      <c r="V253" s="37"/>
      <c r="W253" s="37"/>
    </row>
    <row r="254" spans="1:23" ht="15.75" customHeight="1" x14ac:dyDescent="0.25">
      <c r="A254" s="244"/>
      <c r="B254" s="245"/>
      <c r="C254" s="246"/>
      <c r="D254" s="37"/>
      <c r="E254" s="246"/>
      <c r="F254" s="247"/>
      <c r="G254" s="245"/>
      <c r="H254" s="246"/>
      <c r="I254" s="247"/>
      <c r="J254" s="37"/>
      <c r="K254" s="248"/>
      <c r="L254" s="248"/>
      <c r="M254" s="248"/>
      <c r="N254" s="248"/>
      <c r="O254" s="248"/>
      <c r="P254" s="249"/>
      <c r="Q254" s="250"/>
      <c r="R254" s="37"/>
      <c r="S254" s="37"/>
      <c r="T254" s="204"/>
      <c r="U254" s="37"/>
      <c r="V254" s="37"/>
      <c r="W254" s="37"/>
    </row>
    <row r="255" spans="1:23" ht="15.75" customHeight="1" x14ac:dyDescent="0.25">
      <c r="A255" s="244"/>
      <c r="B255" s="245"/>
      <c r="C255" s="246"/>
      <c r="D255" s="37"/>
      <c r="E255" s="246"/>
      <c r="F255" s="247"/>
      <c r="G255" s="245"/>
      <c r="H255" s="246"/>
      <c r="I255" s="247"/>
      <c r="J255" s="37"/>
      <c r="K255" s="248"/>
      <c r="L255" s="248"/>
      <c r="M255" s="248"/>
      <c r="N255" s="248"/>
      <c r="O255" s="248"/>
      <c r="P255" s="249"/>
      <c r="Q255" s="250"/>
      <c r="R255" s="37"/>
      <c r="S255" s="37"/>
      <c r="T255" s="204"/>
      <c r="U255" s="37"/>
      <c r="V255" s="37"/>
      <c r="W255" s="37"/>
    </row>
    <row r="256" spans="1:23" ht="15.75" customHeight="1" x14ac:dyDescent="0.25">
      <c r="A256" s="244"/>
      <c r="B256" s="245"/>
      <c r="C256" s="246"/>
      <c r="D256" s="37"/>
      <c r="E256" s="246"/>
      <c r="F256" s="247"/>
      <c r="G256" s="245"/>
      <c r="H256" s="246"/>
      <c r="I256" s="247"/>
      <c r="J256" s="37"/>
      <c r="K256" s="248"/>
      <c r="L256" s="248"/>
      <c r="M256" s="248"/>
      <c r="N256" s="248"/>
      <c r="O256" s="248"/>
      <c r="P256" s="249"/>
      <c r="Q256" s="250"/>
      <c r="R256" s="37"/>
      <c r="S256" s="37"/>
      <c r="T256" s="204"/>
      <c r="U256" s="37"/>
      <c r="V256" s="37"/>
      <c r="W256" s="37"/>
    </row>
    <row r="257" spans="1:23" ht="15.75" customHeight="1" x14ac:dyDescent="0.25">
      <c r="A257" s="244"/>
      <c r="B257" s="245"/>
      <c r="C257" s="246"/>
      <c r="D257" s="37"/>
      <c r="E257" s="246"/>
      <c r="F257" s="247"/>
      <c r="G257" s="245"/>
      <c r="H257" s="246"/>
      <c r="I257" s="247"/>
      <c r="J257" s="37"/>
      <c r="K257" s="248"/>
      <c r="L257" s="248"/>
      <c r="M257" s="248"/>
      <c r="N257" s="248"/>
      <c r="O257" s="248"/>
      <c r="P257" s="249"/>
      <c r="Q257" s="250"/>
      <c r="R257" s="37"/>
      <c r="S257" s="37"/>
      <c r="T257" s="204"/>
      <c r="U257" s="37"/>
      <c r="V257" s="37"/>
      <c r="W257" s="37"/>
    </row>
    <row r="258" spans="1:23" ht="15.75" customHeight="1" x14ac:dyDescent="0.25">
      <c r="A258" s="244"/>
      <c r="B258" s="245"/>
      <c r="C258" s="246"/>
      <c r="D258" s="37"/>
      <c r="E258" s="246"/>
      <c r="F258" s="247"/>
      <c r="G258" s="245"/>
      <c r="H258" s="246"/>
      <c r="I258" s="247"/>
      <c r="J258" s="37"/>
      <c r="K258" s="248"/>
      <c r="L258" s="248"/>
      <c r="M258" s="248"/>
      <c r="N258" s="248"/>
      <c r="O258" s="248"/>
      <c r="P258" s="249"/>
      <c r="Q258" s="250"/>
      <c r="R258" s="37"/>
      <c r="S258" s="37"/>
      <c r="T258" s="204"/>
      <c r="U258" s="37"/>
      <c r="V258" s="37"/>
      <c r="W258" s="37"/>
    </row>
    <row r="259" spans="1:23" ht="15.75" customHeight="1" x14ac:dyDescent="0.25">
      <c r="A259" s="244"/>
      <c r="B259" s="245"/>
      <c r="C259" s="246"/>
      <c r="D259" s="37"/>
      <c r="E259" s="246"/>
      <c r="F259" s="247"/>
      <c r="G259" s="245"/>
      <c r="H259" s="246"/>
      <c r="I259" s="247"/>
      <c r="J259" s="37"/>
      <c r="K259" s="248"/>
      <c r="L259" s="248"/>
      <c r="M259" s="248"/>
      <c r="N259" s="248"/>
      <c r="O259" s="248"/>
      <c r="P259" s="249"/>
      <c r="Q259" s="250"/>
      <c r="R259" s="37"/>
      <c r="S259" s="37"/>
      <c r="T259" s="204"/>
      <c r="U259" s="37"/>
      <c r="V259" s="37"/>
      <c r="W259" s="37"/>
    </row>
    <row r="260" spans="1:23" ht="15.75" customHeight="1" x14ac:dyDescent="0.25">
      <c r="A260" s="244"/>
      <c r="B260" s="245"/>
      <c r="C260" s="246"/>
      <c r="D260" s="37"/>
      <c r="E260" s="246"/>
      <c r="F260" s="247"/>
      <c r="G260" s="245"/>
      <c r="H260" s="246"/>
      <c r="I260" s="247"/>
      <c r="J260" s="37"/>
      <c r="K260" s="248"/>
      <c r="L260" s="248"/>
      <c r="M260" s="248"/>
      <c r="N260" s="248"/>
      <c r="O260" s="248"/>
      <c r="P260" s="249"/>
      <c r="Q260" s="250"/>
      <c r="R260" s="37"/>
      <c r="S260" s="37"/>
      <c r="T260" s="204"/>
      <c r="U260" s="37"/>
      <c r="V260" s="37"/>
      <c r="W260" s="37"/>
    </row>
    <row r="261" spans="1:23" ht="15.75" customHeight="1" x14ac:dyDescent="0.25">
      <c r="A261" s="244"/>
      <c r="B261" s="245"/>
      <c r="C261" s="246"/>
      <c r="D261" s="37"/>
      <c r="E261" s="246"/>
      <c r="F261" s="247"/>
      <c r="G261" s="245"/>
      <c r="H261" s="246"/>
      <c r="I261" s="247"/>
      <c r="J261" s="37"/>
      <c r="K261" s="248"/>
      <c r="L261" s="248"/>
      <c r="M261" s="248"/>
      <c r="N261" s="248"/>
      <c r="O261" s="248"/>
      <c r="P261" s="249"/>
      <c r="Q261" s="250"/>
      <c r="R261" s="37"/>
      <c r="S261" s="37"/>
      <c r="T261" s="204"/>
      <c r="U261" s="37"/>
      <c r="V261" s="37"/>
      <c r="W261" s="37"/>
    </row>
    <row r="262" spans="1:23" ht="15.75" customHeight="1" x14ac:dyDescent="0.25">
      <c r="A262" s="244"/>
      <c r="B262" s="245"/>
      <c r="C262" s="246"/>
      <c r="D262" s="37"/>
      <c r="E262" s="246"/>
      <c r="F262" s="247"/>
      <c r="G262" s="245"/>
      <c r="H262" s="246"/>
      <c r="I262" s="247"/>
      <c r="J262" s="37"/>
      <c r="K262" s="248"/>
      <c r="L262" s="248"/>
      <c r="M262" s="248"/>
      <c r="N262" s="248"/>
      <c r="O262" s="248"/>
      <c r="P262" s="249"/>
      <c r="Q262" s="250"/>
      <c r="R262" s="37"/>
      <c r="S262" s="37"/>
      <c r="T262" s="204"/>
      <c r="U262" s="37"/>
      <c r="V262" s="37"/>
      <c r="W262" s="37"/>
    </row>
    <row r="263" spans="1:23" ht="15.75" customHeight="1" x14ac:dyDescent="0.25">
      <c r="A263" s="244"/>
      <c r="B263" s="245"/>
      <c r="C263" s="246"/>
      <c r="D263" s="37"/>
      <c r="E263" s="246"/>
      <c r="F263" s="247"/>
      <c r="G263" s="245"/>
      <c r="H263" s="246"/>
      <c r="I263" s="247"/>
      <c r="J263" s="37"/>
      <c r="K263" s="248"/>
      <c r="L263" s="248"/>
      <c r="M263" s="248"/>
      <c r="N263" s="248"/>
      <c r="O263" s="248"/>
      <c r="P263" s="249"/>
      <c r="Q263" s="250"/>
      <c r="R263" s="37"/>
      <c r="S263" s="37"/>
      <c r="T263" s="204"/>
      <c r="U263" s="37"/>
      <c r="V263" s="37"/>
      <c r="W263" s="37"/>
    </row>
    <row r="264" spans="1:23" ht="15.75" customHeight="1" x14ac:dyDescent="0.25">
      <c r="A264" s="244"/>
      <c r="B264" s="245"/>
      <c r="C264" s="246"/>
      <c r="D264" s="37"/>
      <c r="E264" s="246"/>
      <c r="F264" s="247"/>
      <c r="G264" s="245"/>
      <c r="H264" s="246"/>
      <c r="I264" s="247"/>
      <c r="J264" s="37"/>
      <c r="K264" s="248"/>
      <c r="L264" s="248"/>
      <c r="M264" s="248"/>
      <c r="N264" s="248"/>
      <c r="O264" s="248"/>
      <c r="P264" s="249"/>
      <c r="Q264" s="250"/>
      <c r="R264" s="37"/>
      <c r="S264" s="37"/>
      <c r="T264" s="204"/>
      <c r="U264" s="37"/>
      <c r="V264" s="37"/>
      <c r="W264" s="37"/>
    </row>
    <row r="265" spans="1:23" ht="15.75" customHeight="1" x14ac:dyDescent="0.25">
      <c r="A265" s="244"/>
      <c r="B265" s="245"/>
      <c r="C265" s="246"/>
      <c r="D265" s="37"/>
      <c r="E265" s="246"/>
      <c r="F265" s="247"/>
      <c r="G265" s="245"/>
      <c r="H265" s="246"/>
      <c r="I265" s="247"/>
      <c r="J265" s="37"/>
      <c r="K265" s="248"/>
      <c r="L265" s="248"/>
      <c r="M265" s="248"/>
      <c r="N265" s="248"/>
      <c r="O265" s="248"/>
      <c r="P265" s="249"/>
      <c r="Q265" s="250"/>
      <c r="R265" s="37"/>
      <c r="S265" s="37"/>
      <c r="T265" s="204"/>
      <c r="U265" s="37"/>
      <c r="V265" s="37"/>
      <c r="W265" s="37"/>
    </row>
    <row r="266" spans="1:23" ht="15.75" customHeight="1" x14ac:dyDescent="0.25">
      <c r="A266" s="244"/>
      <c r="B266" s="245"/>
      <c r="C266" s="246"/>
      <c r="D266" s="37"/>
      <c r="E266" s="246"/>
      <c r="F266" s="247"/>
      <c r="G266" s="245"/>
      <c r="H266" s="246"/>
      <c r="I266" s="247"/>
      <c r="J266" s="37"/>
      <c r="K266" s="248"/>
      <c r="L266" s="248"/>
      <c r="M266" s="248"/>
      <c r="N266" s="248"/>
      <c r="O266" s="248"/>
      <c r="P266" s="249"/>
      <c r="Q266" s="250"/>
      <c r="R266" s="37"/>
      <c r="S266" s="37"/>
      <c r="T266" s="204"/>
      <c r="U266" s="37"/>
      <c r="V266" s="37"/>
      <c r="W266" s="37"/>
    </row>
    <row r="267" spans="1:23" ht="15.75" customHeight="1" x14ac:dyDescent="0.25">
      <c r="A267" s="244"/>
      <c r="B267" s="245"/>
      <c r="C267" s="246"/>
      <c r="D267" s="37"/>
      <c r="E267" s="246"/>
      <c r="F267" s="247"/>
      <c r="G267" s="245"/>
      <c r="H267" s="246"/>
      <c r="I267" s="247"/>
      <c r="J267" s="37"/>
      <c r="K267" s="248"/>
      <c r="L267" s="248"/>
      <c r="M267" s="248"/>
      <c r="N267" s="248"/>
      <c r="O267" s="248"/>
      <c r="P267" s="249"/>
      <c r="Q267" s="250"/>
      <c r="R267" s="37"/>
      <c r="S267" s="37"/>
      <c r="T267" s="204"/>
      <c r="U267" s="37"/>
      <c r="V267" s="37"/>
      <c r="W267" s="37"/>
    </row>
    <row r="268" spans="1:23" ht="15.75" customHeight="1" x14ac:dyDescent="0.25">
      <c r="A268" s="244"/>
      <c r="B268" s="245"/>
      <c r="C268" s="246"/>
      <c r="D268" s="37"/>
      <c r="E268" s="246"/>
      <c r="F268" s="247"/>
      <c r="G268" s="245"/>
      <c r="H268" s="246"/>
      <c r="I268" s="247"/>
      <c r="J268" s="37"/>
      <c r="K268" s="248"/>
      <c r="L268" s="248"/>
      <c r="M268" s="248"/>
      <c r="N268" s="248"/>
      <c r="O268" s="248"/>
      <c r="P268" s="249"/>
      <c r="Q268" s="250"/>
      <c r="R268" s="37"/>
      <c r="S268" s="37"/>
      <c r="T268" s="204"/>
      <c r="U268" s="37"/>
      <c r="V268" s="37"/>
      <c r="W268" s="37"/>
    </row>
    <row r="269" spans="1:23" ht="15.75" customHeight="1" x14ac:dyDescent="0.25">
      <c r="A269" s="244"/>
      <c r="B269" s="245"/>
      <c r="C269" s="246"/>
      <c r="D269" s="37"/>
      <c r="E269" s="246"/>
      <c r="F269" s="247"/>
      <c r="G269" s="245"/>
      <c r="H269" s="246"/>
      <c r="I269" s="247"/>
      <c r="J269" s="37"/>
      <c r="K269" s="248"/>
      <c r="L269" s="248"/>
      <c r="M269" s="248"/>
      <c r="N269" s="248"/>
      <c r="O269" s="248"/>
      <c r="P269" s="249"/>
      <c r="Q269" s="250"/>
      <c r="R269" s="37"/>
      <c r="S269" s="37"/>
      <c r="T269" s="204"/>
      <c r="U269" s="37"/>
      <c r="V269" s="37"/>
      <c r="W269" s="37"/>
    </row>
    <row r="270" spans="1:23" ht="15.75" customHeight="1" x14ac:dyDescent="0.25">
      <c r="A270" s="244"/>
      <c r="B270" s="245"/>
      <c r="C270" s="246"/>
      <c r="D270" s="37"/>
      <c r="E270" s="246"/>
      <c r="F270" s="247"/>
      <c r="G270" s="245"/>
      <c r="H270" s="246"/>
      <c r="I270" s="247"/>
      <c r="J270" s="37"/>
      <c r="K270" s="248"/>
      <c r="L270" s="248"/>
      <c r="M270" s="248"/>
      <c r="N270" s="248"/>
      <c r="O270" s="248"/>
      <c r="P270" s="249"/>
      <c r="Q270" s="250"/>
      <c r="R270" s="37"/>
      <c r="S270" s="37"/>
      <c r="T270" s="204"/>
      <c r="U270" s="37"/>
      <c r="V270" s="37"/>
      <c r="W270" s="37"/>
    </row>
    <row r="271" spans="1:23" ht="15.75" customHeight="1" x14ac:dyDescent="0.25">
      <c r="A271" s="244"/>
      <c r="B271" s="245"/>
      <c r="C271" s="246"/>
      <c r="D271" s="37"/>
      <c r="E271" s="246"/>
      <c r="F271" s="247"/>
      <c r="G271" s="245"/>
      <c r="H271" s="246"/>
      <c r="I271" s="247"/>
      <c r="J271" s="37"/>
      <c r="K271" s="248"/>
      <c r="L271" s="248"/>
      <c r="M271" s="248"/>
      <c r="N271" s="248"/>
      <c r="O271" s="248"/>
      <c r="P271" s="249"/>
      <c r="Q271" s="250"/>
      <c r="R271" s="37"/>
      <c r="S271" s="37"/>
      <c r="T271" s="204"/>
      <c r="U271" s="37"/>
      <c r="V271" s="37"/>
      <c r="W271" s="37"/>
    </row>
    <row r="272" spans="1:23" ht="15.75" customHeight="1" x14ac:dyDescent="0.25">
      <c r="A272" s="244"/>
      <c r="B272" s="245"/>
      <c r="C272" s="246"/>
      <c r="D272" s="37"/>
      <c r="E272" s="246"/>
      <c r="F272" s="247"/>
      <c r="G272" s="245"/>
      <c r="H272" s="246"/>
      <c r="I272" s="247"/>
      <c r="J272" s="37"/>
      <c r="K272" s="248"/>
      <c r="L272" s="248"/>
      <c r="M272" s="248"/>
      <c r="N272" s="248"/>
      <c r="O272" s="248"/>
      <c r="P272" s="249"/>
      <c r="Q272" s="250"/>
      <c r="R272" s="37"/>
      <c r="S272" s="37"/>
      <c r="T272" s="204"/>
      <c r="U272" s="37"/>
      <c r="V272" s="37"/>
      <c r="W272" s="37"/>
    </row>
    <row r="273" spans="1:23" ht="15.75" customHeight="1" x14ac:dyDescent="0.25">
      <c r="A273" s="244"/>
      <c r="B273" s="245"/>
      <c r="C273" s="246"/>
      <c r="D273" s="37"/>
      <c r="E273" s="246"/>
      <c r="F273" s="247"/>
      <c r="G273" s="245"/>
      <c r="H273" s="246"/>
      <c r="I273" s="247"/>
      <c r="J273" s="37"/>
      <c r="K273" s="248"/>
      <c r="L273" s="248"/>
      <c r="M273" s="248"/>
      <c r="N273" s="248"/>
      <c r="O273" s="248"/>
      <c r="P273" s="249"/>
      <c r="Q273" s="250"/>
      <c r="R273" s="37"/>
      <c r="S273" s="37"/>
      <c r="T273" s="204"/>
      <c r="U273" s="37"/>
      <c r="V273" s="37"/>
      <c r="W273" s="37"/>
    </row>
    <row r="274" spans="1:23" ht="15.75" customHeight="1" x14ac:dyDescent="0.25">
      <c r="A274" s="244"/>
      <c r="B274" s="245"/>
      <c r="C274" s="246"/>
      <c r="D274" s="37"/>
      <c r="E274" s="246"/>
      <c r="F274" s="247"/>
      <c r="G274" s="245"/>
      <c r="H274" s="246"/>
      <c r="I274" s="247"/>
      <c r="J274" s="37"/>
      <c r="K274" s="248"/>
      <c r="L274" s="248"/>
      <c r="M274" s="248"/>
      <c r="N274" s="248"/>
      <c r="O274" s="248"/>
      <c r="P274" s="249"/>
      <c r="Q274" s="250"/>
      <c r="R274" s="37"/>
      <c r="S274" s="37"/>
      <c r="T274" s="204"/>
      <c r="U274" s="37"/>
      <c r="V274" s="37"/>
      <c r="W274" s="37"/>
    </row>
    <row r="275" spans="1:23" ht="15.75" customHeight="1" x14ac:dyDescent="0.25">
      <c r="A275" s="244"/>
      <c r="B275" s="245"/>
      <c r="C275" s="246"/>
      <c r="D275" s="37"/>
      <c r="E275" s="246"/>
      <c r="F275" s="247"/>
      <c r="G275" s="245"/>
      <c r="H275" s="246"/>
      <c r="I275" s="247"/>
      <c r="J275" s="37"/>
      <c r="K275" s="248"/>
      <c r="L275" s="248"/>
      <c r="M275" s="248"/>
      <c r="N275" s="248"/>
      <c r="O275" s="248"/>
      <c r="P275" s="249"/>
      <c r="Q275" s="250"/>
      <c r="R275" s="37"/>
      <c r="S275" s="37"/>
      <c r="T275" s="204"/>
      <c r="U275" s="37"/>
      <c r="V275" s="37"/>
      <c r="W275" s="37"/>
    </row>
    <row r="276" spans="1:23" ht="15.75" customHeight="1" x14ac:dyDescent="0.25">
      <c r="A276" s="244"/>
      <c r="B276" s="245"/>
      <c r="C276" s="246"/>
      <c r="D276" s="37"/>
      <c r="E276" s="246"/>
      <c r="F276" s="247"/>
      <c r="G276" s="245"/>
      <c r="H276" s="246"/>
      <c r="I276" s="247"/>
      <c r="J276" s="37"/>
      <c r="K276" s="248"/>
      <c r="L276" s="248"/>
      <c r="M276" s="248"/>
      <c r="N276" s="248"/>
      <c r="O276" s="248"/>
      <c r="P276" s="249"/>
      <c r="Q276" s="250"/>
      <c r="R276" s="37"/>
      <c r="S276" s="37"/>
      <c r="T276" s="204"/>
      <c r="U276" s="37"/>
      <c r="V276" s="37"/>
      <c r="W276" s="37"/>
    </row>
    <row r="277" spans="1:23" ht="15.75" customHeight="1" x14ac:dyDescent="0.25">
      <c r="A277" s="244"/>
      <c r="B277" s="245"/>
      <c r="C277" s="246"/>
      <c r="D277" s="37"/>
      <c r="E277" s="246"/>
      <c r="F277" s="247"/>
      <c r="G277" s="245"/>
      <c r="H277" s="246"/>
      <c r="I277" s="247"/>
      <c r="J277" s="37"/>
      <c r="K277" s="248"/>
      <c r="L277" s="248"/>
      <c r="M277" s="248"/>
      <c r="N277" s="248"/>
      <c r="O277" s="248"/>
      <c r="P277" s="249"/>
      <c r="Q277" s="250"/>
      <c r="R277" s="37"/>
      <c r="S277" s="37"/>
      <c r="T277" s="204"/>
      <c r="U277" s="37"/>
      <c r="V277" s="37"/>
      <c r="W277" s="37"/>
    </row>
    <row r="278" spans="1:23" ht="15.75" customHeight="1" x14ac:dyDescent="0.25">
      <c r="A278" s="244"/>
      <c r="B278" s="245"/>
      <c r="C278" s="246"/>
      <c r="D278" s="37"/>
      <c r="E278" s="246"/>
      <c r="F278" s="247"/>
      <c r="G278" s="245"/>
      <c r="H278" s="246"/>
      <c r="I278" s="247"/>
      <c r="J278" s="37"/>
      <c r="K278" s="248"/>
      <c r="L278" s="248"/>
      <c r="M278" s="248"/>
      <c r="N278" s="248"/>
      <c r="O278" s="248"/>
      <c r="P278" s="249"/>
      <c r="Q278" s="250"/>
      <c r="R278" s="37"/>
      <c r="S278" s="37"/>
      <c r="T278" s="204"/>
      <c r="U278" s="37"/>
      <c r="V278" s="37"/>
      <c r="W278" s="37"/>
    </row>
    <row r="279" spans="1:23" ht="15.75" customHeight="1" x14ac:dyDescent="0.25">
      <c r="A279" s="244"/>
      <c r="B279" s="245"/>
      <c r="C279" s="246"/>
      <c r="D279" s="37"/>
      <c r="E279" s="246"/>
      <c r="F279" s="247"/>
      <c r="G279" s="245"/>
      <c r="H279" s="246"/>
      <c r="I279" s="247"/>
      <c r="J279" s="37"/>
      <c r="K279" s="248"/>
      <c r="L279" s="248"/>
      <c r="M279" s="248"/>
      <c r="N279" s="248"/>
      <c r="O279" s="248"/>
      <c r="P279" s="249"/>
      <c r="Q279" s="250"/>
      <c r="R279" s="37"/>
      <c r="S279" s="37"/>
      <c r="T279" s="204"/>
      <c r="U279" s="37"/>
      <c r="V279" s="37"/>
      <c r="W279" s="37"/>
    </row>
    <row r="280" spans="1:23" ht="15.75" customHeight="1" x14ac:dyDescent="0.25">
      <c r="A280" s="244"/>
      <c r="B280" s="245"/>
      <c r="C280" s="246"/>
      <c r="D280" s="37"/>
      <c r="E280" s="246"/>
      <c r="F280" s="247"/>
      <c r="G280" s="245"/>
      <c r="H280" s="246"/>
      <c r="I280" s="247"/>
      <c r="J280" s="37"/>
      <c r="K280" s="248"/>
      <c r="L280" s="248"/>
      <c r="M280" s="248"/>
      <c r="N280" s="248"/>
      <c r="O280" s="248"/>
      <c r="P280" s="249"/>
      <c r="Q280" s="250"/>
      <c r="R280" s="37"/>
      <c r="S280" s="37"/>
      <c r="T280" s="204"/>
      <c r="U280" s="37"/>
      <c r="V280" s="37"/>
      <c r="W280" s="37"/>
    </row>
    <row r="281" spans="1:23" ht="15.75" customHeight="1" x14ac:dyDescent="0.25">
      <c r="A281" s="244"/>
      <c r="B281" s="245"/>
      <c r="C281" s="246"/>
      <c r="D281" s="37"/>
      <c r="E281" s="246"/>
      <c r="F281" s="247"/>
      <c r="G281" s="245"/>
      <c r="H281" s="246"/>
      <c r="I281" s="247"/>
      <c r="J281" s="37"/>
      <c r="K281" s="248"/>
      <c r="L281" s="248"/>
      <c r="M281" s="248"/>
      <c r="N281" s="248"/>
      <c r="O281" s="248"/>
      <c r="P281" s="249"/>
      <c r="Q281" s="250"/>
      <c r="R281" s="37"/>
      <c r="S281" s="37"/>
      <c r="T281" s="204"/>
      <c r="U281" s="37"/>
      <c r="V281" s="37"/>
      <c r="W281" s="37"/>
    </row>
    <row r="282" spans="1:23" ht="15.75" customHeight="1" x14ac:dyDescent="0.25">
      <c r="A282" s="244"/>
      <c r="B282" s="245"/>
      <c r="C282" s="246"/>
      <c r="D282" s="37"/>
      <c r="E282" s="246"/>
      <c r="F282" s="247"/>
      <c r="G282" s="245"/>
      <c r="H282" s="246"/>
      <c r="I282" s="247"/>
      <c r="J282" s="37"/>
      <c r="K282" s="248"/>
      <c r="L282" s="248"/>
      <c r="M282" s="248"/>
      <c r="N282" s="248"/>
      <c r="O282" s="248"/>
      <c r="P282" s="249"/>
      <c r="Q282" s="250"/>
      <c r="R282" s="37"/>
      <c r="S282" s="37"/>
      <c r="T282" s="204"/>
      <c r="U282" s="37"/>
      <c r="V282" s="37"/>
      <c r="W282" s="37"/>
    </row>
    <row r="283" spans="1:23" ht="15.75" customHeight="1" x14ac:dyDescent="0.25">
      <c r="A283" s="244"/>
      <c r="B283" s="245"/>
      <c r="C283" s="246"/>
      <c r="D283" s="37"/>
      <c r="E283" s="246"/>
      <c r="F283" s="247"/>
      <c r="G283" s="245"/>
      <c r="H283" s="246"/>
      <c r="I283" s="247"/>
      <c r="J283" s="37"/>
      <c r="K283" s="248"/>
      <c r="L283" s="248"/>
      <c r="M283" s="248"/>
      <c r="N283" s="248"/>
      <c r="O283" s="248"/>
      <c r="P283" s="249"/>
      <c r="Q283" s="250"/>
      <c r="R283" s="37"/>
      <c r="S283" s="37"/>
      <c r="T283" s="204"/>
      <c r="U283" s="37"/>
      <c r="V283" s="37"/>
      <c r="W283" s="37"/>
    </row>
    <row r="284" spans="1:23" ht="15.75" customHeight="1" x14ac:dyDescent="0.25">
      <c r="A284" s="244"/>
      <c r="B284" s="245"/>
      <c r="C284" s="246"/>
      <c r="D284" s="37"/>
      <c r="E284" s="246"/>
      <c r="F284" s="247"/>
      <c r="G284" s="245"/>
      <c r="H284" s="246"/>
      <c r="I284" s="247"/>
      <c r="J284" s="37"/>
      <c r="K284" s="248"/>
      <c r="L284" s="248"/>
      <c r="M284" s="248"/>
      <c r="N284" s="248"/>
      <c r="O284" s="248"/>
      <c r="P284" s="249"/>
      <c r="Q284" s="250"/>
      <c r="R284" s="37"/>
      <c r="S284" s="37"/>
      <c r="T284" s="204"/>
      <c r="U284" s="37"/>
      <c r="V284" s="37"/>
      <c r="W284" s="37"/>
    </row>
    <row r="285" spans="1:23" ht="15.75" customHeight="1" x14ac:dyDescent="0.25">
      <c r="A285" s="244"/>
      <c r="B285" s="245"/>
      <c r="C285" s="246"/>
      <c r="D285" s="37"/>
      <c r="E285" s="246"/>
      <c r="F285" s="247"/>
      <c r="G285" s="245"/>
      <c r="H285" s="246"/>
      <c r="I285" s="247"/>
      <c r="J285" s="37"/>
      <c r="K285" s="248"/>
      <c r="L285" s="248"/>
      <c r="M285" s="248"/>
      <c r="N285" s="248"/>
      <c r="O285" s="248"/>
      <c r="P285" s="249"/>
      <c r="Q285" s="250"/>
      <c r="R285" s="37"/>
      <c r="S285" s="37"/>
      <c r="T285" s="204"/>
      <c r="U285" s="37"/>
      <c r="V285" s="37"/>
      <c r="W285" s="37"/>
    </row>
    <row r="286" spans="1:23" ht="15.75" customHeight="1" x14ac:dyDescent="0.25">
      <c r="A286" s="244"/>
      <c r="B286" s="245"/>
      <c r="C286" s="246"/>
      <c r="D286" s="37"/>
      <c r="E286" s="246"/>
      <c r="F286" s="247"/>
      <c r="G286" s="245"/>
      <c r="H286" s="246"/>
      <c r="I286" s="247"/>
      <c r="J286" s="37"/>
      <c r="K286" s="248"/>
      <c r="L286" s="248"/>
      <c r="M286" s="248"/>
      <c r="N286" s="248"/>
      <c r="O286" s="248"/>
      <c r="P286" s="249"/>
      <c r="Q286" s="250"/>
      <c r="R286" s="37"/>
      <c r="S286" s="37"/>
      <c r="T286" s="204"/>
      <c r="U286" s="37"/>
      <c r="V286" s="37"/>
      <c r="W286" s="37"/>
    </row>
    <row r="287" spans="1:23" ht="15.75" customHeight="1" x14ac:dyDescent="0.25">
      <c r="A287" s="244"/>
      <c r="B287" s="245"/>
      <c r="C287" s="246"/>
      <c r="D287" s="37"/>
      <c r="E287" s="246"/>
      <c r="F287" s="247"/>
      <c r="G287" s="245"/>
      <c r="H287" s="246"/>
      <c r="I287" s="247"/>
      <c r="J287" s="37"/>
      <c r="K287" s="248"/>
      <c r="L287" s="248"/>
      <c r="M287" s="248"/>
      <c r="N287" s="248"/>
      <c r="O287" s="248"/>
      <c r="P287" s="249"/>
      <c r="Q287" s="250"/>
      <c r="R287" s="37"/>
      <c r="S287" s="37"/>
      <c r="T287" s="204"/>
      <c r="U287" s="37"/>
      <c r="V287" s="37"/>
      <c r="W287" s="37"/>
    </row>
    <row r="288" spans="1:23" ht="15.75" customHeight="1" x14ac:dyDescent="0.25">
      <c r="A288" s="244"/>
      <c r="B288" s="245"/>
      <c r="C288" s="246"/>
      <c r="D288" s="37"/>
      <c r="E288" s="246"/>
      <c r="F288" s="247"/>
      <c r="G288" s="245"/>
      <c r="H288" s="246"/>
      <c r="I288" s="247"/>
      <c r="J288" s="37"/>
      <c r="K288" s="248"/>
      <c r="L288" s="248"/>
      <c r="M288" s="248"/>
      <c r="N288" s="248"/>
      <c r="O288" s="248"/>
      <c r="P288" s="249"/>
      <c r="Q288" s="250"/>
      <c r="R288" s="37"/>
      <c r="S288" s="37"/>
      <c r="T288" s="204"/>
      <c r="U288" s="37"/>
      <c r="V288" s="37"/>
      <c r="W288" s="37"/>
    </row>
    <row r="289" spans="1:23" ht="15.75" customHeight="1" x14ac:dyDescent="0.25">
      <c r="A289" s="244"/>
      <c r="B289" s="245"/>
      <c r="C289" s="246"/>
      <c r="D289" s="37"/>
      <c r="E289" s="246"/>
      <c r="F289" s="247"/>
      <c r="G289" s="245"/>
      <c r="H289" s="246"/>
      <c r="I289" s="247"/>
      <c r="J289" s="37"/>
      <c r="K289" s="248"/>
      <c r="L289" s="248"/>
      <c r="M289" s="248"/>
      <c r="N289" s="248"/>
      <c r="O289" s="248"/>
      <c r="P289" s="249"/>
      <c r="Q289" s="250"/>
      <c r="R289" s="37"/>
      <c r="S289" s="37"/>
      <c r="T289" s="204"/>
      <c r="U289" s="37"/>
      <c r="V289" s="37"/>
      <c r="W289" s="37"/>
    </row>
    <row r="290" spans="1:23" ht="15.75" customHeight="1" x14ac:dyDescent="0.25">
      <c r="A290" s="244"/>
      <c r="B290" s="245"/>
      <c r="C290" s="246"/>
      <c r="D290" s="37"/>
      <c r="E290" s="246"/>
      <c r="F290" s="247"/>
      <c r="G290" s="245"/>
      <c r="H290" s="246"/>
      <c r="I290" s="247"/>
      <c r="J290" s="37"/>
      <c r="K290" s="248"/>
      <c r="L290" s="248"/>
      <c r="M290" s="248"/>
      <c r="N290" s="248"/>
      <c r="O290" s="248"/>
      <c r="P290" s="249"/>
      <c r="Q290" s="250"/>
      <c r="R290" s="37"/>
      <c r="S290" s="37"/>
      <c r="T290" s="204"/>
      <c r="U290" s="37"/>
      <c r="V290" s="37"/>
      <c r="W290" s="37"/>
    </row>
    <row r="291" spans="1:23" ht="15.75" customHeight="1" x14ac:dyDescent="0.25">
      <c r="A291" s="244"/>
      <c r="B291" s="245"/>
      <c r="C291" s="246"/>
      <c r="D291" s="37"/>
      <c r="E291" s="246"/>
      <c r="F291" s="247"/>
      <c r="G291" s="245"/>
      <c r="H291" s="246"/>
      <c r="I291" s="247"/>
      <c r="J291" s="37"/>
      <c r="K291" s="248"/>
      <c r="L291" s="248"/>
      <c r="M291" s="248"/>
      <c r="N291" s="248"/>
      <c r="O291" s="248"/>
      <c r="P291" s="249"/>
      <c r="Q291" s="250"/>
      <c r="R291" s="37"/>
      <c r="S291" s="37"/>
      <c r="T291" s="204"/>
      <c r="U291" s="37"/>
      <c r="V291" s="37"/>
      <c r="W291" s="37"/>
    </row>
    <row r="292" spans="1:23" ht="15.75" customHeight="1" x14ac:dyDescent="0.25">
      <c r="A292" s="244"/>
      <c r="B292" s="245"/>
      <c r="C292" s="246"/>
      <c r="D292" s="37"/>
      <c r="E292" s="246"/>
      <c r="F292" s="247"/>
      <c r="G292" s="245"/>
      <c r="H292" s="246"/>
      <c r="I292" s="247"/>
      <c r="J292" s="37"/>
      <c r="K292" s="248"/>
      <c r="L292" s="248"/>
      <c r="M292" s="248"/>
      <c r="N292" s="248"/>
      <c r="O292" s="248"/>
      <c r="P292" s="249"/>
      <c r="Q292" s="250"/>
      <c r="R292" s="37"/>
      <c r="S292" s="37"/>
      <c r="T292" s="204"/>
      <c r="U292" s="37"/>
      <c r="V292" s="37"/>
      <c r="W292" s="37"/>
    </row>
    <row r="293" spans="1:23" ht="15.75" customHeight="1" x14ac:dyDescent="0.25">
      <c r="A293" s="244"/>
      <c r="B293" s="245"/>
      <c r="C293" s="246"/>
      <c r="D293" s="37"/>
      <c r="E293" s="246"/>
      <c r="F293" s="247"/>
      <c r="G293" s="245"/>
      <c r="H293" s="246"/>
      <c r="I293" s="247"/>
      <c r="J293" s="37"/>
      <c r="K293" s="248"/>
      <c r="L293" s="248"/>
      <c r="M293" s="248"/>
      <c r="N293" s="248"/>
      <c r="O293" s="248"/>
      <c r="P293" s="249"/>
      <c r="Q293" s="250"/>
      <c r="R293" s="37"/>
      <c r="S293" s="37"/>
      <c r="T293" s="204"/>
      <c r="U293" s="37"/>
      <c r="V293" s="37"/>
      <c r="W293" s="37"/>
    </row>
    <row r="294" spans="1:23" ht="15.75" customHeight="1" x14ac:dyDescent="0.25">
      <c r="A294" s="244"/>
      <c r="B294" s="245"/>
      <c r="C294" s="246"/>
      <c r="D294" s="37"/>
      <c r="E294" s="246"/>
      <c r="F294" s="247"/>
      <c r="G294" s="245"/>
      <c r="H294" s="246"/>
      <c r="I294" s="247"/>
      <c r="J294" s="37"/>
      <c r="K294" s="248"/>
      <c r="L294" s="248"/>
      <c r="M294" s="248"/>
      <c r="N294" s="248"/>
      <c r="O294" s="248"/>
      <c r="P294" s="249"/>
      <c r="Q294" s="250"/>
      <c r="R294" s="37"/>
      <c r="S294" s="37"/>
      <c r="T294" s="204"/>
      <c r="U294" s="37"/>
      <c r="V294" s="37"/>
      <c r="W294" s="37"/>
    </row>
    <row r="295" spans="1:23" ht="15.75" customHeight="1" x14ac:dyDescent="0.25">
      <c r="A295" s="244"/>
      <c r="B295" s="245"/>
      <c r="C295" s="246"/>
      <c r="D295" s="37"/>
      <c r="E295" s="246"/>
      <c r="F295" s="247"/>
      <c r="G295" s="245"/>
      <c r="H295" s="246"/>
      <c r="I295" s="247"/>
      <c r="J295" s="37"/>
      <c r="K295" s="248"/>
      <c r="L295" s="248"/>
      <c r="M295" s="248"/>
      <c r="N295" s="248"/>
      <c r="O295" s="248"/>
      <c r="P295" s="249"/>
      <c r="Q295" s="250"/>
      <c r="R295" s="37"/>
      <c r="S295" s="37"/>
      <c r="T295" s="204"/>
      <c r="U295" s="37"/>
      <c r="V295" s="37"/>
      <c r="W295" s="37"/>
    </row>
    <row r="296" spans="1:23" ht="15.75" customHeight="1" x14ac:dyDescent="0.25">
      <c r="A296" s="244"/>
      <c r="B296" s="245"/>
      <c r="C296" s="246"/>
      <c r="D296" s="37"/>
      <c r="E296" s="246"/>
      <c r="F296" s="247"/>
      <c r="G296" s="245"/>
      <c r="H296" s="246"/>
      <c r="I296" s="247"/>
      <c r="J296" s="37"/>
      <c r="K296" s="248"/>
      <c r="L296" s="248"/>
      <c r="M296" s="248"/>
      <c r="N296" s="248"/>
      <c r="O296" s="248"/>
      <c r="P296" s="249"/>
      <c r="Q296" s="250"/>
      <c r="R296" s="37"/>
      <c r="S296" s="37"/>
      <c r="T296" s="204"/>
      <c r="U296" s="37"/>
      <c r="V296" s="37"/>
      <c r="W296" s="37"/>
    </row>
    <row r="297" spans="1:23" ht="15.75" customHeight="1" x14ac:dyDescent="0.25">
      <c r="A297" s="244"/>
      <c r="B297" s="245"/>
      <c r="C297" s="246"/>
      <c r="D297" s="37"/>
      <c r="E297" s="246"/>
      <c r="F297" s="247"/>
      <c r="G297" s="245"/>
      <c r="H297" s="246"/>
      <c r="I297" s="247"/>
      <c r="J297" s="37"/>
      <c r="K297" s="248"/>
      <c r="L297" s="248"/>
      <c r="M297" s="248"/>
      <c r="N297" s="248"/>
      <c r="O297" s="248"/>
      <c r="P297" s="249"/>
      <c r="Q297" s="250"/>
      <c r="R297" s="37"/>
      <c r="S297" s="37"/>
      <c r="T297" s="204"/>
      <c r="U297" s="37"/>
      <c r="V297" s="37"/>
      <c r="W297" s="37"/>
    </row>
    <row r="298" spans="1:23" ht="15.75" customHeight="1" x14ac:dyDescent="0.25">
      <c r="A298" s="244"/>
      <c r="B298" s="245"/>
      <c r="C298" s="246"/>
      <c r="D298" s="37"/>
      <c r="E298" s="246"/>
      <c r="F298" s="247"/>
      <c r="G298" s="245"/>
      <c r="H298" s="246"/>
      <c r="I298" s="247"/>
      <c r="J298" s="37"/>
      <c r="K298" s="248"/>
      <c r="L298" s="248"/>
      <c r="M298" s="248"/>
      <c r="N298" s="248"/>
      <c r="O298" s="248"/>
      <c r="P298" s="249"/>
      <c r="Q298" s="250"/>
      <c r="R298" s="37"/>
      <c r="S298" s="37"/>
      <c r="T298" s="204"/>
      <c r="U298" s="37"/>
      <c r="V298" s="37"/>
      <c r="W298" s="37"/>
    </row>
    <row r="299" spans="1:23" ht="15.75" customHeight="1" x14ac:dyDescent="0.25">
      <c r="A299" s="244"/>
      <c r="B299" s="245"/>
      <c r="C299" s="246"/>
      <c r="D299" s="37"/>
      <c r="E299" s="246"/>
      <c r="F299" s="247"/>
      <c r="G299" s="245"/>
      <c r="H299" s="246"/>
      <c r="I299" s="247"/>
      <c r="J299" s="37"/>
      <c r="K299" s="248"/>
      <c r="L299" s="248"/>
      <c r="M299" s="248"/>
      <c r="N299" s="248"/>
      <c r="O299" s="248"/>
      <c r="P299" s="249"/>
      <c r="Q299" s="250"/>
      <c r="R299" s="37"/>
      <c r="S299" s="37"/>
      <c r="T299" s="204"/>
      <c r="U299" s="37"/>
      <c r="V299" s="37"/>
      <c r="W299" s="37"/>
    </row>
    <row r="300" spans="1:23" ht="15.75" customHeight="1" x14ac:dyDescent="0.25">
      <c r="A300" s="244"/>
      <c r="B300" s="245"/>
      <c r="C300" s="246"/>
      <c r="D300" s="37"/>
      <c r="E300" s="246"/>
      <c r="F300" s="247"/>
      <c r="G300" s="245"/>
      <c r="H300" s="246"/>
      <c r="I300" s="247"/>
      <c r="J300" s="37"/>
      <c r="K300" s="248"/>
      <c r="L300" s="248"/>
      <c r="M300" s="248"/>
      <c r="N300" s="248"/>
      <c r="O300" s="248"/>
      <c r="P300" s="249"/>
      <c r="Q300" s="250"/>
      <c r="R300" s="37"/>
      <c r="S300" s="37"/>
      <c r="T300" s="204"/>
      <c r="U300" s="37"/>
      <c r="V300" s="37"/>
      <c r="W300" s="37"/>
    </row>
    <row r="301" spans="1:23" ht="15.75" customHeight="1" x14ac:dyDescent="0.25">
      <c r="A301" s="244"/>
      <c r="B301" s="245"/>
      <c r="C301" s="246"/>
      <c r="D301" s="37"/>
      <c r="E301" s="246"/>
      <c r="F301" s="247"/>
      <c r="G301" s="245"/>
      <c r="H301" s="246"/>
      <c r="I301" s="247"/>
      <c r="J301" s="37"/>
      <c r="K301" s="248"/>
      <c r="L301" s="248"/>
      <c r="M301" s="248"/>
      <c r="N301" s="248"/>
      <c r="O301" s="248"/>
      <c r="P301" s="249"/>
      <c r="Q301" s="250"/>
      <c r="R301" s="37"/>
      <c r="S301" s="37"/>
      <c r="T301" s="204"/>
      <c r="U301" s="37"/>
      <c r="V301" s="37"/>
      <c r="W301" s="37"/>
    </row>
    <row r="302" spans="1:23" ht="15.75" customHeight="1" x14ac:dyDescent="0.25">
      <c r="A302" s="244"/>
      <c r="B302" s="245"/>
      <c r="C302" s="246"/>
      <c r="D302" s="37"/>
      <c r="E302" s="246"/>
      <c r="F302" s="247"/>
      <c r="G302" s="245"/>
      <c r="H302" s="246"/>
      <c r="I302" s="247"/>
      <c r="J302" s="37"/>
      <c r="K302" s="248"/>
      <c r="L302" s="248"/>
      <c r="M302" s="248"/>
      <c r="N302" s="248"/>
      <c r="O302" s="248"/>
      <c r="P302" s="249"/>
      <c r="Q302" s="250"/>
      <c r="R302" s="37"/>
      <c r="S302" s="37"/>
      <c r="T302" s="204"/>
      <c r="U302" s="37"/>
      <c r="V302" s="37"/>
      <c r="W302" s="37"/>
    </row>
    <row r="303" spans="1:23" ht="15.75" customHeight="1" x14ac:dyDescent="0.25">
      <c r="A303" s="244"/>
      <c r="B303" s="245"/>
      <c r="C303" s="246"/>
      <c r="D303" s="37"/>
      <c r="E303" s="246"/>
      <c r="F303" s="247"/>
      <c r="G303" s="245"/>
      <c r="H303" s="246"/>
      <c r="I303" s="247"/>
      <c r="J303" s="37"/>
      <c r="K303" s="248"/>
      <c r="L303" s="248"/>
      <c r="M303" s="248"/>
      <c r="N303" s="248"/>
      <c r="O303" s="248"/>
      <c r="P303" s="249"/>
      <c r="Q303" s="250"/>
      <c r="R303" s="37"/>
      <c r="S303" s="37"/>
      <c r="T303" s="204"/>
      <c r="U303" s="37"/>
      <c r="V303" s="37"/>
      <c r="W303" s="37"/>
    </row>
    <row r="304" spans="1:23" ht="15.75" customHeight="1" x14ac:dyDescent="0.25">
      <c r="A304" s="244"/>
      <c r="B304" s="245"/>
      <c r="C304" s="246"/>
      <c r="D304" s="37"/>
      <c r="E304" s="246"/>
      <c r="F304" s="247"/>
      <c r="G304" s="245"/>
      <c r="H304" s="246"/>
      <c r="I304" s="247"/>
      <c r="J304" s="37"/>
      <c r="K304" s="248"/>
      <c r="L304" s="248"/>
      <c r="M304" s="248"/>
      <c r="N304" s="248"/>
      <c r="O304" s="248"/>
      <c r="P304" s="249"/>
      <c r="Q304" s="250"/>
      <c r="R304" s="37"/>
      <c r="S304" s="37"/>
      <c r="T304" s="204"/>
      <c r="U304" s="37"/>
      <c r="V304" s="37"/>
      <c r="W304" s="37"/>
    </row>
    <row r="305" spans="1:23" ht="15.75" customHeight="1" x14ac:dyDescent="0.25">
      <c r="A305" s="244"/>
      <c r="B305" s="245"/>
      <c r="C305" s="246"/>
      <c r="D305" s="37"/>
      <c r="E305" s="246"/>
      <c r="F305" s="247"/>
      <c r="G305" s="245"/>
      <c r="H305" s="246"/>
      <c r="I305" s="247"/>
      <c r="J305" s="37"/>
      <c r="K305" s="248"/>
      <c r="L305" s="248"/>
      <c r="M305" s="248"/>
      <c r="N305" s="248"/>
      <c r="O305" s="248"/>
      <c r="P305" s="249"/>
      <c r="Q305" s="250"/>
      <c r="R305" s="37"/>
      <c r="S305" s="37"/>
      <c r="T305" s="204"/>
      <c r="U305" s="37"/>
      <c r="V305" s="37"/>
      <c r="W305" s="37"/>
    </row>
    <row r="306" spans="1:23" ht="15.75" customHeight="1" x14ac:dyDescent="0.25">
      <c r="A306" s="244"/>
      <c r="B306" s="245"/>
      <c r="C306" s="246"/>
      <c r="D306" s="37"/>
      <c r="E306" s="246"/>
      <c r="F306" s="247"/>
      <c r="G306" s="245"/>
      <c r="H306" s="246"/>
      <c r="I306" s="247"/>
      <c r="J306" s="37"/>
      <c r="K306" s="248"/>
      <c r="L306" s="248"/>
      <c r="M306" s="248"/>
      <c r="N306" s="248"/>
      <c r="O306" s="248"/>
      <c r="P306" s="249"/>
      <c r="Q306" s="250"/>
      <c r="R306" s="37"/>
      <c r="S306" s="37"/>
      <c r="T306" s="204"/>
      <c r="U306" s="37"/>
      <c r="V306" s="37"/>
      <c r="W306" s="37"/>
    </row>
    <row r="307" spans="1:23" ht="15.75" customHeight="1" x14ac:dyDescent="0.25">
      <c r="A307" s="244"/>
      <c r="B307" s="245"/>
      <c r="C307" s="246"/>
      <c r="D307" s="37"/>
      <c r="E307" s="246"/>
      <c r="F307" s="247"/>
      <c r="G307" s="245"/>
      <c r="H307" s="246"/>
      <c r="I307" s="247"/>
      <c r="J307" s="37"/>
      <c r="K307" s="248"/>
      <c r="L307" s="248"/>
      <c r="M307" s="248"/>
      <c r="N307" s="248"/>
      <c r="O307" s="248"/>
      <c r="P307" s="249"/>
      <c r="Q307" s="250"/>
      <c r="R307" s="37"/>
      <c r="S307" s="37"/>
      <c r="T307" s="204"/>
      <c r="U307" s="37"/>
      <c r="V307" s="37"/>
      <c r="W307" s="37"/>
    </row>
    <row r="308" spans="1:23" ht="15.75" customHeight="1" x14ac:dyDescent="0.25">
      <c r="A308" s="244"/>
      <c r="B308" s="245"/>
      <c r="C308" s="246"/>
      <c r="D308" s="37"/>
      <c r="E308" s="246"/>
      <c r="F308" s="247"/>
      <c r="G308" s="245"/>
      <c r="H308" s="246"/>
      <c r="I308" s="247"/>
      <c r="J308" s="37"/>
      <c r="K308" s="248"/>
      <c r="L308" s="248"/>
      <c r="M308" s="248"/>
      <c r="N308" s="248"/>
      <c r="O308" s="248"/>
      <c r="P308" s="249"/>
      <c r="Q308" s="250"/>
      <c r="R308" s="37"/>
      <c r="S308" s="37"/>
      <c r="T308" s="204"/>
      <c r="U308" s="37"/>
      <c r="V308" s="37"/>
      <c r="W308" s="37"/>
    </row>
    <row r="309" spans="1:23" ht="15.75" customHeight="1" x14ac:dyDescent="0.25">
      <c r="A309" s="244"/>
      <c r="B309" s="245"/>
      <c r="C309" s="246"/>
      <c r="D309" s="37"/>
      <c r="E309" s="246"/>
      <c r="F309" s="247"/>
      <c r="G309" s="245"/>
      <c r="H309" s="246"/>
      <c r="I309" s="247"/>
      <c r="J309" s="37"/>
      <c r="K309" s="248"/>
      <c r="L309" s="248"/>
      <c r="M309" s="248"/>
      <c r="N309" s="248"/>
      <c r="O309" s="248"/>
      <c r="P309" s="249"/>
      <c r="Q309" s="250"/>
      <c r="R309" s="37"/>
      <c r="S309" s="37"/>
      <c r="T309" s="204"/>
      <c r="U309" s="37"/>
      <c r="V309" s="37"/>
      <c r="W309" s="37"/>
    </row>
    <row r="310" spans="1:23" ht="15.75" customHeight="1" x14ac:dyDescent="0.25">
      <c r="A310" s="244"/>
      <c r="B310" s="245"/>
      <c r="C310" s="246"/>
      <c r="D310" s="37"/>
      <c r="E310" s="246"/>
      <c r="F310" s="247"/>
      <c r="G310" s="245"/>
      <c r="H310" s="246"/>
      <c r="I310" s="247"/>
      <c r="J310" s="37"/>
      <c r="K310" s="248"/>
      <c r="L310" s="248"/>
      <c r="M310" s="248"/>
      <c r="N310" s="248"/>
      <c r="O310" s="248"/>
      <c r="P310" s="249"/>
      <c r="Q310" s="250"/>
      <c r="R310" s="37"/>
      <c r="S310" s="37"/>
      <c r="T310" s="204"/>
      <c r="U310" s="37"/>
      <c r="V310" s="37"/>
      <c r="W310" s="37"/>
    </row>
    <row r="311" spans="1:23" ht="15.75" customHeight="1" x14ac:dyDescent="0.25">
      <c r="A311" s="244"/>
      <c r="B311" s="245"/>
      <c r="C311" s="246"/>
      <c r="D311" s="37"/>
      <c r="E311" s="246"/>
      <c r="F311" s="247"/>
      <c r="G311" s="245"/>
      <c r="H311" s="246"/>
      <c r="I311" s="247"/>
      <c r="J311" s="37"/>
      <c r="K311" s="248"/>
      <c r="L311" s="248"/>
      <c r="M311" s="248"/>
      <c r="N311" s="248"/>
      <c r="O311" s="248"/>
      <c r="P311" s="249"/>
      <c r="Q311" s="250"/>
      <c r="R311" s="37"/>
      <c r="S311" s="37"/>
      <c r="T311" s="204"/>
      <c r="U311" s="37"/>
      <c r="V311" s="37"/>
      <c r="W311" s="37"/>
    </row>
    <row r="312" spans="1:23" ht="15.75" customHeight="1" x14ac:dyDescent="0.25">
      <c r="A312" s="244"/>
      <c r="B312" s="245"/>
      <c r="C312" s="246"/>
      <c r="D312" s="37"/>
      <c r="E312" s="246"/>
      <c r="F312" s="247"/>
      <c r="G312" s="245"/>
      <c r="H312" s="246"/>
      <c r="I312" s="247"/>
      <c r="J312" s="37"/>
      <c r="K312" s="248"/>
      <c r="L312" s="248"/>
      <c r="M312" s="248"/>
      <c r="N312" s="248"/>
      <c r="O312" s="248"/>
      <c r="P312" s="249"/>
      <c r="Q312" s="250"/>
      <c r="R312" s="37"/>
      <c r="S312" s="37"/>
      <c r="T312" s="204"/>
      <c r="U312" s="37"/>
      <c r="V312" s="37"/>
      <c r="W312" s="37"/>
    </row>
    <row r="313" spans="1:23" ht="15.75" customHeight="1" x14ac:dyDescent="0.25">
      <c r="A313" s="244"/>
      <c r="B313" s="245"/>
      <c r="C313" s="246"/>
      <c r="D313" s="37"/>
      <c r="E313" s="246"/>
      <c r="F313" s="247"/>
      <c r="G313" s="245"/>
      <c r="H313" s="246"/>
      <c r="I313" s="247"/>
      <c r="J313" s="37"/>
      <c r="K313" s="248"/>
      <c r="L313" s="248"/>
      <c r="M313" s="248"/>
      <c r="N313" s="248"/>
      <c r="O313" s="248"/>
      <c r="P313" s="249"/>
      <c r="Q313" s="250"/>
      <c r="R313" s="37"/>
      <c r="S313" s="37"/>
      <c r="T313" s="204"/>
      <c r="U313" s="37"/>
      <c r="V313" s="37"/>
      <c r="W313" s="37"/>
    </row>
    <row r="314" spans="1:23" ht="15.75" customHeight="1" x14ac:dyDescent="0.25">
      <c r="A314" s="244"/>
      <c r="B314" s="245"/>
      <c r="C314" s="246"/>
      <c r="D314" s="37"/>
      <c r="E314" s="246"/>
      <c r="F314" s="247"/>
      <c r="G314" s="245"/>
      <c r="H314" s="246"/>
      <c r="I314" s="247"/>
      <c r="J314" s="37"/>
      <c r="K314" s="248"/>
      <c r="L314" s="248"/>
      <c r="M314" s="248"/>
      <c r="N314" s="248"/>
      <c r="O314" s="248"/>
      <c r="P314" s="249"/>
      <c r="Q314" s="250"/>
      <c r="R314" s="37"/>
      <c r="S314" s="37"/>
      <c r="T314" s="204"/>
      <c r="U314" s="37"/>
      <c r="V314" s="37"/>
      <c r="W314" s="37"/>
    </row>
    <row r="315" spans="1:23" ht="15.75" customHeight="1" x14ac:dyDescent="0.25">
      <c r="A315" s="244"/>
      <c r="B315" s="245"/>
      <c r="C315" s="246"/>
      <c r="D315" s="37"/>
      <c r="E315" s="246"/>
      <c r="F315" s="247"/>
      <c r="G315" s="245"/>
      <c r="H315" s="246"/>
      <c r="I315" s="247"/>
      <c r="J315" s="37"/>
      <c r="K315" s="248"/>
      <c r="L315" s="248"/>
      <c r="M315" s="248"/>
      <c r="N315" s="248"/>
      <c r="O315" s="248"/>
      <c r="P315" s="249"/>
      <c r="Q315" s="250"/>
      <c r="R315" s="37"/>
      <c r="S315" s="37"/>
      <c r="T315" s="204"/>
      <c r="U315" s="37"/>
      <c r="V315" s="37"/>
      <c r="W315" s="37"/>
    </row>
    <row r="316" spans="1:23" ht="15.75" customHeight="1" x14ac:dyDescent="0.25">
      <c r="A316" s="244"/>
      <c r="B316" s="245"/>
      <c r="C316" s="246"/>
      <c r="D316" s="37"/>
      <c r="E316" s="246"/>
      <c r="F316" s="247"/>
      <c r="G316" s="245"/>
      <c r="H316" s="246"/>
      <c r="I316" s="247"/>
      <c r="J316" s="37"/>
      <c r="K316" s="248"/>
      <c r="L316" s="248"/>
      <c r="M316" s="248"/>
      <c r="N316" s="248"/>
      <c r="O316" s="248"/>
      <c r="P316" s="249"/>
      <c r="Q316" s="250"/>
      <c r="R316" s="37"/>
      <c r="S316" s="37"/>
      <c r="T316" s="204"/>
      <c r="U316" s="37"/>
      <c r="V316" s="37"/>
      <c r="W316" s="37"/>
    </row>
    <row r="317" spans="1:23" ht="15.75" customHeight="1" x14ac:dyDescent="0.25">
      <c r="A317" s="244"/>
      <c r="B317" s="245"/>
      <c r="C317" s="246"/>
      <c r="D317" s="37"/>
      <c r="E317" s="246"/>
      <c r="F317" s="247"/>
      <c r="G317" s="245"/>
      <c r="H317" s="246"/>
      <c r="I317" s="247"/>
      <c r="J317" s="37"/>
      <c r="K317" s="248"/>
      <c r="L317" s="248"/>
      <c r="M317" s="248"/>
      <c r="N317" s="248"/>
      <c r="O317" s="248"/>
      <c r="P317" s="249"/>
      <c r="Q317" s="250"/>
      <c r="R317" s="37"/>
      <c r="S317" s="37"/>
      <c r="T317" s="204"/>
      <c r="U317" s="37"/>
      <c r="V317" s="37"/>
      <c r="W317" s="37"/>
    </row>
    <row r="318" spans="1:23" ht="15.75" customHeight="1" x14ac:dyDescent="0.25">
      <c r="A318" s="244"/>
      <c r="B318" s="245"/>
      <c r="C318" s="246"/>
      <c r="D318" s="37"/>
      <c r="E318" s="246"/>
      <c r="F318" s="247"/>
      <c r="G318" s="245"/>
      <c r="H318" s="246"/>
      <c r="I318" s="247"/>
      <c r="J318" s="37"/>
      <c r="K318" s="248"/>
      <c r="L318" s="248"/>
      <c r="M318" s="248"/>
      <c r="N318" s="248"/>
      <c r="O318" s="248"/>
      <c r="P318" s="249"/>
      <c r="Q318" s="250"/>
      <c r="R318" s="37"/>
      <c r="S318" s="37"/>
      <c r="T318" s="204"/>
      <c r="U318" s="37"/>
      <c r="V318" s="37"/>
      <c r="W318" s="37"/>
    </row>
    <row r="319" spans="1:23" ht="15.75" customHeight="1" x14ac:dyDescent="0.25">
      <c r="A319" s="244"/>
      <c r="B319" s="245"/>
      <c r="C319" s="246"/>
      <c r="D319" s="37"/>
      <c r="E319" s="246"/>
      <c r="F319" s="247"/>
      <c r="G319" s="245"/>
      <c r="H319" s="246"/>
      <c r="I319" s="247"/>
      <c r="J319" s="37"/>
      <c r="K319" s="248"/>
      <c r="L319" s="248"/>
      <c r="M319" s="248"/>
      <c r="N319" s="248"/>
      <c r="O319" s="248"/>
      <c r="P319" s="249"/>
      <c r="Q319" s="250"/>
      <c r="R319" s="37"/>
      <c r="S319" s="37"/>
      <c r="T319" s="204"/>
      <c r="U319" s="37"/>
      <c r="V319" s="37"/>
      <c r="W319" s="37"/>
    </row>
    <row r="320" spans="1:23" ht="15.75" customHeight="1" x14ac:dyDescent="0.25">
      <c r="A320" s="244"/>
      <c r="B320" s="245"/>
      <c r="C320" s="246"/>
      <c r="D320" s="37"/>
      <c r="E320" s="246"/>
      <c r="F320" s="247"/>
      <c r="G320" s="245"/>
      <c r="H320" s="246"/>
      <c r="I320" s="247"/>
      <c r="J320" s="37"/>
      <c r="K320" s="248"/>
      <c r="L320" s="248"/>
      <c r="M320" s="248"/>
      <c r="N320" s="248"/>
      <c r="O320" s="248"/>
      <c r="P320" s="249"/>
      <c r="Q320" s="250"/>
      <c r="R320" s="37"/>
      <c r="S320" s="37"/>
      <c r="T320" s="204"/>
      <c r="U320" s="37"/>
      <c r="V320" s="37"/>
      <c r="W320" s="37"/>
    </row>
    <row r="321" spans="1:23" ht="15.75" customHeight="1" x14ac:dyDescent="0.25">
      <c r="A321" s="244"/>
      <c r="B321" s="245"/>
      <c r="C321" s="246"/>
      <c r="D321" s="37"/>
      <c r="E321" s="246"/>
      <c r="F321" s="247"/>
      <c r="G321" s="245"/>
      <c r="H321" s="246"/>
      <c r="I321" s="247"/>
      <c r="J321" s="37"/>
      <c r="K321" s="248"/>
      <c r="L321" s="248"/>
      <c r="M321" s="248"/>
      <c r="N321" s="248"/>
      <c r="O321" s="248"/>
      <c r="P321" s="249"/>
      <c r="Q321" s="250"/>
      <c r="R321" s="37"/>
      <c r="S321" s="37"/>
      <c r="T321" s="204"/>
      <c r="U321" s="37"/>
      <c r="V321" s="37"/>
      <c r="W321" s="37"/>
    </row>
    <row r="322" spans="1:23" ht="15.75" customHeight="1" x14ac:dyDescent="0.25">
      <c r="A322" s="244"/>
      <c r="B322" s="245"/>
      <c r="C322" s="246"/>
      <c r="D322" s="37"/>
      <c r="E322" s="246"/>
      <c r="F322" s="247"/>
      <c r="G322" s="245"/>
      <c r="H322" s="246"/>
      <c r="I322" s="247"/>
      <c r="J322" s="37"/>
      <c r="K322" s="248"/>
      <c r="L322" s="248"/>
      <c r="M322" s="248"/>
      <c r="N322" s="248"/>
      <c r="O322" s="248"/>
      <c r="P322" s="249"/>
      <c r="Q322" s="250"/>
      <c r="R322" s="37"/>
      <c r="S322" s="37"/>
      <c r="T322" s="204"/>
      <c r="U322" s="37"/>
      <c r="V322" s="37"/>
      <c r="W322" s="37"/>
    </row>
    <row r="323" spans="1:23" ht="15.75" customHeight="1" x14ac:dyDescent="0.25">
      <c r="A323" s="244"/>
      <c r="B323" s="245"/>
      <c r="C323" s="246"/>
      <c r="D323" s="37"/>
      <c r="E323" s="246"/>
      <c r="F323" s="247"/>
      <c r="G323" s="245"/>
      <c r="H323" s="246"/>
      <c r="I323" s="247"/>
      <c r="J323" s="37"/>
      <c r="K323" s="248"/>
      <c r="L323" s="248"/>
      <c r="M323" s="248"/>
      <c r="N323" s="248"/>
      <c r="O323" s="248"/>
      <c r="P323" s="249"/>
      <c r="Q323" s="250"/>
      <c r="R323" s="37"/>
      <c r="S323" s="37"/>
      <c r="T323" s="204"/>
      <c r="U323" s="37"/>
      <c r="V323" s="37"/>
      <c r="W323" s="37"/>
    </row>
    <row r="324" spans="1:23" ht="15.75" customHeight="1" x14ac:dyDescent="0.25">
      <c r="A324" s="244"/>
      <c r="B324" s="245"/>
      <c r="C324" s="246"/>
      <c r="D324" s="37"/>
      <c r="E324" s="246"/>
      <c r="F324" s="247"/>
      <c r="G324" s="245"/>
      <c r="H324" s="246"/>
      <c r="I324" s="247"/>
      <c r="J324" s="37"/>
      <c r="K324" s="248"/>
      <c r="L324" s="248"/>
      <c r="M324" s="248"/>
      <c r="N324" s="248"/>
      <c r="O324" s="248"/>
      <c r="P324" s="249"/>
      <c r="Q324" s="250"/>
      <c r="R324" s="37"/>
      <c r="S324" s="37"/>
      <c r="T324" s="204"/>
      <c r="U324" s="37"/>
      <c r="V324" s="37"/>
      <c r="W324" s="37"/>
    </row>
    <row r="325" spans="1:23" ht="15.75" customHeight="1" x14ac:dyDescent="0.25">
      <c r="A325" s="244"/>
      <c r="B325" s="245"/>
      <c r="C325" s="246"/>
      <c r="D325" s="37"/>
      <c r="E325" s="246"/>
      <c r="F325" s="247"/>
      <c r="G325" s="245"/>
      <c r="H325" s="246"/>
      <c r="I325" s="247"/>
      <c r="J325" s="37"/>
      <c r="K325" s="248"/>
      <c r="L325" s="248"/>
      <c r="M325" s="248"/>
      <c r="N325" s="248"/>
      <c r="O325" s="248"/>
      <c r="P325" s="249"/>
      <c r="Q325" s="250"/>
      <c r="R325" s="37"/>
      <c r="S325" s="37"/>
      <c r="T325" s="204"/>
      <c r="U325" s="37"/>
      <c r="V325" s="37"/>
      <c r="W325" s="37"/>
    </row>
    <row r="326" spans="1:23" ht="15.75" customHeight="1" x14ac:dyDescent="0.25">
      <c r="A326" s="244"/>
      <c r="B326" s="245"/>
      <c r="C326" s="246"/>
      <c r="D326" s="37"/>
      <c r="E326" s="246"/>
      <c r="F326" s="247"/>
      <c r="G326" s="245"/>
      <c r="H326" s="246"/>
      <c r="I326" s="247"/>
      <c r="J326" s="37"/>
      <c r="K326" s="248"/>
      <c r="L326" s="248"/>
      <c r="M326" s="248"/>
      <c r="N326" s="248"/>
      <c r="O326" s="248"/>
      <c r="P326" s="249"/>
      <c r="Q326" s="250"/>
      <c r="R326" s="37"/>
      <c r="S326" s="37"/>
      <c r="T326" s="204"/>
      <c r="U326" s="37"/>
      <c r="V326" s="37"/>
      <c r="W326" s="37"/>
    </row>
    <row r="327" spans="1:23" ht="15.75" customHeight="1" x14ac:dyDescent="0.25">
      <c r="A327" s="244"/>
      <c r="B327" s="245"/>
      <c r="C327" s="246"/>
      <c r="D327" s="37"/>
      <c r="E327" s="246"/>
      <c r="F327" s="247"/>
      <c r="G327" s="245"/>
      <c r="H327" s="246"/>
      <c r="I327" s="247"/>
      <c r="J327" s="37"/>
      <c r="K327" s="248"/>
      <c r="L327" s="248"/>
      <c r="M327" s="248"/>
      <c r="N327" s="248"/>
      <c r="O327" s="248"/>
      <c r="P327" s="249"/>
      <c r="Q327" s="250"/>
      <c r="R327" s="37"/>
      <c r="S327" s="37"/>
      <c r="T327" s="204"/>
      <c r="U327" s="37"/>
      <c r="V327" s="37"/>
      <c r="W327" s="37"/>
    </row>
    <row r="328" spans="1:23" ht="15.75" customHeight="1" x14ac:dyDescent="0.25">
      <c r="A328" s="244"/>
      <c r="B328" s="245"/>
      <c r="C328" s="246"/>
      <c r="D328" s="37"/>
      <c r="E328" s="246"/>
      <c r="F328" s="247"/>
      <c r="G328" s="245"/>
      <c r="H328" s="246"/>
      <c r="I328" s="247"/>
      <c r="J328" s="37"/>
      <c r="K328" s="248"/>
      <c r="L328" s="248"/>
      <c r="M328" s="248"/>
      <c r="N328" s="248"/>
      <c r="O328" s="248"/>
      <c r="P328" s="249"/>
      <c r="Q328" s="250"/>
      <c r="R328" s="37"/>
      <c r="S328" s="37"/>
      <c r="T328" s="204"/>
      <c r="U328" s="37"/>
      <c r="V328" s="37"/>
      <c r="W328" s="37"/>
    </row>
    <row r="329" spans="1:23" ht="15.75" customHeight="1" x14ac:dyDescent="0.25">
      <c r="A329" s="244"/>
      <c r="B329" s="245"/>
      <c r="C329" s="246"/>
      <c r="D329" s="37"/>
      <c r="E329" s="246"/>
      <c r="F329" s="247"/>
      <c r="G329" s="245"/>
      <c r="H329" s="246"/>
      <c r="I329" s="247"/>
      <c r="J329" s="37"/>
      <c r="K329" s="248"/>
      <c r="L329" s="248"/>
      <c r="M329" s="248"/>
      <c r="N329" s="248"/>
      <c r="O329" s="248"/>
      <c r="P329" s="249"/>
      <c r="Q329" s="250"/>
      <c r="R329" s="37"/>
      <c r="S329" s="37"/>
      <c r="T329" s="204"/>
      <c r="U329" s="37"/>
      <c r="V329" s="37"/>
      <c r="W329" s="37"/>
    </row>
    <row r="330" spans="1:23" ht="15.75" customHeight="1" x14ac:dyDescent="0.25">
      <c r="A330" s="244"/>
      <c r="B330" s="245"/>
      <c r="C330" s="246"/>
      <c r="D330" s="37"/>
      <c r="E330" s="246"/>
      <c r="F330" s="247"/>
      <c r="G330" s="245"/>
      <c r="H330" s="246"/>
      <c r="I330" s="247"/>
      <c r="J330" s="37"/>
      <c r="K330" s="248"/>
      <c r="L330" s="248"/>
      <c r="M330" s="248"/>
      <c r="N330" s="248"/>
      <c r="O330" s="248"/>
      <c r="P330" s="249"/>
      <c r="Q330" s="250"/>
      <c r="R330" s="37"/>
      <c r="S330" s="37"/>
      <c r="T330" s="204"/>
      <c r="U330" s="37"/>
      <c r="V330" s="37"/>
      <c r="W330" s="37"/>
    </row>
    <row r="331" spans="1:23" ht="15.75" customHeight="1" x14ac:dyDescent="0.25">
      <c r="A331" s="244"/>
      <c r="B331" s="245"/>
      <c r="C331" s="246"/>
      <c r="D331" s="37"/>
      <c r="E331" s="246"/>
      <c r="F331" s="247"/>
      <c r="G331" s="245"/>
      <c r="H331" s="246"/>
      <c r="I331" s="247"/>
      <c r="J331" s="37"/>
      <c r="K331" s="248"/>
      <c r="L331" s="248"/>
      <c r="M331" s="248"/>
      <c r="N331" s="248"/>
      <c r="O331" s="248"/>
      <c r="P331" s="249"/>
      <c r="Q331" s="250"/>
      <c r="R331" s="37"/>
      <c r="S331" s="37"/>
      <c r="T331" s="204"/>
      <c r="U331" s="37"/>
      <c r="V331" s="37"/>
      <c r="W331" s="37"/>
    </row>
    <row r="332" spans="1:23" ht="15.75" customHeight="1" x14ac:dyDescent="0.25">
      <c r="A332" s="244"/>
      <c r="B332" s="245"/>
      <c r="C332" s="246"/>
      <c r="D332" s="37"/>
      <c r="E332" s="246"/>
      <c r="F332" s="247"/>
      <c r="G332" s="245"/>
      <c r="H332" s="246"/>
      <c r="I332" s="247"/>
      <c r="J332" s="37"/>
      <c r="K332" s="248"/>
      <c r="L332" s="248"/>
      <c r="M332" s="248"/>
      <c r="N332" s="248"/>
      <c r="O332" s="248"/>
      <c r="P332" s="249"/>
      <c r="Q332" s="250"/>
      <c r="R332" s="37"/>
      <c r="S332" s="37"/>
      <c r="T332" s="204"/>
      <c r="U332" s="37"/>
      <c r="V332" s="37"/>
      <c r="W332" s="37"/>
    </row>
    <row r="333" spans="1:23" ht="15.75" customHeight="1" x14ac:dyDescent="0.25">
      <c r="A333" s="244"/>
      <c r="B333" s="245"/>
      <c r="C333" s="246"/>
      <c r="D333" s="37"/>
      <c r="E333" s="246"/>
      <c r="F333" s="247"/>
      <c r="G333" s="245"/>
      <c r="H333" s="246"/>
      <c r="I333" s="247"/>
      <c r="J333" s="37"/>
      <c r="K333" s="248"/>
      <c r="L333" s="248"/>
      <c r="M333" s="248"/>
      <c r="N333" s="248"/>
      <c r="O333" s="248"/>
      <c r="P333" s="249"/>
      <c r="Q333" s="250"/>
      <c r="R333" s="37"/>
      <c r="S333" s="37"/>
      <c r="T333" s="204"/>
      <c r="U333" s="37"/>
      <c r="V333" s="37"/>
      <c r="W333" s="37"/>
    </row>
    <row r="334" spans="1:23" ht="15.75" customHeight="1" x14ac:dyDescent="0.25">
      <c r="A334" s="244"/>
      <c r="B334" s="245"/>
      <c r="C334" s="246"/>
      <c r="D334" s="37"/>
      <c r="E334" s="246"/>
      <c r="F334" s="247"/>
      <c r="G334" s="245"/>
      <c r="H334" s="246"/>
      <c r="I334" s="247"/>
      <c r="J334" s="37"/>
      <c r="K334" s="248"/>
      <c r="L334" s="248"/>
      <c r="M334" s="248"/>
      <c r="N334" s="248"/>
      <c r="O334" s="248"/>
      <c r="P334" s="249"/>
      <c r="Q334" s="250"/>
      <c r="R334" s="37"/>
      <c r="S334" s="37"/>
      <c r="T334" s="204"/>
      <c r="U334" s="37"/>
      <c r="V334" s="37"/>
      <c r="W334" s="37"/>
    </row>
    <row r="335" spans="1:23" ht="15.75" customHeight="1" x14ac:dyDescent="0.25">
      <c r="A335" s="244"/>
      <c r="B335" s="245"/>
      <c r="C335" s="246"/>
      <c r="D335" s="37"/>
      <c r="E335" s="246"/>
      <c r="F335" s="247"/>
      <c r="G335" s="245"/>
      <c r="H335" s="246"/>
      <c r="I335" s="247"/>
      <c r="J335" s="37"/>
      <c r="K335" s="248"/>
      <c r="L335" s="248"/>
      <c r="M335" s="248"/>
      <c r="N335" s="248"/>
      <c r="O335" s="248"/>
      <c r="P335" s="249"/>
      <c r="Q335" s="250"/>
      <c r="R335" s="37"/>
      <c r="S335" s="37"/>
      <c r="T335" s="204"/>
      <c r="U335" s="37"/>
      <c r="V335" s="37"/>
      <c r="W335" s="37"/>
    </row>
    <row r="336" spans="1:23" ht="15.75" customHeight="1" x14ac:dyDescent="0.25">
      <c r="A336" s="244"/>
      <c r="B336" s="245"/>
      <c r="C336" s="246"/>
      <c r="D336" s="37"/>
      <c r="E336" s="246"/>
      <c r="F336" s="247"/>
      <c r="G336" s="245"/>
      <c r="H336" s="246"/>
      <c r="I336" s="247"/>
      <c r="J336" s="37"/>
      <c r="K336" s="248"/>
      <c r="L336" s="248"/>
      <c r="M336" s="248"/>
      <c r="N336" s="248"/>
      <c r="O336" s="248"/>
      <c r="P336" s="249"/>
      <c r="Q336" s="250"/>
      <c r="R336" s="37"/>
      <c r="S336" s="37"/>
      <c r="T336" s="204"/>
      <c r="U336" s="37"/>
      <c r="V336" s="37"/>
      <c r="W336" s="37"/>
    </row>
    <row r="337" spans="1:23" ht="15.75" customHeight="1" x14ac:dyDescent="0.25">
      <c r="A337" s="244"/>
      <c r="B337" s="245"/>
      <c r="C337" s="246"/>
      <c r="D337" s="37"/>
      <c r="E337" s="246"/>
      <c r="F337" s="247"/>
      <c r="G337" s="245"/>
      <c r="H337" s="246"/>
      <c r="I337" s="247"/>
      <c r="J337" s="37"/>
      <c r="K337" s="248"/>
      <c r="L337" s="248"/>
      <c r="M337" s="248"/>
      <c r="N337" s="248"/>
      <c r="O337" s="248"/>
      <c r="P337" s="249"/>
      <c r="Q337" s="250"/>
      <c r="R337" s="37"/>
      <c r="S337" s="37"/>
      <c r="T337" s="204"/>
      <c r="U337" s="37"/>
      <c r="V337" s="37"/>
      <c r="W337" s="37"/>
    </row>
    <row r="338" spans="1:23" ht="15.75" customHeight="1" x14ac:dyDescent="0.25">
      <c r="A338" s="244"/>
      <c r="B338" s="245"/>
      <c r="C338" s="246"/>
      <c r="D338" s="37"/>
      <c r="E338" s="246"/>
      <c r="F338" s="247"/>
      <c r="G338" s="245"/>
      <c r="H338" s="246"/>
      <c r="I338" s="247"/>
      <c r="J338" s="37"/>
      <c r="K338" s="248"/>
      <c r="L338" s="248"/>
      <c r="M338" s="248"/>
      <c r="N338" s="248"/>
      <c r="O338" s="248"/>
      <c r="P338" s="249"/>
      <c r="Q338" s="250"/>
      <c r="R338" s="37"/>
      <c r="S338" s="37"/>
      <c r="T338" s="204"/>
      <c r="U338" s="37"/>
      <c r="V338" s="37"/>
      <c r="W338" s="37"/>
    </row>
    <row r="339" spans="1:23" ht="15.75" customHeight="1" x14ac:dyDescent="0.25">
      <c r="A339" s="244"/>
      <c r="B339" s="245"/>
      <c r="C339" s="246"/>
      <c r="D339" s="37"/>
      <c r="E339" s="246"/>
      <c r="F339" s="247"/>
      <c r="G339" s="245"/>
      <c r="H339" s="246"/>
      <c r="I339" s="247"/>
      <c r="J339" s="37"/>
      <c r="K339" s="248"/>
      <c r="L339" s="248"/>
      <c r="M339" s="248"/>
      <c r="N339" s="248"/>
      <c r="O339" s="248"/>
      <c r="P339" s="249"/>
      <c r="Q339" s="250"/>
      <c r="R339" s="37"/>
      <c r="S339" s="37"/>
      <c r="T339" s="204"/>
      <c r="U339" s="37"/>
      <c r="V339" s="37"/>
      <c r="W339" s="37"/>
    </row>
    <row r="340" spans="1:23" ht="15.75" customHeight="1" x14ac:dyDescent="0.25">
      <c r="A340" s="244"/>
      <c r="B340" s="245"/>
      <c r="C340" s="246"/>
      <c r="D340" s="37"/>
      <c r="E340" s="246"/>
      <c r="F340" s="247"/>
      <c r="G340" s="245"/>
      <c r="H340" s="246"/>
      <c r="I340" s="247"/>
      <c r="J340" s="37"/>
      <c r="K340" s="248"/>
      <c r="L340" s="248"/>
      <c r="M340" s="248"/>
      <c r="N340" s="248"/>
      <c r="O340" s="248"/>
      <c r="P340" s="249"/>
      <c r="Q340" s="250"/>
      <c r="R340" s="37"/>
      <c r="S340" s="37"/>
      <c r="T340" s="204"/>
      <c r="U340" s="37"/>
      <c r="V340" s="37"/>
      <c r="W340" s="37"/>
    </row>
    <row r="341" spans="1:23" ht="15.75" customHeight="1" x14ac:dyDescent="0.25">
      <c r="A341" s="244"/>
      <c r="B341" s="245"/>
      <c r="C341" s="246"/>
      <c r="D341" s="37"/>
      <c r="E341" s="246"/>
      <c r="F341" s="247"/>
      <c r="G341" s="245"/>
      <c r="H341" s="246"/>
      <c r="I341" s="247"/>
      <c r="J341" s="37"/>
      <c r="K341" s="248"/>
      <c r="L341" s="248"/>
      <c r="M341" s="248"/>
      <c r="N341" s="248"/>
      <c r="O341" s="248"/>
      <c r="P341" s="249"/>
      <c r="Q341" s="250"/>
      <c r="R341" s="37"/>
      <c r="S341" s="37"/>
      <c r="T341" s="204"/>
      <c r="U341" s="37"/>
      <c r="V341" s="37"/>
      <c r="W341" s="37"/>
    </row>
    <row r="342" spans="1:23" ht="15.75" customHeight="1" x14ac:dyDescent="0.25">
      <c r="A342" s="244"/>
      <c r="B342" s="245"/>
      <c r="C342" s="246"/>
      <c r="D342" s="37"/>
      <c r="E342" s="246"/>
      <c r="F342" s="247"/>
      <c r="G342" s="245"/>
      <c r="H342" s="246"/>
      <c r="I342" s="247"/>
      <c r="J342" s="37"/>
      <c r="K342" s="248"/>
      <c r="L342" s="248"/>
      <c r="M342" s="248"/>
      <c r="N342" s="248"/>
      <c r="O342" s="248"/>
      <c r="P342" s="249"/>
      <c r="Q342" s="250"/>
      <c r="R342" s="37"/>
      <c r="S342" s="37"/>
      <c r="T342" s="204"/>
      <c r="U342" s="37"/>
      <c r="V342" s="37"/>
      <c r="W342" s="37"/>
    </row>
    <row r="343" spans="1:23" ht="15.75" customHeight="1" x14ac:dyDescent="0.25">
      <c r="A343" s="244"/>
      <c r="B343" s="245"/>
      <c r="C343" s="246"/>
      <c r="D343" s="37"/>
      <c r="E343" s="246"/>
      <c r="F343" s="247"/>
      <c r="G343" s="245"/>
      <c r="H343" s="246"/>
      <c r="I343" s="247"/>
      <c r="J343" s="37"/>
      <c r="K343" s="248"/>
      <c r="L343" s="248"/>
      <c r="M343" s="248"/>
      <c r="N343" s="248"/>
      <c r="O343" s="248"/>
      <c r="P343" s="249"/>
      <c r="Q343" s="250"/>
      <c r="R343" s="37"/>
      <c r="S343" s="37"/>
      <c r="T343" s="204"/>
      <c r="U343" s="37"/>
      <c r="V343" s="37"/>
      <c r="W343" s="37"/>
    </row>
    <row r="344" spans="1:23" ht="15.75" customHeight="1" x14ac:dyDescent="0.25">
      <c r="A344" s="244"/>
      <c r="B344" s="245"/>
      <c r="C344" s="246"/>
      <c r="D344" s="37"/>
      <c r="E344" s="246"/>
      <c r="F344" s="247"/>
      <c r="G344" s="245"/>
      <c r="H344" s="246"/>
      <c r="I344" s="247"/>
      <c r="J344" s="37"/>
      <c r="K344" s="248"/>
      <c r="L344" s="248"/>
      <c r="M344" s="248"/>
      <c r="N344" s="248"/>
      <c r="O344" s="248"/>
      <c r="P344" s="249"/>
      <c r="Q344" s="250"/>
      <c r="R344" s="37"/>
      <c r="S344" s="37"/>
      <c r="T344" s="204"/>
      <c r="U344" s="37"/>
      <c r="V344" s="37"/>
      <c r="W344" s="37"/>
    </row>
    <row r="345" spans="1:23" ht="15.75" customHeight="1" x14ac:dyDescent="0.25">
      <c r="A345" s="244"/>
      <c r="B345" s="245"/>
      <c r="C345" s="246"/>
      <c r="D345" s="37"/>
      <c r="E345" s="246"/>
      <c r="F345" s="247"/>
      <c r="G345" s="245"/>
      <c r="H345" s="246"/>
      <c r="I345" s="247"/>
      <c r="J345" s="37"/>
      <c r="K345" s="248"/>
      <c r="L345" s="248"/>
      <c r="M345" s="248"/>
      <c r="N345" s="248"/>
      <c r="O345" s="248"/>
      <c r="P345" s="249"/>
      <c r="Q345" s="250"/>
      <c r="R345" s="37"/>
      <c r="S345" s="37"/>
      <c r="T345" s="204"/>
      <c r="U345" s="37"/>
      <c r="V345" s="37"/>
      <c r="W345" s="37"/>
    </row>
    <row r="346" spans="1:23" ht="15.75" customHeight="1" x14ac:dyDescent="0.25">
      <c r="A346" s="244"/>
      <c r="B346" s="245"/>
      <c r="C346" s="246"/>
      <c r="D346" s="37"/>
      <c r="E346" s="246"/>
      <c r="F346" s="247"/>
      <c r="G346" s="245"/>
      <c r="H346" s="246"/>
      <c r="I346" s="247"/>
      <c r="J346" s="37"/>
      <c r="K346" s="248"/>
      <c r="L346" s="248"/>
      <c r="M346" s="248"/>
      <c r="N346" s="248"/>
      <c r="O346" s="248"/>
      <c r="P346" s="249"/>
      <c r="Q346" s="250"/>
      <c r="R346" s="37"/>
      <c r="S346" s="37"/>
      <c r="T346" s="204"/>
      <c r="U346" s="37"/>
      <c r="V346" s="37"/>
      <c r="W346" s="37"/>
    </row>
    <row r="347" spans="1:23" ht="15.75" customHeight="1" x14ac:dyDescent="0.25">
      <c r="A347" s="244"/>
      <c r="B347" s="245"/>
      <c r="C347" s="246"/>
      <c r="D347" s="37"/>
      <c r="E347" s="246"/>
      <c r="F347" s="247"/>
      <c r="G347" s="245"/>
      <c r="H347" s="246"/>
      <c r="I347" s="247"/>
      <c r="J347" s="37"/>
      <c r="K347" s="248"/>
      <c r="L347" s="248"/>
      <c r="M347" s="248"/>
      <c r="N347" s="248"/>
      <c r="O347" s="248"/>
      <c r="P347" s="249"/>
      <c r="Q347" s="250"/>
      <c r="R347" s="37"/>
      <c r="S347" s="37"/>
      <c r="T347" s="204"/>
      <c r="U347" s="37"/>
      <c r="V347" s="37"/>
      <c r="W347" s="37"/>
    </row>
    <row r="348" spans="1:23" ht="15.75" customHeight="1" x14ac:dyDescent="0.25">
      <c r="A348" s="244"/>
      <c r="B348" s="245"/>
      <c r="C348" s="246"/>
      <c r="D348" s="37"/>
      <c r="E348" s="246"/>
      <c r="F348" s="247"/>
      <c r="G348" s="245"/>
      <c r="H348" s="246"/>
      <c r="I348" s="247"/>
      <c r="J348" s="37"/>
      <c r="K348" s="248"/>
      <c r="L348" s="248"/>
      <c r="M348" s="248"/>
      <c r="N348" s="248"/>
      <c r="O348" s="248"/>
      <c r="P348" s="249"/>
      <c r="Q348" s="250"/>
      <c r="R348" s="37"/>
      <c r="S348" s="37"/>
      <c r="T348" s="204"/>
      <c r="U348" s="37"/>
      <c r="V348" s="37"/>
      <c r="W348" s="37"/>
    </row>
    <row r="349" spans="1:23" ht="15.75" customHeight="1" x14ac:dyDescent="0.25">
      <c r="A349" s="244"/>
      <c r="B349" s="245"/>
      <c r="C349" s="246"/>
      <c r="D349" s="37"/>
      <c r="E349" s="246"/>
      <c r="F349" s="247"/>
      <c r="G349" s="245"/>
      <c r="H349" s="246"/>
      <c r="I349" s="247"/>
      <c r="J349" s="37"/>
      <c r="K349" s="248"/>
      <c r="L349" s="248"/>
      <c r="M349" s="248"/>
      <c r="N349" s="248"/>
      <c r="O349" s="248"/>
      <c r="P349" s="249"/>
      <c r="Q349" s="250"/>
      <c r="R349" s="37"/>
      <c r="S349" s="37"/>
      <c r="T349" s="204"/>
      <c r="U349" s="37"/>
      <c r="V349" s="37"/>
      <c r="W349" s="37"/>
    </row>
    <row r="350" spans="1:23" ht="15.75" customHeight="1" x14ac:dyDescent="0.25">
      <c r="A350" s="244"/>
      <c r="B350" s="245"/>
      <c r="C350" s="246"/>
      <c r="D350" s="37"/>
      <c r="E350" s="246"/>
      <c r="F350" s="247"/>
      <c r="G350" s="245"/>
      <c r="H350" s="246"/>
      <c r="I350" s="247"/>
      <c r="J350" s="37"/>
      <c r="K350" s="248"/>
      <c r="L350" s="248"/>
      <c r="M350" s="248"/>
      <c r="N350" s="248"/>
      <c r="O350" s="248"/>
      <c r="P350" s="249"/>
      <c r="Q350" s="250"/>
      <c r="R350" s="37"/>
      <c r="S350" s="37"/>
      <c r="T350" s="204"/>
      <c r="U350" s="37"/>
      <c r="V350" s="37"/>
      <c r="W350" s="37"/>
    </row>
    <row r="351" spans="1:23" ht="15.75" customHeight="1" x14ac:dyDescent="0.25">
      <c r="A351" s="244"/>
      <c r="B351" s="245"/>
      <c r="C351" s="246"/>
      <c r="D351" s="37"/>
      <c r="E351" s="246"/>
      <c r="F351" s="247"/>
      <c r="G351" s="245"/>
      <c r="H351" s="246"/>
      <c r="I351" s="247"/>
      <c r="J351" s="37"/>
      <c r="K351" s="248"/>
      <c r="L351" s="248"/>
      <c r="M351" s="248"/>
      <c r="N351" s="248"/>
      <c r="O351" s="248"/>
      <c r="P351" s="249"/>
      <c r="Q351" s="250"/>
      <c r="R351" s="37"/>
      <c r="S351" s="37"/>
      <c r="T351" s="204"/>
      <c r="U351" s="37"/>
      <c r="V351" s="37"/>
      <c r="W351" s="37"/>
    </row>
    <row r="352" spans="1:23" ht="15.75" customHeight="1" x14ac:dyDescent="0.25">
      <c r="A352" s="244"/>
      <c r="B352" s="245"/>
      <c r="C352" s="246"/>
      <c r="D352" s="37"/>
      <c r="E352" s="246"/>
      <c r="F352" s="247"/>
      <c r="G352" s="245"/>
      <c r="H352" s="246"/>
      <c r="I352" s="247"/>
      <c r="J352" s="37"/>
      <c r="K352" s="248"/>
      <c r="L352" s="248"/>
      <c r="M352" s="248"/>
      <c r="N352" s="248"/>
      <c r="O352" s="248"/>
      <c r="P352" s="249"/>
      <c r="Q352" s="250"/>
      <c r="R352" s="37"/>
      <c r="S352" s="37"/>
      <c r="T352" s="204"/>
      <c r="U352" s="37"/>
      <c r="V352" s="37"/>
      <c r="W352" s="37"/>
    </row>
    <row r="353" spans="1:23" ht="15.75" customHeight="1" x14ac:dyDescent="0.25">
      <c r="A353" s="244"/>
      <c r="B353" s="245"/>
      <c r="C353" s="246"/>
      <c r="D353" s="37"/>
      <c r="E353" s="246"/>
      <c r="F353" s="247"/>
      <c r="G353" s="245"/>
      <c r="H353" s="246"/>
      <c r="I353" s="247"/>
      <c r="J353" s="37"/>
      <c r="K353" s="248"/>
      <c r="L353" s="248"/>
      <c r="M353" s="248"/>
      <c r="N353" s="248"/>
      <c r="O353" s="248"/>
      <c r="P353" s="249"/>
      <c r="Q353" s="250"/>
      <c r="R353" s="37"/>
      <c r="S353" s="37"/>
      <c r="T353" s="204"/>
      <c r="U353" s="37"/>
      <c r="V353" s="37"/>
      <c r="W353" s="37"/>
    </row>
    <row r="354" spans="1:23" ht="15.75" customHeight="1" x14ac:dyDescent="0.25">
      <c r="A354" s="244"/>
      <c r="B354" s="245"/>
      <c r="C354" s="246"/>
      <c r="D354" s="37"/>
      <c r="E354" s="246"/>
      <c r="F354" s="247"/>
      <c r="G354" s="245"/>
      <c r="H354" s="246"/>
      <c r="I354" s="247"/>
      <c r="J354" s="37"/>
      <c r="K354" s="248"/>
      <c r="L354" s="248"/>
      <c r="M354" s="248"/>
      <c r="N354" s="248"/>
      <c r="O354" s="248"/>
      <c r="P354" s="249"/>
      <c r="Q354" s="250"/>
      <c r="R354" s="37"/>
      <c r="S354" s="37"/>
      <c r="T354" s="204"/>
      <c r="U354" s="37"/>
      <c r="V354" s="37"/>
      <c r="W354" s="37"/>
    </row>
    <row r="355" spans="1:23" ht="15.75" customHeight="1" x14ac:dyDescent="0.25">
      <c r="A355" s="244"/>
      <c r="B355" s="245"/>
      <c r="C355" s="246"/>
      <c r="D355" s="37"/>
      <c r="E355" s="246"/>
      <c r="F355" s="247"/>
      <c r="G355" s="245"/>
      <c r="H355" s="246"/>
      <c r="I355" s="247"/>
      <c r="J355" s="37"/>
      <c r="K355" s="248"/>
      <c r="L355" s="248"/>
      <c r="M355" s="248"/>
      <c r="N355" s="248"/>
      <c r="O355" s="248"/>
      <c r="P355" s="249"/>
      <c r="Q355" s="250"/>
      <c r="R355" s="37"/>
      <c r="S355" s="37"/>
      <c r="T355" s="204"/>
      <c r="U355" s="37"/>
      <c r="V355" s="37"/>
      <c r="W355" s="37"/>
    </row>
    <row r="356" spans="1:23" ht="15.75" customHeight="1" x14ac:dyDescent="0.25">
      <c r="A356" s="244"/>
      <c r="B356" s="245"/>
      <c r="C356" s="246"/>
      <c r="D356" s="37"/>
      <c r="E356" s="246"/>
      <c r="F356" s="247"/>
      <c r="G356" s="245"/>
      <c r="H356" s="246"/>
      <c r="I356" s="247"/>
      <c r="J356" s="37"/>
      <c r="K356" s="248"/>
      <c r="L356" s="248"/>
      <c r="M356" s="248"/>
      <c r="N356" s="248"/>
      <c r="O356" s="248"/>
      <c r="P356" s="249"/>
      <c r="Q356" s="250"/>
      <c r="R356" s="37"/>
      <c r="S356" s="37"/>
      <c r="T356" s="204"/>
      <c r="U356" s="37"/>
      <c r="V356" s="37"/>
      <c r="W356" s="37"/>
    </row>
    <row r="357" spans="1:23" ht="15.75" customHeight="1" x14ac:dyDescent="0.25">
      <c r="A357" s="244"/>
      <c r="B357" s="245"/>
      <c r="C357" s="246"/>
      <c r="D357" s="37"/>
      <c r="E357" s="246"/>
      <c r="F357" s="247"/>
      <c r="G357" s="245"/>
      <c r="H357" s="246"/>
      <c r="I357" s="247"/>
      <c r="J357" s="37"/>
      <c r="K357" s="248"/>
      <c r="L357" s="248"/>
      <c r="M357" s="248"/>
      <c r="N357" s="248"/>
      <c r="O357" s="248"/>
      <c r="P357" s="249"/>
      <c r="Q357" s="250"/>
      <c r="R357" s="37"/>
      <c r="S357" s="37"/>
      <c r="T357" s="204"/>
      <c r="U357" s="37"/>
      <c r="V357" s="37"/>
      <c r="W357" s="37"/>
    </row>
    <row r="358" spans="1:23" ht="15.75" customHeight="1" x14ac:dyDescent="0.25">
      <c r="A358" s="244"/>
      <c r="B358" s="245"/>
      <c r="C358" s="246"/>
      <c r="D358" s="37"/>
      <c r="E358" s="246"/>
      <c r="F358" s="247"/>
      <c r="G358" s="245"/>
      <c r="H358" s="246"/>
      <c r="I358" s="247"/>
      <c r="J358" s="37"/>
      <c r="K358" s="248"/>
      <c r="L358" s="248"/>
      <c r="M358" s="248"/>
      <c r="N358" s="248"/>
      <c r="O358" s="248"/>
      <c r="P358" s="249"/>
      <c r="Q358" s="250"/>
      <c r="R358" s="37"/>
      <c r="S358" s="37"/>
      <c r="T358" s="204"/>
      <c r="U358" s="37"/>
      <c r="V358" s="37"/>
      <c r="W358" s="37"/>
    </row>
    <row r="359" spans="1:23" ht="15.75" customHeight="1" x14ac:dyDescent="0.25">
      <c r="A359" s="244"/>
      <c r="B359" s="245"/>
      <c r="C359" s="246"/>
      <c r="D359" s="37"/>
      <c r="E359" s="246"/>
      <c r="F359" s="247"/>
      <c r="G359" s="245"/>
      <c r="H359" s="246"/>
      <c r="I359" s="247"/>
      <c r="J359" s="37"/>
      <c r="K359" s="248"/>
      <c r="L359" s="248"/>
      <c r="M359" s="248"/>
      <c r="N359" s="248"/>
      <c r="O359" s="248"/>
      <c r="P359" s="249"/>
      <c r="Q359" s="250"/>
      <c r="R359" s="37"/>
      <c r="S359" s="37"/>
      <c r="T359" s="204"/>
      <c r="U359" s="37"/>
      <c r="V359" s="37"/>
      <c r="W359" s="37"/>
    </row>
    <row r="360" spans="1:23" ht="15.75" customHeight="1" x14ac:dyDescent="0.25">
      <c r="A360" s="244"/>
      <c r="B360" s="245"/>
      <c r="C360" s="246"/>
      <c r="D360" s="37"/>
      <c r="E360" s="246"/>
      <c r="F360" s="247"/>
      <c r="G360" s="245"/>
      <c r="H360" s="246"/>
      <c r="I360" s="247"/>
      <c r="J360" s="37"/>
      <c r="K360" s="248"/>
      <c r="L360" s="248"/>
      <c r="M360" s="248"/>
      <c r="N360" s="248"/>
      <c r="O360" s="248"/>
      <c r="P360" s="249"/>
      <c r="Q360" s="250"/>
      <c r="R360" s="37"/>
      <c r="S360" s="37"/>
      <c r="T360" s="204"/>
      <c r="U360" s="37"/>
      <c r="V360" s="37"/>
      <c r="W360" s="37"/>
    </row>
    <row r="361" spans="1:23" ht="15.75" customHeight="1" x14ac:dyDescent="0.25">
      <c r="A361" s="244"/>
      <c r="B361" s="245"/>
      <c r="C361" s="246"/>
      <c r="D361" s="37"/>
      <c r="E361" s="246"/>
      <c r="F361" s="247"/>
      <c r="G361" s="245"/>
      <c r="H361" s="246"/>
      <c r="I361" s="247"/>
      <c r="J361" s="37"/>
      <c r="K361" s="248"/>
      <c r="L361" s="248"/>
      <c r="M361" s="248"/>
      <c r="N361" s="248"/>
      <c r="O361" s="248"/>
      <c r="P361" s="249"/>
      <c r="Q361" s="250"/>
      <c r="R361" s="37"/>
      <c r="S361" s="37"/>
      <c r="T361" s="204"/>
      <c r="U361" s="37"/>
      <c r="V361" s="37"/>
      <c r="W361" s="37"/>
    </row>
    <row r="362" spans="1:23" ht="15.75" customHeight="1" x14ac:dyDescent="0.25">
      <c r="A362" s="244"/>
      <c r="B362" s="245"/>
      <c r="C362" s="246"/>
      <c r="D362" s="37"/>
      <c r="E362" s="246"/>
      <c r="F362" s="247"/>
      <c r="G362" s="245"/>
      <c r="H362" s="246"/>
      <c r="I362" s="247"/>
      <c r="J362" s="37"/>
      <c r="K362" s="248"/>
      <c r="L362" s="248"/>
      <c r="M362" s="248"/>
      <c r="N362" s="248"/>
      <c r="O362" s="248"/>
      <c r="P362" s="249"/>
      <c r="Q362" s="250"/>
      <c r="R362" s="37"/>
      <c r="S362" s="37"/>
      <c r="T362" s="204"/>
      <c r="U362" s="37"/>
      <c r="V362" s="37"/>
      <c r="W362" s="37"/>
    </row>
    <row r="363" spans="1:23" ht="15.75" customHeight="1" x14ac:dyDescent="0.25">
      <c r="A363" s="244"/>
      <c r="B363" s="245"/>
      <c r="C363" s="246"/>
      <c r="D363" s="37"/>
      <c r="E363" s="246"/>
      <c r="F363" s="247"/>
      <c r="G363" s="245"/>
      <c r="H363" s="246"/>
      <c r="I363" s="247"/>
      <c r="J363" s="37"/>
      <c r="K363" s="248"/>
      <c r="L363" s="248"/>
      <c r="M363" s="248"/>
      <c r="N363" s="248"/>
      <c r="O363" s="248"/>
      <c r="P363" s="249"/>
      <c r="Q363" s="250"/>
      <c r="R363" s="37"/>
      <c r="S363" s="37"/>
      <c r="T363" s="204"/>
      <c r="U363" s="37"/>
      <c r="V363" s="37"/>
      <c r="W363" s="37"/>
    </row>
    <row r="364" spans="1:23" ht="15.75" customHeight="1" x14ac:dyDescent="0.25">
      <c r="A364" s="244"/>
      <c r="B364" s="245"/>
      <c r="C364" s="246"/>
      <c r="D364" s="37"/>
      <c r="E364" s="246"/>
      <c r="F364" s="247"/>
      <c r="G364" s="245"/>
      <c r="H364" s="246"/>
      <c r="I364" s="247"/>
      <c r="J364" s="37"/>
      <c r="K364" s="248"/>
      <c r="L364" s="248"/>
      <c r="M364" s="248"/>
      <c r="N364" s="248"/>
      <c r="O364" s="248"/>
      <c r="P364" s="249"/>
      <c r="Q364" s="250"/>
      <c r="R364" s="37"/>
      <c r="S364" s="37"/>
      <c r="T364" s="204"/>
      <c r="U364" s="37"/>
      <c r="V364" s="37"/>
      <c r="W364" s="37"/>
    </row>
    <row r="365" spans="1:23" ht="15.75" customHeight="1" x14ac:dyDescent="0.25">
      <c r="A365" s="244"/>
      <c r="B365" s="245"/>
      <c r="C365" s="246"/>
      <c r="D365" s="37"/>
      <c r="E365" s="246"/>
      <c r="F365" s="247"/>
      <c r="G365" s="245"/>
      <c r="H365" s="246"/>
      <c r="I365" s="247"/>
      <c r="J365" s="37"/>
      <c r="K365" s="248"/>
      <c r="L365" s="248"/>
      <c r="M365" s="248"/>
      <c r="N365" s="248"/>
      <c r="O365" s="248"/>
      <c r="P365" s="249"/>
      <c r="Q365" s="250"/>
      <c r="R365" s="37"/>
      <c r="S365" s="37"/>
      <c r="T365" s="204"/>
      <c r="U365" s="37"/>
      <c r="V365" s="37"/>
      <c r="W365" s="37"/>
    </row>
    <row r="366" spans="1:23" ht="15.75" customHeight="1" x14ac:dyDescent="0.25">
      <c r="A366" s="244"/>
      <c r="B366" s="245"/>
      <c r="C366" s="246"/>
      <c r="D366" s="37"/>
      <c r="E366" s="246"/>
      <c r="F366" s="247"/>
      <c r="G366" s="245"/>
      <c r="H366" s="246"/>
      <c r="I366" s="247"/>
      <c r="J366" s="37"/>
      <c r="K366" s="248"/>
      <c r="L366" s="248"/>
      <c r="M366" s="248"/>
      <c r="N366" s="248"/>
      <c r="O366" s="248"/>
      <c r="P366" s="249"/>
      <c r="Q366" s="250"/>
      <c r="R366" s="37"/>
      <c r="S366" s="37"/>
      <c r="T366" s="204"/>
      <c r="U366" s="37"/>
      <c r="V366" s="37"/>
      <c r="W366" s="37"/>
    </row>
    <row r="367" spans="1:23" ht="15.75" customHeight="1" x14ac:dyDescent="0.25">
      <c r="A367" s="244"/>
      <c r="B367" s="245"/>
      <c r="C367" s="246"/>
      <c r="D367" s="37"/>
      <c r="E367" s="246"/>
      <c r="F367" s="247"/>
      <c r="G367" s="245"/>
      <c r="H367" s="246"/>
      <c r="I367" s="247"/>
      <c r="J367" s="37"/>
      <c r="K367" s="248"/>
      <c r="L367" s="248"/>
      <c r="M367" s="248"/>
      <c r="N367" s="248"/>
      <c r="O367" s="248"/>
      <c r="P367" s="249"/>
      <c r="Q367" s="250"/>
      <c r="R367" s="37"/>
      <c r="S367" s="37"/>
      <c r="T367" s="204"/>
      <c r="U367" s="37"/>
      <c r="V367" s="37"/>
      <c r="W367" s="37"/>
    </row>
    <row r="368" spans="1:23" ht="15.75" customHeight="1" x14ac:dyDescent="0.25">
      <c r="A368" s="244"/>
      <c r="B368" s="245"/>
      <c r="C368" s="246"/>
      <c r="D368" s="37"/>
      <c r="E368" s="246"/>
      <c r="F368" s="247"/>
      <c r="G368" s="245"/>
      <c r="H368" s="246"/>
      <c r="I368" s="247"/>
      <c r="J368" s="37"/>
      <c r="K368" s="248"/>
      <c r="L368" s="248"/>
      <c r="M368" s="248"/>
      <c r="N368" s="248"/>
      <c r="O368" s="248"/>
      <c r="P368" s="249"/>
      <c r="Q368" s="250"/>
      <c r="R368" s="37"/>
      <c r="S368" s="37"/>
      <c r="T368" s="204"/>
      <c r="U368" s="37"/>
      <c r="V368" s="37"/>
      <c r="W368" s="37"/>
    </row>
    <row r="369" spans="1:23" ht="15.75" customHeight="1" x14ac:dyDescent="0.25">
      <c r="A369" s="244"/>
      <c r="B369" s="245"/>
      <c r="C369" s="246"/>
      <c r="D369" s="37"/>
      <c r="E369" s="246"/>
      <c r="F369" s="247"/>
      <c r="G369" s="245"/>
      <c r="H369" s="246"/>
      <c r="I369" s="247"/>
      <c r="J369" s="37"/>
      <c r="K369" s="248"/>
      <c r="L369" s="248"/>
      <c r="M369" s="248"/>
      <c r="N369" s="248"/>
      <c r="O369" s="248"/>
      <c r="P369" s="249"/>
      <c r="Q369" s="250"/>
      <c r="R369" s="37"/>
      <c r="S369" s="37"/>
      <c r="T369" s="204"/>
      <c r="U369" s="37"/>
      <c r="V369" s="37"/>
      <c r="W369" s="37"/>
    </row>
    <row r="370" spans="1:23" ht="15.75" customHeight="1" x14ac:dyDescent="0.25">
      <c r="A370" s="244"/>
      <c r="B370" s="245"/>
      <c r="C370" s="246"/>
      <c r="D370" s="37"/>
      <c r="E370" s="246"/>
      <c r="F370" s="247"/>
      <c r="G370" s="245"/>
      <c r="H370" s="246"/>
      <c r="I370" s="247"/>
      <c r="J370" s="37"/>
      <c r="K370" s="248"/>
      <c r="L370" s="248"/>
      <c r="M370" s="248"/>
      <c r="N370" s="248"/>
      <c r="O370" s="248"/>
      <c r="P370" s="249"/>
      <c r="Q370" s="250"/>
      <c r="R370" s="37"/>
      <c r="S370" s="37"/>
      <c r="T370" s="204"/>
      <c r="U370" s="37"/>
      <c r="V370" s="37"/>
      <c r="W370" s="37"/>
    </row>
    <row r="371" spans="1:23" ht="15.75" customHeight="1" x14ac:dyDescent="0.25">
      <c r="A371" s="244"/>
      <c r="B371" s="245"/>
      <c r="C371" s="246"/>
      <c r="D371" s="37"/>
      <c r="E371" s="246"/>
      <c r="F371" s="247"/>
      <c r="G371" s="245"/>
      <c r="H371" s="246"/>
      <c r="I371" s="247"/>
      <c r="J371" s="37"/>
      <c r="K371" s="248"/>
      <c r="L371" s="248"/>
      <c r="M371" s="248"/>
      <c r="N371" s="248"/>
      <c r="O371" s="248"/>
      <c r="P371" s="249"/>
      <c r="Q371" s="250"/>
      <c r="R371" s="37"/>
      <c r="S371" s="37"/>
      <c r="T371" s="204"/>
      <c r="U371" s="37"/>
      <c r="V371" s="37"/>
      <c r="W371" s="37"/>
    </row>
    <row r="372" spans="1:23" ht="15.75" customHeight="1" x14ac:dyDescent="0.25">
      <c r="A372" s="244"/>
      <c r="B372" s="245"/>
      <c r="C372" s="246"/>
      <c r="D372" s="37"/>
      <c r="E372" s="246"/>
      <c r="F372" s="247"/>
      <c r="G372" s="245"/>
      <c r="H372" s="246"/>
      <c r="I372" s="247"/>
      <c r="J372" s="37"/>
      <c r="K372" s="248"/>
      <c r="L372" s="248"/>
      <c r="M372" s="248"/>
      <c r="N372" s="248"/>
      <c r="O372" s="248"/>
      <c r="P372" s="249"/>
      <c r="Q372" s="250"/>
      <c r="R372" s="37"/>
      <c r="S372" s="37"/>
      <c r="T372" s="204"/>
      <c r="U372" s="37"/>
      <c r="V372" s="37"/>
      <c r="W372" s="37"/>
    </row>
    <row r="373" spans="1:23" ht="15.75" customHeight="1" x14ac:dyDescent="0.25">
      <c r="A373" s="244"/>
      <c r="B373" s="245"/>
      <c r="C373" s="246"/>
      <c r="D373" s="37"/>
      <c r="E373" s="246"/>
      <c r="F373" s="247"/>
      <c r="G373" s="245"/>
      <c r="H373" s="246"/>
      <c r="I373" s="247"/>
      <c r="J373" s="37"/>
      <c r="K373" s="248"/>
      <c r="L373" s="248"/>
      <c r="M373" s="248"/>
      <c r="N373" s="248"/>
      <c r="O373" s="248"/>
      <c r="P373" s="249"/>
      <c r="Q373" s="250"/>
      <c r="R373" s="37"/>
      <c r="S373" s="37"/>
      <c r="T373" s="204"/>
      <c r="U373" s="37"/>
      <c r="V373" s="37"/>
      <c r="W373" s="37"/>
    </row>
    <row r="374" spans="1:23" ht="15.75" customHeight="1" x14ac:dyDescent="0.25">
      <c r="A374" s="244"/>
      <c r="B374" s="245"/>
      <c r="C374" s="246"/>
      <c r="D374" s="37"/>
      <c r="E374" s="246"/>
      <c r="F374" s="247"/>
      <c r="G374" s="245"/>
      <c r="H374" s="246"/>
      <c r="I374" s="247"/>
      <c r="J374" s="37"/>
      <c r="K374" s="248"/>
      <c r="L374" s="248"/>
      <c r="M374" s="248"/>
      <c r="N374" s="248"/>
      <c r="O374" s="248"/>
      <c r="P374" s="249"/>
      <c r="Q374" s="250"/>
      <c r="R374" s="37"/>
      <c r="S374" s="37"/>
      <c r="T374" s="204"/>
      <c r="U374" s="37"/>
      <c r="V374" s="37"/>
      <c r="W374" s="37"/>
    </row>
    <row r="375" spans="1:23" ht="15.75" customHeight="1" x14ac:dyDescent="0.25">
      <c r="A375" s="244"/>
      <c r="B375" s="245"/>
      <c r="C375" s="246"/>
      <c r="D375" s="37"/>
      <c r="E375" s="246"/>
      <c r="F375" s="247"/>
      <c r="G375" s="245"/>
      <c r="H375" s="246"/>
      <c r="I375" s="247"/>
      <c r="J375" s="37"/>
      <c r="K375" s="248"/>
      <c r="L375" s="248"/>
      <c r="M375" s="248"/>
      <c r="N375" s="248"/>
      <c r="O375" s="248"/>
      <c r="P375" s="249"/>
      <c r="Q375" s="250"/>
      <c r="R375" s="37"/>
      <c r="S375" s="37"/>
      <c r="T375" s="204"/>
      <c r="U375" s="37"/>
      <c r="V375" s="37"/>
      <c r="W375" s="37"/>
    </row>
    <row r="376" spans="1:23" ht="15.75" customHeight="1" x14ac:dyDescent="0.25">
      <c r="A376" s="244"/>
      <c r="B376" s="245"/>
      <c r="C376" s="246"/>
      <c r="D376" s="37"/>
      <c r="E376" s="246"/>
      <c r="F376" s="247"/>
      <c r="G376" s="245"/>
      <c r="H376" s="246"/>
      <c r="I376" s="247"/>
      <c r="J376" s="37"/>
      <c r="K376" s="248"/>
      <c r="L376" s="248"/>
      <c r="M376" s="248"/>
      <c r="N376" s="248"/>
      <c r="O376" s="248"/>
      <c r="P376" s="249"/>
      <c r="Q376" s="250"/>
      <c r="R376" s="37"/>
      <c r="S376" s="37"/>
      <c r="T376" s="204"/>
      <c r="U376" s="37"/>
      <c r="V376" s="37"/>
      <c r="W376" s="37"/>
    </row>
    <row r="377" spans="1:23" ht="15.75" customHeight="1" x14ac:dyDescent="0.25">
      <c r="A377" s="244"/>
      <c r="B377" s="245"/>
      <c r="C377" s="246"/>
      <c r="D377" s="37"/>
      <c r="E377" s="246"/>
      <c r="F377" s="247"/>
      <c r="G377" s="245"/>
      <c r="H377" s="246"/>
      <c r="I377" s="247"/>
      <c r="J377" s="37"/>
      <c r="K377" s="248"/>
      <c r="L377" s="248"/>
      <c r="M377" s="248"/>
      <c r="N377" s="248"/>
      <c r="O377" s="248"/>
      <c r="P377" s="249"/>
      <c r="Q377" s="250"/>
      <c r="R377" s="37"/>
      <c r="S377" s="37"/>
      <c r="T377" s="204"/>
      <c r="U377" s="37"/>
      <c r="V377" s="37"/>
      <c r="W377" s="37"/>
    </row>
    <row r="378" spans="1:23" ht="15.75" customHeight="1" x14ac:dyDescent="0.25">
      <c r="A378" s="244"/>
      <c r="B378" s="245"/>
      <c r="C378" s="246"/>
      <c r="D378" s="37"/>
      <c r="E378" s="246"/>
      <c r="F378" s="247"/>
      <c r="G378" s="245"/>
      <c r="H378" s="246"/>
      <c r="I378" s="247"/>
      <c r="J378" s="37"/>
      <c r="K378" s="248"/>
      <c r="L378" s="248"/>
      <c r="M378" s="248"/>
      <c r="N378" s="248"/>
      <c r="O378" s="248"/>
      <c r="P378" s="249"/>
      <c r="Q378" s="250"/>
      <c r="R378" s="37"/>
      <c r="S378" s="37"/>
      <c r="T378" s="204"/>
      <c r="U378" s="37"/>
      <c r="V378" s="37"/>
      <c r="W378" s="37"/>
    </row>
    <row r="379" spans="1:23" ht="15.75" customHeight="1" x14ac:dyDescent="0.25">
      <c r="A379" s="244"/>
      <c r="B379" s="245"/>
      <c r="C379" s="246"/>
      <c r="D379" s="37"/>
      <c r="E379" s="246"/>
      <c r="F379" s="247"/>
      <c r="G379" s="245"/>
      <c r="H379" s="246"/>
      <c r="I379" s="247"/>
      <c r="J379" s="37"/>
      <c r="K379" s="248"/>
      <c r="L379" s="248"/>
      <c r="M379" s="248"/>
      <c r="N379" s="248"/>
      <c r="O379" s="248"/>
      <c r="P379" s="249"/>
      <c r="Q379" s="250"/>
      <c r="R379" s="37"/>
      <c r="S379" s="37"/>
      <c r="T379" s="204"/>
      <c r="U379" s="37"/>
      <c r="V379" s="37"/>
      <c r="W379" s="37"/>
    </row>
    <row r="380" spans="1:23" ht="15.75" customHeight="1" x14ac:dyDescent="0.25">
      <c r="A380" s="244"/>
      <c r="B380" s="245"/>
      <c r="C380" s="246"/>
      <c r="D380" s="37"/>
      <c r="E380" s="246"/>
      <c r="F380" s="247"/>
      <c r="G380" s="245"/>
      <c r="H380" s="246"/>
      <c r="I380" s="247"/>
      <c r="J380" s="37"/>
      <c r="K380" s="248"/>
      <c r="L380" s="248"/>
      <c r="M380" s="248"/>
      <c r="N380" s="248"/>
      <c r="O380" s="248"/>
      <c r="P380" s="249"/>
      <c r="Q380" s="250"/>
      <c r="R380" s="37"/>
      <c r="S380" s="37"/>
      <c r="T380" s="204"/>
      <c r="U380" s="37"/>
      <c r="V380" s="37"/>
      <c r="W380" s="37"/>
    </row>
    <row r="381" spans="1:23" ht="15.75" customHeight="1" x14ac:dyDescent="0.25">
      <c r="A381" s="244"/>
      <c r="B381" s="245"/>
      <c r="C381" s="246"/>
      <c r="D381" s="37"/>
      <c r="E381" s="246"/>
      <c r="F381" s="247"/>
      <c r="G381" s="245"/>
      <c r="H381" s="246"/>
      <c r="I381" s="247"/>
      <c r="J381" s="37"/>
      <c r="K381" s="248"/>
      <c r="L381" s="248"/>
      <c r="M381" s="248"/>
      <c r="N381" s="248"/>
      <c r="O381" s="248"/>
      <c r="P381" s="249"/>
      <c r="Q381" s="250"/>
      <c r="R381" s="37"/>
      <c r="S381" s="37"/>
      <c r="T381" s="204"/>
      <c r="U381" s="37"/>
      <c r="V381" s="37"/>
      <c r="W381" s="37"/>
    </row>
    <row r="382" spans="1:23" ht="15.75" customHeight="1" x14ac:dyDescent="0.25">
      <c r="A382" s="244"/>
      <c r="B382" s="245"/>
      <c r="C382" s="246"/>
      <c r="D382" s="37"/>
      <c r="E382" s="246"/>
      <c r="F382" s="247"/>
      <c r="G382" s="245"/>
      <c r="H382" s="246"/>
      <c r="I382" s="247"/>
      <c r="J382" s="37"/>
      <c r="K382" s="248"/>
      <c r="L382" s="248"/>
      <c r="M382" s="248"/>
      <c r="N382" s="248"/>
      <c r="O382" s="248"/>
      <c r="P382" s="249"/>
      <c r="Q382" s="250"/>
      <c r="R382" s="37"/>
      <c r="S382" s="37"/>
      <c r="T382" s="204"/>
      <c r="U382" s="37"/>
      <c r="V382" s="37"/>
      <c r="W382" s="37"/>
    </row>
    <row r="383" spans="1:23" ht="15.75" customHeight="1" x14ac:dyDescent="0.25">
      <c r="A383" s="244"/>
      <c r="B383" s="245"/>
      <c r="C383" s="246"/>
      <c r="D383" s="37"/>
      <c r="E383" s="246"/>
      <c r="F383" s="247"/>
      <c r="G383" s="245"/>
      <c r="H383" s="246"/>
      <c r="I383" s="247"/>
      <c r="J383" s="37"/>
      <c r="K383" s="248"/>
      <c r="L383" s="248"/>
      <c r="M383" s="248"/>
      <c r="N383" s="248"/>
      <c r="O383" s="248"/>
      <c r="P383" s="249"/>
      <c r="Q383" s="250"/>
      <c r="R383" s="37"/>
      <c r="S383" s="37"/>
      <c r="T383" s="204"/>
      <c r="U383" s="37"/>
      <c r="V383" s="37"/>
      <c r="W383" s="37"/>
    </row>
    <row r="384" spans="1:23" ht="15.75" customHeight="1" x14ac:dyDescent="0.25">
      <c r="A384" s="244"/>
      <c r="B384" s="245"/>
      <c r="C384" s="246"/>
      <c r="D384" s="37"/>
      <c r="E384" s="246"/>
      <c r="F384" s="247"/>
      <c r="G384" s="245"/>
      <c r="H384" s="246"/>
      <c r="I384" s="247"/>
      <c r="J384" s="37"/>
      <c r="K384" s="248"/>
      <c r="L384" s="248"/>
      <c r="M384" s="248"/>
      <c r="N384" s="248"/>
      <c r="O384" s="248"/>
      <c r="P384" s="249"/>
      <c r="Q384" s="250"/>
      <c r="R384" s="37"/>
      <c r="S384" s="37"/>
      <c r="T384" s="204"/>
      <c r="U384" s="37"/>
      <c r="V384" s="37"/>
      <c r="W384" s="37"/>
    </row>
    <row r="385" spans="1:23" ht="15.75" customHeight="1" x14ac:dyDescent="0.25">
      <c r="A385" s="244"/>
      <c r="B385" s="245"/>
      <c r="C385" s="246"/>
      <c r="D385" s="37"/>
      <c r="E385" s="246"/>
      <c r="F385" s="247"/>
      <c r="G385" s="245"/>
      <c r="H385" s="246"/>
      <c r="I385" s="247"/>
      <c r="J385" s="37"/>
      <c r="K385" s="248"/>
      <c r="L385" s="248"/>
      <c r="M385" s="248"/>
      <c r="N385" s="248"/>
      <c r="O385" s="248"/>
      <c r="P385" s="249"/>
      <c r="Q385" s="250"/>
      <c r="R385" s="37"/>
      <c r="S385" s="37"/>
      <c r="T385" s="204"/>
      <c r="U385" s="37"/>
      <c r="V385" s="37"/>
      <c r="W385" s="37"/>
    </row>
    <row r="386" spans="1:23" ht="15.75" customHeight="1" x14ac:dyDescent="0.25">
      <c r="A386" s="244"/>
      <c r="B386" s="245"/>
      <c r="C386" s="246"/>
      <c r="D386" s="37"/>
      <c r="E386" s="246"/>
      <c r="F386" s="247"/>
      <c r="G386" s="245"/>
      <c r="H386" s="246"/>
      <c r="I386" s="247"/>
      <c r="J386" s="37"/>
      <c r="K386" s="248"/>
      <c r="L386" s="248"/>
      <c r="M386" s="248"/>
      <c r="N386" s="248"/>
      <c r="O386" s="248"/>
      <c r="P386" s="249"/>
      <c r="Q386" s="250"/>
      <c r="R386" s="37"/>
      <c r="S386" s="37"/>
      <c r="T386" s="204"/>
      <c r="U386" s="37"/>
      <c r="V386" s="37"/>
      <c r="W386" s="37"/>
    </row>
    <row r="387" spans="1:23" ht="15.75" customHeight="1" x14ac:dyDescent="0.25">
      <c r="A387" s="244"/>
      <c r="B387" s="245"/>
      <c r="C387" s="246"/>
      <c r="D387" s="37"/>
      <c r="E387" s="246"/>
      <c r="F387" s="247"/>
      <c r="G387" s="245"/>
      <c r="H387" s="246"/>
      <c r="I387" s="247"/>
      <c r="J387" s="37"/>
      <c r="K387" s="248"/>
      <c r="L387" s="248"/>
      <c r="M387" s="248"/>
      <c r="N387" s="248"/>
      <c r="O387" s="248"/>
      <c r="P387" s="249"/>
      <c r="Q387" s="250"/>
      <c r="R387" s="37"/>
      <c r="S387" s="37"/>
      <c r="T387" s="204"/>
      <c r="U387" s="37"/>
      <c r="V387" s="37"/>
      <c r="W387" s="37"/>
    </row>
    <row r="388" spans="1:23" ht="15.75" customHeight="1" x14ac:dyDescent="0.25">
      <c r="A388" s="244"/>
      <c r="B388" s="245"/>
      <c r="C388" s="246"/>
      <c r="D388" s="37"/>
      <c r="E388" s="246"/>
      <c r="F388" s="247"/>
      <c r="G388" s="245"/>
      <c r="H388" s="246"/>
      <c r="I388" s="247"/>
      <c r="J388" s="37"/>
      <c r="K388" s="248"/>
      <c r="L388" s="248"/>
      <c r="M388" s="248"/>
      <c r="N388" s="248"/>
      <c r="O388" s="248"/>
      <c r="P388" s="249"/>
      <c r="Q388" s="250"/>
      <c r="R388" s="37"/>
      <c r="S388" s="37"/>
      <c r="T388" s="204"/>
      <c r="U388" s="37"/>
      <c r="V388" s="37"/>
      <c r="W388" s="37"/>
    </row>
    <row r="389" spans="1:23" ht="15.75" customHeight="1" x14ac:dyDescent="0.25">
      <c r="A389" s="244"/>
      <c r="B389" s="245"/>
      <c r="C389" s="246"/>
      <c r="D389" s="37"/>
      <c r="E389" s="246"/>
      <c r="F389" s="247"/>
      <c r="G389" s="245"/>
      <c r="H389" s="246"/>
      <c r="I389" s="247"/>
      <c r="J389" s="37"/>
      <c r="K389" s="248"/>
      <c r="L389" s="248"/>
      <c r="M389" s="248"/>
      <c r="N389" s="248"/>
      <c r="O389" s="248"/>
      <c r="P389" s="249"/>
      <c r="Q389" s="250"/>
      <c r="R389" s="37"/>
      <c r="S389" s="37"/>
      <c r="T389" s="204"/>
      <c r="U389" s="37"/>
      <c r="V389" s="37"/>
      <c r="W389" s="37"/>
    </row>
    <row r="390" spans="1:23" ht="15.75" customHeight="1" x14ac:dyDescent="0.25">
      <c r="A390" s="244"/>
      <c r="B390" s="245"/>
      <c r="C390" s="246"/>
      <c r="D390" s="37"/>
      <c r="E390" s="246"/>
      <c r="F390" s="247"/>
      <c r="G390" s="245"/>
      <c r="H390" s="246"/>
      <c r="I390" s="247"/>
      <c r="J390" s="37"/>
      <c r="K390" s="248"/>
      <c r="L390" s="248"/>
      <c r="M390" s="248"/>
      <c r="N390" s="248"/>
      <c r="O390" s="248"/>
      <c r="P390" s="249"/>
      <c r="Q390" s="250"/>
      <c r="R390" s="37"/>
      <c r="S390" s="37"/>
      <c r="T390" s="204"/>
      <c r="U390" s="37"/>
      <c r="V390" s="37"/>
      <c r="W390" s="37"/>
    </row>
    <row r="391" spans="1:23" ht="15.75" customHeight="1" x14ac:dyDescent="0.25">
      <c r="A391" s="244"/>
      <c r="B391" s="245"/>
      <c r="C391" s="246"/>
      <c r="D391" s="37"/>
      <c r="E391" s="246"/>
      <c r="F391" s="247"/>
      <c r="G391" s="245"/>
      <c r="H391" s="246"/>
      <c r="I391" s="247"/>
      <c r="J391" s="37"/>
      <c r="K391" s="248"/>
      <c r="L391" s="248"/>
      <c r="M391" s="248"/>
      <c r="N391" s="248"/>
      <c r="O391" s="248"/>
      <c r="P391" s="249"/>
      <c r="Q391" s="250"/>
      <c r="R391" s="37"/>
      <c r="S391" s="37"/>
      <c r="T391" s="204"/>
      <c r="U391" s="37"/>
      <c r="V391" s="37"/>
      <c r="W391" s="37"/>
    </row>
    <row r="392" spans="1:23" ht="15.75" customHeight="1" x14ac:dyDescent="0.25">
      <c r="A392" s="244"/>
      <c r="B392" s="245"/>
      <c r="C392" s="246"/>
      <c r="D392" s="37"/>
      <c r="E392" s="246"/>
      <c r="F392" s="247"/>
      <c r="G392" s="245"/>
      <c r="H392" s="246"/>
      <c r="I392" s="247"/>
      <c r="J392" s="37"/>
      <c r="K392" s="248"/>
      <c r="L392" s="248"/>
      <c r="M392" s="248"/>
      <c r="N392" s="248"/>
      <c r="O392" s="248"/>
      <c r="P392" s="249"/>
      <c r="Q392" s="250"/>
      <c r="R392" s="37"/>
      <c r="S392" s="37"/>
      <c r="T392" s="204"/>
      <c r="U392" s="37"/>
      <c r="V392" s="37"/>
      <c r="W392" s="37"/>
    </row>
    <row r="393" spans="1:23" ht="15.75" customHeight="1" x14ac:dyDescent="0.25">
      <c r="A393" s="244"/>
      <c r="B393" s="245"/>
      <c r="C393" s="246"/>
      <c r="D393" s="37"/>
      <c r="E393" s="246"/>
      <c r="F393" s="247"/>
      <c r="G393" s="245"/>
      <c r="H393" s="246"/>
      <c r="I393" s="247"/>
      <c r="J393" s="37"/>
      <c r="K393" s="248"/>
      <c r="L393" s="248"/>
      <c r="M393" s="248"/>
      <c r="N393" s="248"/>
      <c r="O393" s="248"/>
      <c r="P393" s="249"/>
      <c r="Q393" s="250"/>
      <c r="R393" s="37"/>
      <c r="S393" s="37"/>
      <c r="T393" s="204"/>
      <c r="U393" s="37"/>
      <c r="V393" s="37"/>
      <c r="W393" s="37"/>
    </row>
    <row r="394" spans="1:23" ht="15.75" customHeight="1" x14ac:dyDescent="0.25">
      <c r="A394" s="244"/>
      <c r="B394" s="245"/>
      <c r="C394" s="246"/>
      <c r="D394" s="37"/>
      <c r="E394" s="246"/>
      <c r="F394" s="247"/>
      <c r="G394" s="245"/>
      <c r="H394" s="246"/>
      <c r="I394" s="247"/>
      <c r="J394" s="37"/>
      <c r="K394" s="248"/>
      <c r="L394" s="248"/>
      <c r="M394" s="248"/>
      <c r="N394" s="248"/>
      <c r="O394" s="248"/>
      <c r="P394" s="249"/>
      <c r="Q394" s="250"/>
      <c r="R394" s="37"/>
      <c r="S394" s="37"/>
      <c r="T394" s="204"/>
      <c r="U394" s="37"/>
      <c r="V394" s="37"/>
      <c r="W394" s="37"/>
    </row>
    <row r="395" spans="1:23" ht="15.75" customHeight="1" x14ac:dyDescent="0.25">
      <c r="A395" s="244"/>
      <c r="B395" s="245"/>
      <c r="C395" s="246"/>
      <c r="D395" s="37"/>
      <c r="E395" s="246"/>
      <c r="F395" s="247"/>
      <c r="G395" s="245"/>
      <c r="H395" s="246"/>
      <c r="I395" s="247"/>
      <c r="J395" s="37"/>
      <c r="K395" s="248"/>
      <c r="L395" s="248"/>
      <c r="M395" s="248"/>
      <c r="N395" s="248"/>
      <c r="O395" s="248"/>
      <c r="P395" s="249"/>
      <c r="Q395" s="250"/>
      <c r="R395" s="37"/>
      <c r="S395" s="37"/>
      <c r="T395" s="204"/>
      <c r="U395" s="37"/>
      <c r="V395" s="37"/>
      <c r="W395" s="37"/>
    </row>
    <row r="396" spans="1:23" ht="15.75" customHeight="1" x14ac:dyDescent="0.25">
      <c r="A396" s="244"/>
      <c r="B396" s="245"/>
      <c r="C396" s="246"/>
      <c r="D396" s="37"/>
      <c r="E396" s="246"/>
      <c r="F396" s="247"/>
      <c r="G396" s="245"/>
      <c r="H396" s="246"/>
      <c r="I396" s="247"/>
      <c r="J396" s="37"/>
      <c r="K396" s="248"/>
      <c r="L396" s="248"/>
      <c r="M396" s="248"/>
      <c r="N396" s="248"/>
      <c r="O396" s="248"/>
      <c r="P396" s="249"/>
      <c r="Q396" s="250"/>
      <c r="R396" s="37"/>
      <c r="S396" s="37"/>
      <c r="T396" s="204"/>
      <c r="U396" s="37"/>
      <c r="V396" s="37"/>
      <c r="W396" s="37"/>
    </row>
    <row r="397" spans="1:23" ht="15.75" customHeight="1" x14ac:dyDescent="0.25">
      <c r="A397" s="244"/>
      <c r="B397" s="245"/>
      <c r="C397" s="246"/>
      <c r="D397" s="37"/>
      <c r="E397" s="246"/>
      <c r="F397" s="247"/>
      <c r="G397" s="245"/>
      <c r="H397" s="246"/>
      <c r="I397" s="247"/>
      <c r="J397" s="37"/>
      <c r="K397" s="248"/>
      <c r="L397" s="248"/>
      <c r="M397" s="248"/>
      <c r="N397" s="248"/>
      <c r="O397" s="248"/>
      <c r="P397" s="249"/>
      <c r="Q397" s="250"/>
      <c r="R397" s="37"/>
      <c r="S397" s="37"/>
      <c r="T397" s="204"/>
      <c r="U397" s="37"/>
      <c r="V397" s="37"/>
      <c r="W397" s="37"/>
    </row>
    <row r="398" spans="1:23" ht="15.75" customHeight="1" x14ac:dyDescent="0.25">
      <c r="A398" s="244"/>
      <c r="B398" s="245"/>
      <c r="C398" s="246"/>
      <c r="D398" s="37"/>
      <c r="E398" s="246"/>
      <c r="F398" s="247"/>
      <c r="G398" s="245"/>
      <c r="H398" s="246"/>
      <c r="I398" s="247"/>
      <c r="J398" s="37"/>
      <c r="K398" s="248"/>
      <c r="L398" s="248"/>
      <c r="M398" s="248"/>
      <c r="N398" s="248"/>
      <c r="O398" s="248"/>
      <c r="P398" s="249"/>
      <c r="Q398" s="250"/>
      <c r="R398" s="37"/>
      <c r="S398" s="37"/>
      <c r="T398" s="204"/>
      <c r="U398" s="37"/>
      <c r="V398" s="37"/>
      <c r="W398" s="37"/>
    </row>
    <row r="399" spans="1:23" ht="15.75" customHeight="1" x14ac:dyDescent="0.25">
      <c r="A399" s="244"/>
      <c r="B399" s="245"/>
      <c r="C399" s="246"/>
      <c r="D399" s="37"/>
      <c r="E399" s="246"/>
      <c r="F399" s="247"/>
      <c r="G399" s="245"/>
      <c r="H399" s="246"/>
      <c r="I399" s="247"/>
      <c r="J399" s="37"/>
      <c r="K399" s="248"/>
      <c r="L399" s="248"/>
      <c r="M399" s="248"/>
      <c r="N399" s="248"/>
      <c r="O399" s="248"/>
      <c r="P399" s="249"/>
      <c r="Q399" s="250"/>
      <c r="R399" s="37"/>
      <c r="S399" s="37"/>
      <c r="T399" s="204"/>
      <c r="U399" s="37"/>
      <c r="V399" s="37"/>
      <c r="W399" s="37"/>
    </row>
    <row r="400" spans="1:23" ht="15.75" customHeight="1" x14ac:dyDescent="0.25">
      <c r="A400" s="244"/>
      <c r="B400" s="245"/>
      <c r="C400" s="246"/>
      <c r="D400" s="37"/>
      <c r="E400" s="246"/>
      <c r="F400" s="247"/>
      <c r="G400" s="245"/>
      <c r="H400" s="246"/>
      <c r="I400" s="247"/>
      <c r="J400" s="37"/>
      <c r="K400" s="248"/>
      <c r="L400" s="248"/>
      <c r="M400" s="248"/>
      <c r="N400" s="248"/>
      <c r="O400" s="248"/>
      <c r="P400" s="249"/>
      <c r="Q400" s="250"/>
      <c r="R400" s="37"/>
      <c r="S400" s="37"/>
      <c r="T400" s="204"/>
      <c r="U400" s="37"/>
      <c r="V400" s="37"/>
      <c r="W400" s="37"/>
    </row>
    <row r="401" spans="1:23" ht="15.75" customHeight="1" x14ac:dyDescent="0.25">
      <c r="A401" s="244"/>
      <c r="B401" s="245"/>
      <c r="C401" s="246"/>
      <c r="D401" s="37"/>
      <c r="E401" s="246"/>
      <c r="F401" s="247"/>
      <c r="G401" s="245"/>
      <c r="H401" s="246"/>
      <c r="I401" s="247"/>
      <c r="J401" s="37"/>
      <c r="K401" s="248"/>
      <c r="L401" s="248"/>
      <c r="M401" s="248"/>
      <c r="N401" s="248"/>
      <c r="O401" s="248"/>
      <c r="P401" s="249"/>
      <c r="Q401" s="250"/>
      <c r="R401" s="37"/>
      <c r="S401" s="37"/>
      <c r="T401" s="204"/>
      <c r="U401" s="37"/>
      <c r="V401" s="37"/>
      <c r="W401" s="37"/>
    </row>
    <row r="402" spans="1:23" ht="15.75" customHeight="1" x14ac:dyDescent="0.25">
      <c r="A402" s="244"/>
      <c r="B402" s="245"/>
      <c r="C402" s="246"/>
      <c r="D402" s="37"/>
      <c r="E402" s="246"/>
      <c r="F402" s="247"/>
      <c r="G402" s="245"/>
      <c r="H402" s="246"/>
      <c r="I402" s="247"/>
      <c r="J402" s="37"/>
      <c r="K402" s="248"/>
      <c r="L402" s="248"/>
      <c r="M402" s="248"/>
      <c r="N402" s="248"/>
      <c r="O402" s="248"/>
      <c r="P402" s="249"/>
      <c r="Q402" s="250"/>
      <c r="R402" s="37"/>
      <c r="S402" s="37"/>
      <c r="T402" s="204"/>
      <c r="U402" s="37"/>
      <c r="V402" s="37"/>
      <c r="W402" s="37"/>
    </row>
    <row r="403" spans="1:23" ht="15.75" customHeight="1" x14ac:dyDescent="0.25">
      <c r="A403" s="244"/>
      <c r="B403" s="245"/>
      <c r="C403" s="246"/>
      <c r="D403" s="37"/>
      <c r="E403" s="246"/>
      <c r="F403" s="247"/>
      <c r="G403" s="245"/>
      <c r="H403" s="246"/>
      <c r="I403" s="247"/>
      <c r="J403" s="37"/>
      <c r="K403" s="248"/>
      <c r="L403" s="248"/>
      <c r="M403" s="248"/>
      <c r="N403" s="248"/>
      <c r="O403" s="248"/>
      <c r="P403" s="249"/>
      <c r="Q403" s="250"/>
      <c r="R403" s="37"/>
      <c r="S403" s="37"/>
      <c r="T403" s="204"/>
      <c r="U403" s="37"/>
      <c r="V403" s="37"/>
      <c r="W403" s="37"/>
    </row>
    <row r="404" spans="1:23" ht="15.75" customHeight="1" x14ac:dyDescent="0.25">
      <c r="A404" s="244"/>
      <c r="B404" s="245"/>
      <c r="C404" s="246"/>
      <c r="D404" s="37"/>
      <c r="E404" s="246"/>
      <c r="F404" s="247"/>
      <c r="G404" s="245"/>
      <c r="H404" s="246"/>
      <c r="I404" s="247"/>
      <c r="J404" s="37"/>
      <c r="K404" s="248"/>
      <c r="L404" s="248"/>
      <c r="M404" s="248"/>
      <c r="N404" s="248"/>
      <c r="O404" s="248"/>
      <c r="P404" s="249"/>
      <c r="Q404" s="250"/>
      <c r="R404" s="37"/>
      <c r="S404" s="37"/>
      <c r="T404" s="204"/>
      <c r="U404" s="37"/>
      <c r="V404" s="37"/>
      <c r="W404" s="37"/>
    </row>
    <row r="405" spans="1:23" ht="15.75" customHeight="1" x14ac:dyDescent="0.25">
      <c r="A405" s="244"/>
      <c r="B405" s="245"/>
      <c r="C405" s="246"/>
      <c r="D405" s="37"/>
      <c r="E405" s="246"/>
      <c r="F405" s="247"/>
      <c r="G405" s="245"/>
      <c r="H405" s="246"/>
      <c r="I405" s="247"/>
      <c r="J405" s="37"/>
      <c r="K405" s="248"/>
      <c r="L405" s="248"/>
      <c r="M405" s="248"/>
      <c r="N405" s="248"/>
      <c r="O405" s="248"/>
      <c r="P405" s="249"/>
      <c r="Q405" s="250"/>
      <c r="R405" s="37"/>
      <c r="S405" s="37"/>
      <c r="T405" s="204"/>
      <c r="U405" s="37"/>
      <c r="V405" s="37"/>
      <c r="W405" s="37"/>
    </row>
    <row r="406" spans="1:23" ht="15.75" customHeight="1" x14ac:dyDescent="0.25">
      <c r="A406" s="244"/>
      <c r="B406" s="245"/>
      <c r="C406" s="246"/>
      <c r="D406" s="37"/>
      <c r="E406" s="246"/>
      <c r="F406" s="247"/>
      <c r="G406" s="245"/>
      <c r="H406" s="246"/>
      <c r="I406" s="247"/>
      <c r="J406" s="37"/>
      <c r="K406" s="248"/>
      <c r="L406" s="248"/>
      <c r="M406" s="248"/>
      <c r="N406" s="248"/>
      <c r="O406" s="248"/>
      <c r="P406" s="249"/>
      <c r="Q406" s="250"/>
      <c r="R406" s="37"/>
      <c r="S406" s="37"/>
      <c r="T406" s="204"/>
      <c r="U406" s="37"/>
      <c r="V406" s="37"/>
      <c r="W406" s="37"/>
    </row>
    <row r="407" spans="1:23" ht="15.75" customHeight="1" x14ac:dyDescent="0.25">
      <c r="A407" s="244"/>
      <c r="B407" s="245"/>
      <c r="C407" s="246"/>
      <c r="D407" s="37"/>
      <c r="E407" s="246"/>
      <c r="F407" s="247"/>
      <c r="G407" s="245"/>
      <c r="H407" s="246"/>
      <c r="I407" s="247"/>
      <c r="J407" s="37"/>
      <c r="K407" s="248"/>
      <c r="L407" s="248"/>
      <c r="M407" s="248"/>
      <c r="N407" s="248"/>
      <c r="O407" s="248"/>
      <c r="P407" s="249"/>
      <c r="Q407" s="250"/>
      <c r="R407" s="37"/>
      <c r="S407" s="37"/>
      <c r="T407" s="204"/>
      <c r="U407" s="37"/>
      <c r="V407" s="37"/>
      <c r="W407" s="37"/>
    </row>
    <row r="408" spans="1:23" ht="15.75" customHeight="1" x14ac:dyDescent="0.25">
      <c r="A408" s="244"/>
      <c r="B408" s="245"/>
      <c r="C408" s="246"/>
      <c r="D408" s="37"/>
      <c r="E408" s="246"/>
      <c r="F408" s="247"/>
      <c r="G408" s="245"/>
      <c r="H408" s="246"/>
      <c r="I408" s="247"/>
      <c r="J408" s="37"/>
      <c r="K408" s="248"/>
      <c r="L408" s="248"/>
      <c r="M408" s="248"/>
      <c r="N408" s="248"/>
      <c r="O408" s="248"/>
      <c r="P408" s="249"/>
      <c r="Q408" s="250"/>
      <c r="R408" s="37"/>
      <c r="S408" s="37"/>
      <c r="T408" s="204"/>
      <c r="U408" s="37"/>
      <c r="V408" s="37"/>
      <c r="W408" s="37"/>
    </row>
    <row r="409" spans="1:23" ht="15.75" customHeight="1" x14ac:dyDescent="0.25">
      <c r="A409" s="244"/>
      <c r="B409" s="245"/>
      <c r="C409" s="246"/>
      <c r="D409" s="37"/>
      <c r="E409" s="246"/>
      <c r="F409" s="247"/>
      <c r="G409" s="245"/>
      <c r="H409" s="246"/>
      <c r="I409" s="247"/>
      <c r="J409" s="37"/>
      <c r="K409" s="248"/>
      <c r="L409" s="248"/>
      <c r="M409" s="248"/>
      <c r="N409" s="248"/>
      <c r="O409" s="248"/>
      <c r="P409" s="249"/>
      <c r="Q409" s="250"/>
      <c r="R409" s="37"/>
      <c r="S409" s="37"/>
      <c r="T409" s="204"/>
      <c r="U409" s="37"/>
      <c r="V409" s="37"/>
      <c r="W409" s="37"/>
    </row>
    <row r="410" spans="1:23" ht="15.75" customHeight="1" x14ac:dyDescent="0.25">
      <c r="A410" s="244"/>
      <c r="B410" s="245"/>
      <c r="C410" s="246"/>
      <c r="D410" s="37"/>
      <c r="E410" s="246"/>
      <c r="F410" s="247"/>
      <c r="G410" s="245"/>
      <c r="H410" s="246"/>
      <c r="I410" s="247"/>
      <c r="J410" s="37"/>
      <c r="K410" s="248"/>
      <c r="L410" s="248"/>
      <c r="M410" s="248"/>
      <c r="N410" s="248"/>
      <c r="O410" s="248"/>
      <c r="P410" s="249"/>
      <c r="Q410" s="250"/>
      <c r="R410" s="37"/>
      <c r="S410" s="37"/>
      <c r="T410" s="204"/>
      <c r="U410" s="37"/>
      <c r="V410" s="37"/>
      <c r="W410" s="37"/>
    </row>
    <row r="411" spans="1:23" ht="15.75" customHeight="1" x14ac:dyDescent="0.25">
      <c r="A411" s="244"/>
      <c r="B411" s="245"/>
      <c r="C411" s="246"/>
      <c r="D411" s="37"/>
      <c r="E411" s="246"/>
      <c r="F411" s="247"/>
      <c r="G411" s="245"/>
      <c r="H411" s="246"/>
      <c r="I411" s="247"/>
      <c r="J411" s="37"/>
      <c r="K411" s="248"/>
      <c r="L411" s="248"/>
      <c r="M411" s="248"/>
      <c r="N411" s="248"/>
      <c r="O411" s="248"/>
      <c r="P411" s="249"/>
      <c r="Q411" s="250"/>
      <c r="R411" s="37"/>
      <c r="S411" s="37"/>
      <c r="T411" s="204"/>
      <c r="U411" s="37"/>
      <c r="V411" s="37"/>
      <c r="W411" s="37"/>
    </row>
    <row r="412" spans="1:23" ht="15.75" customHeight="1" x14ac:dyDescent="0.25">
      <c r="A412" s="244"/>
      <c r="B412" s="245"/>
      <c r="C412" s="246"/>
      <c r="D412" s="37"/>
      <c r="E412" s="246"/>
      <c r="F412" s="247"/>
      <c r="G412" s="245"/>
      <c r="H412" s="246"/>
      <c r="I412" s="247"/>
      <c r="J412" s="37"/>
      <c r="K412" s="248"/>
      <c r="L412" s="248"/>
      <c r="M412" s="248"/>
      <c r="N412" s="248"/>
      <c r="O412" s="248"/>
      <c r="P412" s="249"/>
      <c r="Q412" s="250"/>
      <c r="R412" s="37"/>
      <c r="S412" s="37"/>
      <c r="T412" s="204"/>
      <c r="U412" s="37"/>
      <c r="V412" s="37"/>
      <c r="W412" s="37"/>
    </row>
    <row r="413" spans="1:23" ht="15.75" customHeight="1" x14ac:dyDescent="0.25">
      <c r="A413" s="244"/>
      <c r="B413" s="245"/>
      <c r="C413" s="246"/>
      <c r="D413" s="37"/>
      <c r="E413" s="246"/>
      <c r="F413" s="247"/>
      <c r="G413" s="245"/>
      <c r="H413" s="246"/>
      <c r="I413" s="247"/>
      <c r="J413" s="37"/>
      <c r="K413" s="248"/>
      <c r="L413" s="248"/>
      <c r="M413" s="248"/>
      <c r="N413" s="248"/>
      <c r="O413" s="248"/>
      <c r="P413" s="249"/>
      <c r="Q413" s="250"/>
      <c r="R413" s="37"/>
      <c r="S413" s="37"/>
      <c r="T413" s="204"/>
      <c r="U413" s="37"/>
      <c r="V413" s="37"/>
      <c r="W413" s="37"/>
    </row>
    <row r="414" spans="1:23" ht="15.75" customHeight="1" x14ac:dyDescent="0.25">
      <c r="A414" s="244"/>
      <c r="B414" s="245"/>
      <c r="C414" s="246"/>
      <c r="D414" s="37"/>
      <c r="E414" s="246"/>
      <c r="F414" s="247"/>
      <c r="G414" s="245"/>
      <c r="H414" s="246"/>
      <c r="I414" s="247"/>
      <c r="J414" s="37"/>
      <c r="K414" s="248"/>
      <c r="L414" s="248"/>
      <c r="M414" s="248"/>
      <c r="N414" s="248"/>
      <c r="O414" s="248"/>
      <c r="P414" s="249"/>
      <c r="Q414" s="250"/>
      <c r="R414" s="37"/>
      <c r="S414" s="37"/>
      <c r="T414" s="204"/>
      <c r="U414" s="37"/>
      <c r="V414" s="37"/>
      <c r="W414" s="37"/>
    </row>
    <row r="415" spans="1:23" ht="15.75" customHeight="1" x14ac:dyDescent="0.25">
      <c r="A415" s="244"/>
      <c r="B415" s="245"/>
      <c r="C415" s="246"/>
      <c r="D415" s="37"/>
      <c r="E415" s="246"/>
      <c r="F415" s="247"/>
      <c r="G415" s="245"/>
      <c r="H415" s="246"/>
      <c r="I415" s="247"/>
      <c r="J415" s="37"/>
      <c r="K415" s="248"/>
      <c r="L415" s="248"/>
      <c r="M415" s="248"/>
      <c r="N415" s="248"/>
      <c r="O415" s="248"/>
      <c r="P415" s="249"/>
      <c r="Q415" s="250"/>
      <c r="R415" s="37"/>
      <c r="S415" s="37"/>
      <c r="T415" s="204"/>
      <c r="U415" s="37"/>
      <c r="V415" s="37"/>
      <c r="W415" s="37"/>
    </row>
    <row r="416" spans="1:23" ht="15.75" customHeight="1" x14ac:dyDescent="0.25">
      <c r="A416" s="244"/>
      <c r="B416" s="245"/>
      <c r="C416" s="246"/>
      <c r="D416" s="37"/>
      <c r="E416" s="246"/>
      <c r="F416" s="247"/>
      <c r="G416" s="245"/>
      <c r="H416" s="246"/>
      <c r="I416" s="247"/>
      <c r="J416" s="37"/>
      <c r="K416" s="248"/>
      <c r="L416" s="248"/>
      <c r="M416" s="248"/>
      <c r="N416" s="248"/>
      <c r="O416" s="248"/>
      <c r="P416" s="249"/>
      <c r="Q416" s="250"/>
      <c r="R416" s="37"/>
      <c r="S416" s="37"/>
      <c r="T416" s="204"/>
      <c r="U416" s="37"/>
      <c r="V416" s="37"/>
      <c r="W416" s="37"/>
    </row>
    <row r="417" spans="1:23" ht="15.75" customHeight="1" x14ac:dyDescent="0.25">
      <c r="A417" s="244"/>
      <c r="B417" s="245"/>
      <c r="C417" s="246"/>
      <c r="D417" s="37"/>
      <c r="E417" s="246"/>
      <c r="F417" s="247"/>
      <c r="G417" s="245"/>
      <c r="H417" s="246"/>
      <c r="I417" s="247"/>
      <c r="J417" s="37"/>
      <c r="K417" s="248"/>
      <c r="L417" s="248"/>
      <c r="M417" s="248"/>
      <c r="N417" s="248"/>
      <c r="O417" s="248"/>
      <c r="P417" s="249"/>
      <c r="Q417" s="250"/>
      <c r="R417" s="37"/>
      <c r="S417" s="37"/>
      <c r="T417" s="204"/>
      <c r="U417" s="37"/>
      <c r="V417" s="37"/>
      <c r="W417" s="37"/>
    </row>
    <row r="418" spans="1:23" ht="15.75" customHeight="1" x14ac:dyDescent="0.25">
      <c r="A418" s="244"/>
      <c r="B418" s="245"/>
      <c r="C418" s="246"/>
      <c r="D418" s="37"/>
      <c r="E418" s="246"/>
      <c r="F418" s="247"/>
      <c r="G418" s="245"/>
      <c r="H418" s="246"/>
      <c r="I418" s="247"/>
      <c r="J418" s="37"/>
      <c r="K418" s="248"/>
      <c r="L418" s="248"/>
      <c r="M418" s="248"/>
      <c r="N418" s="248"/>
      <c r="O418" s="248"/>
      <c r="P418" s="249"/>
      <c r="Q418" s="250"/>
      <c r="R418" s="37"/>
      <c r="S418" s="37"/>
      <c r="T418" s="204"/>
      <c r="U418" s="37"/>
      <c r="V418" s="37"/>
      <c r="W418" s="37"/>
    </row>
    <row r="419" spans="1:23" ht="15.75" customHeight="1" x14ac:dyDescent="0.25">
      <c r="A419" s="244"/>
      <c r="B419" s="245"/>
      <c r="C419" s="246"/>
      <c r="D419" s="37"/>
      <c r="E419" s="246"/>
      <c r="F419" s="247"/>
      <c r="G419" s="245"/>
      <c r="H419" s="246"/>
      <c r="I419" s="247"/>
      <c r="J419" s="37"/>
      <c r="K419" s="248"/>
      <c r="L419" s="248"/>
      <c r="M419" s="248"/>
      <c r="N419" s="248"/>
      <c r="O419" s="248"/>
      <c r="P419" s="249"/>
      <c r="Q419" s="250"/>
      <c r="R419" s="37"/>
      <c r="S419" s="37"/>
      <c r="T419" s="204"/>
      <c r="U419" s="37"/>
      <c r="V419" s="37"/>
      <c r="W419" s="37"/>
    </row>
    <row r="420" spans="1:23" ht="15.75" customHeight="1" x14ac:dyDescent="0.25">
      <c r="A420" s="244"/>
      <c r="B420" s="245"/>
      <c r="C420" s="246"/>
      <c r="D420" s="37"/>
      <c r="E420" s="246"/>
      <c r="F420" s="247"/>
      <c r="G420" s="245"/>
      <c r="H420" s="246"/>
      <c r="I420" s="247"/>
      <c r="J420" s="37"/>
      <c r="K420" s="248"/>
      <c r="L420" s="248"/>
      <c r="M420" s="248"/>
      <c r="N420" s="248"/>
      <c r="O420" s="248"/>
      <c r="P420" s="249"/>
      <c r="Q420" s="250"/>
      <c r="R420" s="37"/>
      <c r="S420" s="37"/>
      <c r="T420" s="204"/>
      <c r="U420" s="37"/>
      <c r="V420" s="37"/>
      <c r="W420" s="37"/>
    </row>
    <row r="421" spans="1:23" ht="15.75" customHeight="1" x14ac:dyDescent="0.25">
      <c r="A421" s="244"/>
      <c r="B421" s="245"/>
      <c r="C421" s="246"/>
      <c r="D421" s="37"/>
      <c r="E421" s="246"/>
      <c r="F421" s="247"/>
      <c r="G421" s="245"/>
      <c r="H421" s="246"/>
      <c r="I421" s="247"/>
      <c r="J421" s="37"/>
      <c r="K421" s="248"/>
      <c r="L421" s="248"/>
      <c r="M421" s="248"/>
      <c r="N421" s="248"/>
      <c r="O421" s="248"/>
      <c r="P421" s="249"/>
      <c r="Q421" s="250"/>
      <c r="R421" s="37"/>
      <c r="S421" s="37"/>
      <c r="T421" s="204"/>
      <c r="U421" s="37"/>
      <c r="V421" s="37"/>
      <c r="W421" s="37"/>
    </row>
    <row r="422" spans="1:23" ht="15.75" customHeight="1" x14ac:dyDescent="0.25">
      <c r="A422" s="244"/>
      <c r="B422" s="245"/>
      <c r="C422" s="246"/>
      <c r="D422" s="37"/>
      <c r="E422" s="246"/>
      <c r="F422" s="247"/>
      <c r="G422" s="245"/>
      <c r="H422" s="246"/>
      <c r="I422" s="247"/>
      <c r="J422" s="37"/>
      <c r="K422" s="248"/>
      <c r="L422" s="248"/>
      <c r="M422" s="248"/>
      <c r="N422" s="248"/>
      <c r="O422" s="248"/>
      <c r="P422" s="249"/>
      <c r="Q422" s="250"/>
      <c r="R422" s="37"/>
      <c r="S422" s="37"/>
      <c r="T422" s="204"/>
      <c r="U422" s="37"/>
      <c r="V422" s="37"/>
      <c r="W422" s="37"/>
    </row>
    <row r="423" spans="1:23" ht="15.75" customHeight="1" x14ac:dyDescent="0.25">
      <c r="A423" s="244"/>
      <c r="B423" s="245"/>
      <c r="C423" s="246"/>
      <c r="D423" s="37"/>
      <c r="E423" s="246"/>
      <c r="F423" s="247"/>
      <c r="G423" s="245"/>
      <c r="H423" s="246"/>
      <c r="I423" s="247"/>
      <c r="J423" s="37"/>
      <c r="K423" s="248"/>
      <c r="L423" s="248"/>
      <c r="M423" s="248"/>
      <c r="N423" s="248"/>
      <c r="O423" s="248"/>
      <c r="P423" s="249"/>
      <c r="Q423" s="250"/>
      <c r="R423" s="37"/>
      <c r="S423" s="37"/>
      <c r="T423" s="204"/>
      <c r="U423" s="37"/>
      <c r="V423" s="37"/>
      <c r="W423" s="37"/>
    </row>
    <row r="424" spans="1:23" ht="15.75" customHeight="1" x14ac:dyDescent="0.25">
      <c r="A424" s="244"/>
      <c r="B424" s="245"/>
      <c r="C424" s="246"/>
      <c r="D424" s="37"/>
      <c r="E424" s="246"/>
      <c r="F424" s="247"/>
      <c r="G424" s="245"/>
      <c r="H424" s="246"/>
      <c r="I424" s="247"/>
      <c r="J424" s="37"/>
      <c r="K424" s="248"/>
      <c r="L424" s="248"/>
      <c r="M424" s="248"/>
      <c r="N424" s="248"/>
      <c r="O424" s="248"/>
      <c r="P424" s="249"/>
      <c r="Q424" s="250"/>
      <c r="R424" s="37"/>
      <c r="S424" s="37"/>
      <c r="T424" s="204"/>
      <c r="U424" s="37"/>
      <c r="V424" s="37"/>
      <c r="W424" s="37"/>
    </row>
    <row r="425" spans="1:23" ht="15.75" customHeight="1" x14ac:dyDescent="0.25">
      <c r="A425" s="244"/>
      <c r="B425" s="245"/>
      <c r="C425" s="246"/>
      <c r="D425" s="37"/>
      <c r="E425" s="246"/>
      <c r="F425" s="247"/>
      <c r="G425" s="245"/>
      <c r="H425" s="246"/>
      <c r="I425" s="247"/>
      <c r="J425" s="37"/>
      <c r="K425" s="248"/>
      <c r="L425" s="248"/>
      <c r="M425" s="248"/>
      <c r="N425" s="248"/>
      <c r="O425" s="248"/>
      <c r="P425" s="249"/>
      <c r="Q425" s="250"/>
      <c r="R425" s="37"/>
      <c r="S425" s="37"/>
      <c r="T425" s="204"/>
      <c r="U425" s="37"/>
      <c r="V425" s="37"/>
      <c r="W425" s="37"/>
    </row>
    <row r="426" spans="1:23" ht="15.75" customHeight="1" x14ac:dyDescent="0.25">
      <c r="A426" s="244"/>
      <c r="B426" s="245"/>
      <c r="C426" s="246"/>
      <c r="D426" s="37"/>
      <c r="E426" s="246"/>
      <c r="F426" s="247"/>
      <c r="G426" s="245"/>
      <c r="H426" s="246"/>
      <c r="I426" s="247"/>
      <c r="J426" s="37"/>
      <c r="K426" s="248"/>
      <c r="L426" s="248"/>
      <c r="M426" s="248"/>
      <c r="N426" s="248"/>
      <c r="O426" s="248"/>
      <c r="P426" s="249"/>
      <c r="Q426" s="250"/>
      <c r="R426" s="37"/>
      <c r="S426" s="37"/>
      <c r="T426" s="204"/>
      <c r="U426" s="37"/>
      <c r="V426" s="37"/>
      <c r="W426" s="37"/>
    </row>
    <row r="427" spans="1:23" ht="15.75" customHeight="1" x14ac:dyDescent="0.25">
      <c r="A427" s="244"/>
      <c r="B427" s="245"/>
      <c r="C427" s="246"/>
      <c r="D427" s="37"/>
      <c r="E427" s="246"/>
      <c r="F427" s="247"/>
      <c r="G427" s="245"/>
      <c r="H427" s="246"/>
      <c r="I427" s="247"/>
      <c r="J427" s="37"/>
      <c r="K427" s="248"/>
      <c r="L427" s="248"/>
      <c r="M427" s="248"/>
      <c r="N427" s="248"/>
      <c r="O427" s="248"/>
      <c r="P427" s="249"/>
      <c r="Q427" s="250"/>
      <c r="R427" s="37"/>
      <c r="S427" s="37"/>
      <c r="T427" s="204"/>
      <c r="U427" s="37"/>
      <c r="V427" s="37"/>
      <c r="W427" s="37"/>
    </row>
    <row r="428" spans="1:23" ht="15.75" customHeight="1" x14ac:dyDescent="0.25">
      <c r="A428" s="244"/>
      <c r="B428" s="245"/>
      <c r="C428" s="246"/>
      <c r="D428" s="37"/>
      <c r="E428" s="246"/>
      <c r="F428" s="247"/>
      <c r="G428" s="245"/>
      <c r="H428" s="246"/>
      <c r="I428" s="247"/>
      <c r="J428" s="37"/>
      <c r="K428" s="248"/>
      <c r="L428" s="248"/>
      <c r="M428" s="248"/>
      <c r="N428" s="248"/>
      <c r="O428" s="248"/>
      <c r="P428" s="249"/>
      <c r="Q428" s="250"/>
      <c r="R428" s="37"/>
      <c r="S428" s="37"/>
      <c r="T428" s="204"/>
      <c r="U428" s="37"/>
      <c r="V428" s="37"/>
      <c r="W428" s="37"/>
    </row>
    <row r="429" spans="1:23" ht="15.75" customHeight="1" x14ac:dyDescent="0.25">
      <c r="A429" s="244"/>
      <c r="B429" s="245"/>
      <c r="C429" s="246"/>
      <c r="D429" s="37"/>
      <c r="E429" s="246"/>
      <c r="F429" s="247"/>
      <c r="G429" s="245"/>
      <c r="H429" s="246"/>
      <c r="I429" s="247"/>
      <c r="J429" s="37"/>
      <c r="K429" s="248"/>
      <c r="L429" s="248"/>
      <c r="M429" s="248"/>
      <c r="N429" s="248"/>
      <c r="O429" s="248"/>
      <c r="P429" s="249"/>
      <c r="Q429" s="250"/>
      <c r="R429" s="37"/>
      <c r="S429" s="37"/>
      <c r="T429" s="204"/>
      <c r="U429" s="37"/>
      <c r="V429" s="37"/>
      <c r="W429" s="37"/>
    </row>
    <row r="430" spans="1:23" ht="15.75" customHeight="1" x14ac:dyDescent="0.25">
      <c r="A430" s="244"/>
      <c r="B430" s="245"/>
      <c r="C430" s="246"/>
      <c r="D430" s="37"/>
      <c r="E430" s="246"/>
      <c r="F430" s="247"/>
      <c r="G430" s="245"/>
      <c r="H430" s="246"/>
      <c r="I430" s="247"/>
      <c r="J430" s="37"/>
      <c r="K430" s="248"/>
      <c r="L430" s="248"/>
      <c r="M430" s="248"/>
      <c r="N430" s="248"/>
      <c r="O430" s="248"/>
      <c r="P430" s="249"/>
      <c r="Q430" s="250"/>
      <c r="R430" s="37"/>
      <c r="S430" s="37"/>
      <c r="T430" s="204"/>
      <c r="U430" s="37"/>
      <c r="V430" s="37"/>
      <c r="W430" s="37"/>
    </row>
    <row r="431" spans="1:23" ht="15.75" customHeight="1" x14ac:dyDescent="0.25">
      <c r="A431" s="244"/>
      <c r="B431" s="245"/>
      <c r="C431" s="246"/>
      <c r="D431" s="37"/>
      <c r="E431" s="246"/>
      <c r="F431" s="247"/>
      <c r="G431" s="245"/>
      <c r="H431" s="246"/>
      <c r="I431" s="247"/>
      <c r="J431" s="37"/>
      <c r="K431" s="248"/>
      <c r="L431" s="248"/>
      <c r="M431" s="248"/>
      <c r="N431" s="248"/>
      <c r="O431" s="248"/>
      <c r="P431" s="249"/>
      <c r="Q431" s="250"/>
      <c r="R431" s="37"/>
      <c r="S431" s="37"/>
      <c r="T431" s="204"/>
      <c r="U431" s="37"/>
      <c r="V431" s="37"/>
      <c r="W431" s="37"/>
    </row>
    <row r="432" spans="1:23" ht="15.75" customHeight="1" x14ac:dyDescent="0.25">
      <c r="A432" s="244"/>
      <c r="B432" s="245"/>
      <c r="C432" s="246"/>
      <c r="D432" s="37"/>
      <c r="E432" s="246"/>
      <c r="F432" s="247"/>
      <c r="G432" s="245"/>
      <c r="H432" s="246"/>
      <c r="I432" s="247"/>
      <c r="J432" s="37"/>
      <c r="K432" s="248"/>
      <c r="L432" s="248"/>
      <c r="M432" s="248"/>
      <c r="N432" s="248"/>
      <c r="O432" s="248"/>
      <c r="P432" s="249"/>
      <c r="Q432" s="250"/>
      <c r="R432" s="37"/>
      <c r="S432" s="37"/>
      <c r="T432" s="204"/>
      <c r="U432" s="37"/>
      <c r="V432" s="37"/>
      <c r="W432" s="37"/>
    </row>
    <row r="433" spans="1:23" ht="15.75" customHeight="1" x14ac:dyDescent="0.25">
      <c r="A433" s="244"/>
      <c r="B433" s="245"/>
      <c r="C433" s="246"/>
      <c r="D433" s="37"/>
      <c r="E433" s="246"/>
      <c r="F433" s="247"/>
      <c r="G433" s="245"/>
      <c r="H433" s="246"/>
      <c r="I433" s="247"/>
      <c r="J433" s="37"/>
      <c r="K433" s="248"/>
      <c r="L433" s="248"/>
      <c r="M433" s="248"/>
      <c r="N433" s="248"/>
      <c r="O433" s="248"/>
      <c r="P433" s="249"/>
      <c r="Q433" s="250"/>
      <c r="R433" s="37"/>
      <c r="S433" s="37"/>
      <c r="T433" s="204"/>
      <c r="U433" s="37"/>
      <c r="V433" s="37"/>
      <c r="W433" s="37"/>
    </row>
    <row r="434" spans="1:23" ht="15.75" customHeight="1" x14ac:dyDescent="0.25">
      <c r="A434" s="244"/>
      <c r="B434" s="245"/>
      <c r="C434" s="246"/>
      <c r="D434" s="37"/>
      <c r="E434" s="246"/>
      <c r="F434" s="247"/>
      <c r="G434" s="245"/>
      <c r="H434" s="246"/>
      <c r="I434" s="247"/>
      <c r="J434" s="37"/>
      <c r="K434" s="248"/>
      <c r="L434" s="248"/>
      <c r="M434" s="248"/>
      <c r="N434" s="248"/>
      <c r="O434" s="248"/>
      <c r="P434" s="249"/>
      <c r="Q434" s="250"/>
      <c r="R434" s="37"/>
      <c r="S434" s="37"/>
      <c r="T434" s="204"/>
      <c r="U434" s="37"/>
      <c r="V434" s="37"/>
      <c r="W434" s="37"/>
    </row>
    <row r="435" spans="1:23" ht="15.75" customHeight="1" x14ac:dyDescent="0.25">
      <c r="A435" s="244"/>
      <c r="B435" s="245"/>
      <c r="C435" s="246"/>
      <c r="D435" s="37"/>
      <c r="E435" s="246"/>
      <c r="F435" s="247"/>
      <c r="G435" s="245"/>
      <c r="H435" s="246"/>
      <c r="I435" s="247"/>
      <c r="J435" s="37"/>
      <c r="K435" s="248"/>
      <c r="L435" s="248"/>
      <c r="M435" s="248"/>
      <c r="N435" s="248"/>
      <c r="O435" s="248"/>
      <c r="P435" s="249"/>
      <c r="Q435" s="250"/>
      <c r="R435" s="37"/>
      <c r="S435" s="37"/>
      <c r="T435" s="204"/>
      <c r="U435" s="37"/>
      <c r="V435" s="37"/>
      <c r="W435" s="37"/>
    </row>
    <row r="436" spans="1:23" ht="15.75" customHeight="1" x14ac:dyDescent="0.25">
      <c r="A436" s="244"/>
      <c r="B436" s="245"/>
      <c r="C436" s="246"/>
      <c r="D436" s="37"/>
      <c r="E436" s="246"/>
      <c r="F436" s="247"/>
      <c r="G436" s="245"/>
      <c r="H436" s="246"/>
      <c r="I436" s="247"/>
      <c r="J436" s="37"/>
      <c r="K436" s="248"/>
      <c r="L436" s="248"/>
      <c r="M436" s="248"/>
      <c r="N436" s="248"/>
      <c r="O436" s="248"/>
      <c r="P436" s="249"/>
      <c r="Q436" s="250"/>
      <c r="R436" s="37"/>
      <c r="S436" s="37"/>
      <c r="T436" s="204"/>
      <c r="U436" s="37"/>
      <c r="V436" s="37"/>
      <c r="W436" s="37"/>
    </row>
    <row r="437" spans="1:23" ht="15.75" customHeight="1" x14ac:dyDescent="0.25">
      <c r="A437" s="244"/>
      <c r="B437" s="245"/>
      <c r="C437" s="246"/>
      <c r="D437" s="37"/>
      <c r="E437" s="246"/>
      <c r="F437" s="247"/>
      <c r="G437" s="245"/>
      <c r="H437" s="246"/>
      <c r="I437" s="247"/>
      <c r="J437" s="37"/>
      <c r="K437" s="248"/>
      <c r="L437" s="248"/>
      <c r="M437" s="248"/>
      <c r="N437" s="248"/>
      <c r="O437" s="248"/>
      <c r="P437" s="249"/>
      <c r="Q437" s="250"/>
      <c r="R437" s="37"/>
      <c r="S437" s="37"/>
      <c r="T437" s="204"/>
      <c r="U437" s="37"/>
      <c r="V437" s="37"/>
      <c r="W437" s="37"/>
    </row>
    <row r="438" spans="1:23" ht="15.75" customHeight="1" x14ac:dyDescent="0.25">
      <c r="A438" s="244"/>
      <c r="B438" s="245"/>
      <c r="C438" s="246"/>
      <c r="D438" s="37"/>
      <c r="E438" s="246"/>
      <c r="F438" s="247"/>
      <c r="G438" s="245"/>
      <c r="H438" s="246"/>
      <c r="I438" s="247"/>
      <c r="J438" s="37"/>
      <c r="K438" s="248"/>
      <c r="L438" s="248"/>
      <c r="M438" s="248"/>
      <c r="N438" s="248"/>
      <c r="O438" s="248"/>
      <c r="P438" s="249"/>
      <c r="Q438" s="250"/>
      <c r="R438" s="37"/>
      <c r="S438" s="37"/>
      <c r="T438" s="204"/>
      <c r="U438" s="37"/>
      <c r="V438" s="37"/>
      <c r="W438" s="37"/>
    </row>
    <row r="439" spans="1:23" ht="15.75" customHeight="1" x14ac:dyDescent="0.25">
      <c r="A439" s="244"/>
      <c r="B439" s="245"/>
      <c r="C439" s="246"/>
      <c r="D439" s="37"/>
      <c r="E439" s="246"/>
      <c r="F439" s="247"/>
      <c r="G439" s="245"/>
      <c r="H439" s="246"/>
      <c r="I439" s="247"/>
      <c r="J439" s="37"/>
      <c r="K439" s="248"/>
      <c r="L439" s="248"/>
      <c r="M439" s="248"/>
      <c r="N439" s="248"/>
      <c r="O439" s="248"/>
      <c r="P439" s="249"/>
      <c r="Q439" s="250"/>
      <c r="R439" s="37"/>
      <c r="S439" s="37"/>
      <c r="T439" s="204"/>
      <c r="U439" s="37"/>
      <c r="V439" s="37"/>
      <c r="W439" s="37"/>
    </row>
    <row r="440" spans="1:23" ht="15.75" customHeight="1" x14ac:dyDescent="0.25">
      <c r="A440" s="244"/>
      <c r="B440" s="245"/>
      <c r="C440" s="246"/>
      <c r="D440" s="37"/>
      <c r="E440" s="246"/>
      <c r="F440" s="247"/>
      <c r="G440" s="245"/>
      <c r="H440" s="246"/>
      <c r="I440" s="247"/>
      <c r="J440" s="37"/>
      <c r="K440" s="248"/>
      <c r="L440" s="248"/>
      <c r="M440" s="248"/>
      <c r="N440" s="248"/>
      <c r="O440" s="248"/>
      <c r="P440" s="249"/>
      <c r="Q440" s="250"/>
      <c r="R440" s="37"/>
      <c r="S440" s="37"/>
      <c r="T440" s="204"/>
      <c r="U440" s="37"/>
      <c r="V440" s="37"/>
      <c r="W440" s="37"/>
    </row>
    <row r="441" spans="1:23" ht="15.75" customHeight="1" x14ac:dyDescent="0.25">
      <c r="A441" s="244"/>
      <c r="B441" s="245"/>
      <c r="C441" s="246"/>
      <c r="D441" s="37"/>
      <c r="E441" s="246"/>
      <c r="F441" s="247"/>
      <c r="G441" s="245"/>
      <c r="H441" s="246"/>
      <c r="I441" s="247"/>
      <c r="J441" s="37"/>
      <c r="K441" s="248"/>
      <c r="L441" s="248"/>
      <c r="M441" s="248"/>
      <c r="N441" s="248"/>
      <c r="O441" s="248"/>
      <c r="P441" s="249"/>
      <c r="Q441" s="250"/>
      <c r="R441" s="37"/>
      <c r="S441" s="37"/>
      <c r="T441" s="204"/>
      <c r="U441" s="37"/>
      <c r="V441" s="37"/>
      <c r="W441" s="37"/>
    </row>
    <row r="442" spans="1:23" ht="15.75" customHeight="1" x14ac:dyDescent="0.25">
      <c r="A442" s="244"/>
      <c r="B442" s="245"/>
      <c r="C442" s="246"/>
      <c r="D442" s="37"/>
      <c r="E442" s="246"/>
      <c r="F442" s="247"/>
      <c r="G442" s="245"/>
      <c r="H442" s="246"/>
      <c r="I442" s="247"/>
      <c r="J442" s="37"/>
      <c r="K442" s="248"/>
      <c r="L442" s="248"/>
      <c r="M442" s="248"/>
      <c r="N442" s="248"/>
      <c r="O442" s="248"/>
      <c r="P442" s="249"/>
      <c r="Q442" s="250"/>
      <c r="R442" s="37"/>
      <c r="S442" s="37"/>
      <c r="T442" s="204"/>
      <c r="U442" s="37"/>
      <c r="V442" s="37"/>
      <c r="W442" s="37"/>
    </row>
    <row r="443" spans="1:23" ht="15.75" customHeight="1" x14ac:dyDescent="0.25">
      <c r="A443" s="244"/>
      <c r="B443" s="245"/>
      <c r="C443" s="246"/>
      <c r="D443" s="37"/>
      <c r="E443" s="246"/>
      <c r="F443" s="247"/>
      <c r="G443" s="245"/>
      <c r="H443" s="246"/>
      <c r="I443" s="247"/>
      <c r="J443" s="37"/>
      <c r="K443" s="248"/>
      <c r="L443" s="248"/>
      <c r="M443" s="248"/>
      <c r="N443" s="248"/>
      <c r="O443" s="248"/>
      <c r="P443" s="249"/>
      <c r="Q443" s="250"/>
      <c r="R443" s="37"/>
      <c r="S443" s="37"/>
      <c r="T443" s="204"/>
      <c r="U443" s="37"/>
      <c r="V443" s="37"/>
      <c r="W443" s="37"/>
    </row>
    <row r="444" spans="1:23" ht="15.75" customHeight="1" x14ac:dyDescent="0.25">
      <c r="A444" s="244"/>
      <c r="B444" s="245"/>
      <c r="C444" s="246"/>
      <c r="D444" s="37"/>
      <c r="E444" s="246"/>
      <c r="F444" s="247"/>
      <c r="G444" s="245"/>
      <c r="H444" s="246"/>
      <c r="I444" s="247"/>
      <c r="J444" s="37"/>
      <c r="K444" s="248"/>
      <c r="L444" s="248"/>
      <c r="M444" s="248"/>
      <c r="N444" s="248"/>
      <c r="O444" s="248"/>
      <c r="P444" s="249"/>
      <c r="Q444" s="250"/>
      <c r="R444" s="37"/>
      <c r="S444" s="37"/>
      <c r="T444" s="204"/>
      <c r="U444" s="37"/>
      <c r="V444" s="37"/>
      <c r="W444" s="37"/>
    </row>
    <row r="445" spans="1:23" ht="15.75" customHeight="1" x14ac:dyDescent="0.25">
      <c r="A445" s="244"/>
      <c r="B445" s="245"/>
      <c r="C445" s="246"/>
      <c r="D445" s="37"/>
      <c r="E445" s="246"/>
      <c r="F445" s="247"/>
      <c r="G445" s="245"/>
      <c r="H445" s="246"/>
      <c r="I445" s="247"/>
      <c r="J445" s="37"/>
      <c r="K445" s="248"/>
      <c r="L445" s="248"/>
      <c r="M445" s="248"/>
      <c r="N445" s="248"/>
      <c r="O445" s="248"/>
      <c r="P445" s="249"/>
      <c r="Q445" s="250"/>
      <c r="R445" s="37"/>
      <c r="S445" s="37"/>
      <c r="T445" s="204"/>
      <c r="U445" s="37"/>
      <c r="V445" s="37"/>
      <c r="W445" s="37"/>
    </row>
    <row r="446" spans="1:23" ht="15.75" customHeight="1" x14ac:dyDescent="0.25">
      <c r="A446" s="244"/>
      <c r="B446" s="245"/>
      <c r="C446" s="246"/>
      <c r="D446" s="37"/>
      <c r="E446" s="246"/>
      <c r="F446" s="247"/>
      <c r="G446" s="245"/>
      <c r="H446" s="246"/>
      <c r="I446" s="247"/>
      <c r="J446" s="37"/>
      <c r="K446" s="248"/>
      <c r="L446" s="248"/>
      <c r="M446" s="248"/>
      <c r="N446" s="248"/>
      <c r="O446" s="248"/>
      <c r="P446" s="249"/>
      <c r="Q446" s="250"/>
      <c r="R446" s="37"/>
      <c r="S446" s="37"/>
      <c r="T446" s="204"/>
      <c r="U446" s="37"/>
      <c r="V446" s="37"/>
      <c r="W446" s="37"/>
    </row>
    <row r="447" spans="1:23" ht="15.75" customHeight="1" x14ac:dyDescent="0.25">
      <c r="A447" s="244"/>
      <c r="B447" s="245"/>
      <c r="C447" s="246"/>
      <c r="D447" s="37"/>
      <c r="E447" s="246"/>
      <c r="F447" s="247"/>
      <c r="G447" s="245"/>
      <c r="H447" s="246"/>
      <c r="I447" s="247"/>
      <c r="J447" s="37"/>
      <c r="K447" s="248"/>
      <c r="L447" s="248"/>
      <c r="M447" s="248"/>
      <c r="N447" s="248"/>
      <c r="O447" s="248"/>
      <c r="P447" s="249"/>
      <c r="Q447" s="250"/>
      <c r="R447" s="37"/>
      <c r="S447" s="37"/>
      <c r="T447" s="204"/>
      <c r="U447" s="37"/>
      <c r="V447" s="37"/>
      <c r="W447" s="37"/>
    </row>
    <row r="448" spans="1:23" ht="15.75" customHeight="1" x14ac:dyDescent="0.25">
      <c r="A448" s="244"/>
      <c r="B448" s="245"/>
      <c r="C448" s="246"/>
      <c r="D448" s="37"/>
      <c r="E448" s="246"/>
      <c r="F448" s="247"/>
      <c r="G448" s="245"/>
      <c r="H448" s="246"/>
      <c r="I448" s="247"/>
      <c r="J448" s="37"/>
      <c r="K448" s="248"/>
      <c r="L448" s="248"/>
      <c r="M448" s="248"/>
      <c r="N448" s="248"/>
      <c r="O448" s="248"/>
      <c r="P448" s="249"/>
      <c r="Q448" s="250"/>
      <c r="R448" s="37"/>
      <c r="S448" s="37"/>
      <c r="T448" s="204"/>
      <c r="U448" s="37"/>
      <c r="V448" s="37"/>
      <c r="W448" s="37"/>
    </row>
    <row r="449" spans="1:23" ht="15.75" customHeight="1" x14ac:dyDescent="0.25">
      <c r="A449" s="244"/>
      <c r="B449" s="245"/>
      <c r="C449" s="246"/>
      <c r="D449" s="37"/>
      <c r="E449" s="246"/>
      <c r="F449" s="247"/>
      <c r="G449" s="245"/>
      <c r="H449" s="246"/>
      <c r="I449" s="247"/>
      <c r="J449" s="37"/>
      <c r="K449" s="248"/>
      <c r="L449" s="248"/>
      <c r="M449" s="248"/>
      <c r="N449" s="248"/>
      <c r="O449" s="248"/>
      <c r="P449" s="249"/>
      <c r="Q449" s="250"/>
      <c r="R449" s="37"/>
      <c r="S449" s="37"/>
      <c r="T449" s="204"/>
      <c r="U449" s="37"/>
      <c r="V449" s="37"/>
      <c r="W449" s="37"/>
    </row>
    <row r="450" spans="1:23" ht="15.75" customHeight="1" x14ac:dyDescent="0.25">
      <c r="A450" s="244"/>
      <c r="B450" s="245"/>
      <c r="C450" s="246"/>
      <c r="D450" s="37"/>
      <c r="E450" s="246"/>
      <c r="F450" s="247"/>
      <c r="G450" s="245"/>
      <c r="H450" s="246"/>
      <c r="I450" s="247"/>
      <c r="J450" s="37"/>
      <c r="K450" s="248"/>
      <c r="L450" s="248"/>
      <c r="M450" s="248"/>
      <c r="N450" s="248"/>
      <c r="O450" s="248"/>
      <c r="P450" s="249"/>
      <c r="Q450" s="250"/>
      <c r="R450" s="37"/>
      <c r="S450" s="37"/>
      <c r="T450" s="204"/>
      <c r="U450" s="37"/>
      <c r="V450" s="37"/>
      <c r="W450" s="37"/>
    </row>
    <row r="451" spans="1:23" ht="15.75" customHeight="1" x14ac:dyDescent="0.25">
      <c r="A451" s="244"/>
      <c r="B451" s="245"/>
      <c r="C451" s="246"/>
      <c r="D451" s="37"/>
      <c r="E451" s="246"/>
      <c r="F451" s="247"/>
      <c r="G451" s="245"/>
      <c r="H451" s="246"/>
      <c r="I451" s="247"/>
      <c r="J451" s="37"/>
      <c r="K451" s="248"/>
      <c r="L451" s="248"/>
      <c r="M451" s="248"/>
      <c r="N451" s="248"/>
      <c r="O451" s="248"/>
      <c r="P451" s="249"/>
      <c r="Q451" s="250"/>
      <c r="R451" s="37"/>
      <c r="S451" s="37"/>
      <c r="T451" s="204"/>
      <c r="U451" s="37"/>
      <c r="V451" s="37"/>
      <c r="W451" s="37"/>
    </row>
    <row r="452" spans="1:23" ht="15.75" customHeight="1" x14ac:dyDescent="0.25">
      <c r="A452" s="244"/>
      <c r="B452" s="245"/>
      <c r="C452" s="246"/>
      <c r="D452" s="37"/>
      <c r="E452" s="246"/>
      <c r="F452" s="247"/>
      <c r="G452" s="245"/>
      <c r="H452" s="246"/>
      <c r="I452" s="247"/>
      <c r="J452" s="37"/>
      <c r="K452" s="248"/>
      <c r="L452" s="248"/>
      <c r="M452" s="248"/>
      <c r="N452" s="248"/>
      <c r="O452" s="248"/>
      <c r="P452" s="249"/>
      <c r="Q452" s="250"/>
      <c r="R452" s="37"/>
      <c r="S452" s="37"/>
      <c r="T452" s="204"/>
      <c r="U452" s="37"/>
      <c r="V452" s="37"/>
      <c r="W452" s="37"/>
    </row>
    <row r="453" spans="1:23" ht="15.75" customHeight="1" x14ac:dyDescent="0.25">
      <c r="A453" s="244"/>
      <c r="B453" s="245"/>
      <c r="C453" s="246"/>
      <c r="D453" s="37"/>
      <c r="E453" s="246"/>
      <c r="F453" s="247"/>
      <c r="G453" s="245"/>
      <c r="H453" s="246"/>
      <c r="I453" s="247"/>
      <c r="J453" s="37"/>
      <c r="K453" s="248"/>
      <c r="L453" s="248"/>
      <c r="M453" s="248"/>
      <c r="N453" s="248"/>
      <c r="O453" s="248"/>
      <c r="P453" s="249"/>
      <c r="Q453" s="250"/>
      <c r="R453" s="37"/>
      <c r="S453" s="37"/>
      <c r="T453" s="204"/>
      <c r="U453" s="37"/>
      <c r="V453" s="37"/>
      <c r="W453" s="37"/>
    </row>
    <row r="454" spans="1:23" ht="15.75" customHeight="1" x14ac:dyDescent="0.25">
      <c r="A454" s="244"/>
      <c r="B454" s="245"/>
      <c r="C454" s="246"/>
      <c r="D454" s="37"/>
      <c r="E454" s="246"/>
      <c r="F454" s="247"/>
      <c r="G454" s="245"/>
      <c r="H454" s="246"/>
      <c r="I454" s="247"/>
      <c r="J454" s="37"/>
      <c r="K454" s="248"/>
      <c r="L454" s="248"/>
      <c r="M454" s="248"/>
      <c r="N454" s="248"/>
      <c r="O454" s="248"/>
      <c r="P454" s="249"/>
      <c r="Q454" s="250"/>
      <c r="R454" s="37"/>
      <c r="S454" s="37"/>
      <c r="T454" s="204"/>
      <c r="U454" s="37"/>
      <c r="V454" s="37"/>
      <c r="W454" s="37"/>
    </row>
    <row r="455" spans="1:23" ht="15.75" customHeight="1" x14ac:dyDescent="0.25">
      <c r="A455" s="244"/>
      <c r="B455" s="245"/>
      <c r="C455" s="246"/>
      <c r="D455" s="37"/>
      <c r="E455" s="246"/>
      <c r="F455" s="247"/>
      <c r="G455" s="245"/>
      <c r="H455" s="246"/>
      <c r="I455" s="247"/>
      <c r="J455" s="37"/>
      <c r="K455" s="248"/>
      <c r="L455" s="248"/>
      <c r="M455" s="248"/>
      <c r="N455" s="248"/>
      <c r="O455" s="248"/>
      <c r="P455" s="249"/>
      <c r="Q455" s="250"/>
      <c r="R455" s="37"/>
      <c r="S455" s="37"/>
      <c r="T455" s="204"/>
      <c r="U455" s="37"/>
      <c r="V455" s="37"/>
      <c r="W455" s="37"/>
    </row>
    <row r="456" spans="1:23" ht="15.75" customHeight="1" x14ac:dyDescent="0.25">
      <c r="A456" s="244"/>
      <c r="B456" s="245"/>
      <c r="C456" s="246"/>
      <c r="D456" s="37"/>
      <c r="E456" s="246"/>
      <c r="F456" s="247"/>
      <c r="G456" s="245"/>
      <c r="H456" s="246"/>
      <c r="I456" s="247"/>
      <c r="J456" s="37"/>
      <c r="K456" s="248"/>
      <c r="L456" s="248"/>
      <c r="M456" s="248"/>
      <c r="N456" s="248"/>
      <c r="O456" s="248"/>
      <c r="P456" s="249"/>
      <c r="Q456" s="250"/>
      <c r="R456" s="37"/>
      <c r="S456" s="37"/>
      <c r="T456" s="204"/>
      <c r="U456" s="37"/>
      <c r="V456" s="37"/>
      <c r="W456" s="37"/>
    </row>
    <row r="457" spans="1:23" ht="15.75" customHeight="1" x14ac:dyDescent="0.25">
      <c r="A457" s="244"/>
      <c r="B457" s="245"/>
      <c r="C457" s="246"/>
      <c r="D457" s="37"/>
      <c r="E457" s="246"/>
      <c r="F457" s="247"/>
      <c r="G457" s="245"/>
      <c r="H457" s="246"/>
      <c r="I457" s="247"/>
      <c r="J457" s="37"/>
      <c r="K457" s="248"/>
      <c r="L457" s="248"/>
      <c r="M457" s="248"/>
      <c r="N457" s="248"/>
      <c r="O457" s="248"/>
      <c r="P457" s="249"/>
      <c r="Q457" s="250"/>
      <c r="R457" s="37"/>
      <c r="S457" s="37"/>
      <c r="T457" s="204"/>
      <c r="U457" s="37"/>
      <c r="V457" s="37"/>
      <c r="W457" s="37"/>
    </row>
    <row r="458" spans="1:23" ht="15.75" customHeight="1" x14ac:dyDescent="0.25">
      <c r="A458" s="244"/>
      <c r="B458" s="245"/>
      <c r="C458" s="246"/>
      <c r="D458" s="37"/>
      <c r="E458" s="246"/>
      <c r="F458" s="247"/>
      <c r="G458" s="245"/>
      <c r="H458" s="246"/>
      <c r="I458" s="247"/>
      <c r="J458" s="37"/>
      <c r="K458" s="248"/>
      <c r="L458" s="248"/>
      <c r="M458" s="248"/>
      <c r="N458" s="248"/>
      <c r="O458" s="248"/>
      <c r="P458" s="249"/>
      <c r="Q458" s="250"/>
      <c r="R458" s="37"/>
      <c r="S458" s="37"/>
      <c r="T458" s="204"/>
      <c r="U458" s="37"/>
      <c r="V458" s="37"/>
      <c r="W458" s="37"/>
    </row>
    <row r="459" spans="1:23" ht="15.75" customHeight="1" x14ac:dyDescent="0.25">
      <c r="A459" s="244"/>
      <c r="B459" s="245"/>
      <c r="C459" s="246"/>
      <c r="D459" s="37"/>
      <c r="E459" s="246"/>
      <c r="F459" s="247"/>
      <c r="G459" s="245"/>
      <c r="H459" s="246"/>
      <c r="I459" s="247"/>
      <c r="J459" s="37"/>
      <c r="K459" s="248"/>
      <c r="L459" s="248"/>
      <c r="M459" s="248"/>
      <c r="N459" s="248"/>
      <c r="O459" s="248"/>
      <c r="P459" s="249"/>
      <c r="Q459" s="250"/>
      <c r="R459" s="37"/>
      <c r="S459" s="37"/>
      <c r="T459" s="204"/>
      <c r="U459" s="37"/>
      <c r="V459" s="37"/>
      <c r="W459" s="37"/>
    </row>
    <row r="460" spans="1:23" ht="15.75" customHeight="1" x14ac:dyDescent="0.25">
      <c r="A460" s="244"/>
      <c r="B460" s="245"/>
      <c r="C460" s="246"/>
      <c r="D460" s="37"/>
      <c r="E460" s="246"/>
      <c r="F460" s="247"/>
      <c r="G460" s="245"/>
      <c r="H460" s="246"/>
      <c r="I460" s="247"/>
      <c r="J460" s="37"/>
      <c r="K460" s="248"/>
      <c r="L460" s="248"/>
      <c r="M460" s="248"/>
      <c r="N460" s="248"/>
      <c r="O460" s="248"/>
      <c r="P460" s="249"/>
      <c r="Q460" s="250"/>
      <c r="R460" s="37"/>
      <c r="S460" s="37"/>
      <c r="T460" s="204"/>
      <c r="U460" s="37"/>
      <c r="V460" s="37"/>
      <c r="W460" s="37"/>
    </row>
    <row r="461" spans="1:23" ht="15.75" customHeight="1" x14ac:dyDescent="0.25">
      <c r="A461" s="244"/>
      <c r="B461" s="245"/>
      <c r="C461" s="246"/>
      <c r="D461" s="37"/>
      <c r="E461" s="246"/>
      <c r="F461" s="247"/>
      <c r="G461" s="245"/>
      <c r="H461" s="246"/>
      <c r="I461" s="247"/>
      <c r="J461" s="37"/>
      <c r="K461" s="248"/>
      <c r="L461" s="248"/>
      <c r="M461" s="248"/>
      <c r="N461" s="248"/>
      <c r="O461" s="248"/>
      <c r="P461" s="249"/>
      <c r="Q461" s="250"/>
      <c r="R461" s="37"/>
      <c r="S461" s="37"/>
      <c r="T461" s="204"/>
      <c r="U461" s="37"/>
      <c r="V461" s="37"/>
      <c r="W461" s="37"/>
    </row>
    <row r="462" spans="1:23" ht="15.75" customHeight="1" x14ac:dyDescent="0.25">
      <c r="A462" s="244"/>
      <c r="B462" s="245"/>
      <c r="C462" s="246"/>
      <c r="D462" s="37"/>
      <c r="E462" s="246"/>
      <c r="F462" s="247"/>
      <c r="G462" s="245"/>
      <c r="H462" s="246"/>
      <c r="I462" s="247"/>
      <c r="J462" s="37"/>
      <c r="K462" s="248"/>
      <c r="L462" s="248"/>
      <c r="M462" s="248"/>
      <c r="N462" s="248"/>
      <c r="O462" s="248"/>
      <c r="P462" s="249"/>
      <c r="Q462" s="250"/>
      <c r="R462" s="37"/>
      <c r="S462" s="37"/>
      <c r="T462" s="204"/>
      <c r="U462" s="37"/>
      <c r="V462" s="37"/>
      <c r="W462" s="37"/>
    </row>
    <row r="463" spans="1:23" ht="15.75" customHeight="1" x14ac:dyDescent="0.25">
      <c r="A463" s="244"/>
      <c r="B463" s="245"/>
      <c r="C463" s="246"/>
      <c r="D463" s="37"/>
      <c r="E463" s="246"/>
      <c r="F463" s="247"/>
      <c r="G463" s="245"/>
      <c r="H463" s="246"/>
      <c r="I463" s="247"/>
      <c r="J463" s="37"/>
      <c r="K463" s="248"/>
      <c r="L463" s="248"/>
      <c r="M463" s="248"/>
      <c r="N463" s="248"/>
      <c r="O463" s="248"/>
      <c r="P463" s="249"/>
      <c r="Q463" s="250"/>
      <c r="R463" s="37"/>
      <c r="S463" s="37"/>
      <c r="T463" s="204"/>
      <c r="U463" s="37"/>
      <c r="V463" s="37"/>
      <c r="W463" s="37"/>
    </row>
    <row r="464" spans="1:23" ht="15.75" customHeight="1" x14ac:dyDescent="0.25">
      <c r="A464" s="244"/>
      <c r="B464" s="245"/>
      <c r="C464" s="246"/>
      <c r="D464" s="37"/>
      <c r="E464" s="246"/>
      <c r="F464" s="247"/>
      <c r="G464" s="245"/>
      <c r="H464" s="246"/>
      <c r="I464" s="247"/>
      <c r="J464" s="37"/>
      <c r="K464" s="248"/>
      <c r="L464" s="248"/>
      <c r="M464" s="248"/>
      <c r="N464" s="248"/>
      <c r="O464" s="248"/>
      <c r="P464" s="249"/>
      <c r="Q464" s="250"/>
      <c r="R464" s="37"/>
      <c r="S464" s="37"/>
      <c r="T464" s="204"/>
      <c r="U464" s="37"/>
      <c r="V464" s="37"/>
      <c r="W464" s="37"/>
    </row>
    <row r="465" spans="1:23" ht="15.75" customHeight="1" x14ac:dyDescent="0.25">
      <c r="A465" s="244"/>
      <c r="B465" s="245"/>
      <c r="C465" s="246"/>
      <c r="D465" s="37"/>
      <c r="E465" s="246"/>
      <c r="F465" s="247"/>
      <c r="G465" s="245"/>
      <c r="H465" s="246"/>
      <c r="I465" s="247"/>
      <c r="J465" s="37"/>
      <c r="K465" s="248"/>
      <c r="L465" s="248"/>
      <c r="M465" s="248"/>
      <c r="N465" s="248"/>
      <c r="O465" s="248"/>
      <c r="P465" s="249"/>
      <c r="Q465" s="250"/>
      <c r="R465" s="37"/>
      <c r="S465" s="37"/>
      <c r="T465" s="204"/>
      <c r="U465" s="37"/>
      <c r="V465" s="37"/>
      <c r="W465" s="37"/>
    </row>
    <row r="466" spans="1:23" ht="15.75" customHeight="1" x14ac:dyDescent="0.25">
      <c r="A466" s="244"/>
      <c r="B466" s="245"/>
      <c r="C466" s="246"/>
      <c r="D466" s="37"/>
      <c r="E466" s="246"/>
      <c r="F466" s="247"/>
      <c r="G466" s="245"/>
      <c r="H466" s="246"/>
      <c r="I466" s="247"/>
      <c r="J466" s="37"/>
      <c r="K466" s="248"/>
      <c r="L466" s="248"/>
      <c r="M466" s="248"/>
      <c r="N466" s="248"/>
      <c r="O466" s="248"/>
      <c r="P466" s="249"/>
      <c r="Q466" s="250"/>
      <c r="R466" s="37"/>
      <c r="S466" s="37"/>
      <c r="T466" s="204"/>
      <c r="U466" s="37"/>
      <c r="V466" s="37"/>
      <c r="W466" s="37"/>
    </row>
    <row r="467" spans="1:23" ht="15.75" customHeight="1" x14ac:dyDescent="0.25">
      <c r="A467" s="244"/>
      <c r="B467" s="245"/>
      <c r="C467" s="246"/>
      <c r="D467" s="37"/>
      <c r="E467" s="246"/>
      <c r="F467" s="247"/>
      <c r="G467" s="245"/>
      <c r="H467" s="246"/>
      <c r="I467" s="247"/>
      <c r="J467" s="37"/>
      <c r="K467" s="248"/>
      <c r="L467" s="248"/>
      <c r="M467" s="248"/>
      <c r="N467" s="248"/>
      <c r="O467" s="248"/>
      <c r="P467" s="249"/>
      <c r="Q467" s="250"/>
      <c r="R467" s="37"/>
      <c r="S467" s="37"/>
      <c r="T467" s="204"/>
      <c r="U467" s="37"/>
      <c r="V467" s="37"/>
      <c r="W467" s="37"/>
    </row>
    <row r="468" spans="1:23" ht="15.75" customHeight="1" x14ac:dyDescent="0.25">
      <c r="A468" s="244"/>
      <c r="B468" s="245"/>
      <c r="C468" s="246"/>
      <c r="D468" s="37"/>
      <c r="E468" s="246"/>
      <c r="F468" s="247"/>
      <c r="G468" s="245"/>
      <c r="H468" s="246"/>
      <c r="I468" s="247"/>
      <c r="J468" s="37"/>
      <c r="K468" s="248"/>
      <c r="L468" s="248"/>
      <c r="M468" s="248"/>
      <c r="N468" s="248"/>
      <c r="O468" s="248"/>
      <c r="P468" s="249"/>
      <c r="Q468" s="250"/>
      <c r="R468" s="37"/>
      <c r="S468" s="37"/>
      <c r="T468" s="204"/>
      <c r="U468" s="37"/>
      <c r="V468" s="37"/>
      <c r="W468" s="37"/>
    </row>
    <row r="469" spans="1:23" ht="15.75" customHeight="1" x14ac:dyDescent="0.25">
      <c r="A469" s="244"/>
      <c r="B469" s="245"/>
      <c r="C469" s="246"/>
      <c r="D469" s="37"/>
      <c r="E469" s="246"/>
      <c r="F469" s="247"/>
      <c r="G469" s="245"/>
      <c r="H469" s="246"/>
      <c r="I469" s="247"/>
      <c r="J469" s="37"/>
      <c r="K469" s="248"/>
      <c r="L469" s="248"/>
      <c r="M469" s="248"/>
      <c r="N469" s="248"/>
      <c r="O469" s="248"/>
      <c r="P469" s="249"/>
      <c r="Q469" s="250"/>
      <c r="R469" s="37"/>
      <c r="S469" s="37"/>
      <c r="T469" s="204"/>
      <c r="U469" s="37"/>
      <c r="V469" s="37"/>
      <c r="W469" s="37"/>
    </row>
    <row r="470" spans="1:23" ht="15.75" customHeight="1" x14ac:dyDescent="0.25">
      <c r="A470" s="244"/>
      <c r="B470" s="245"/>
      <c r="C470" s="246"/>
      <c r="D470" s="37"/>
      <c r="E470" s="246"/>
      <c r="F470" s="247"/>
      <c r="G470" s="245"/>
      <c r="H470" s="246"/>
      <c r="I470" s="247"/>
      <c r="J470" s="37"/>
      <c r="K470" s="248"/>
      <c r="L470" s="248"/>
      <c r="M470" s="248"/>
      <c r="N470" s="248"/>
      <c r="O470" s="248"/>
      <c r="P470" s="249"/>
      <c r="Q470" s="250"/>
      <c r="R470" s="37"/>
      <c r="S470" s="37"/>
      <c r="T470" s="204"/>
      <c r="U470" s="37"/>
      <c r="V470" s="37"/>
      <c r="W470" s="37"/>
    </row>
    <row r="471" spans="1:23" ht="15.75" customHeight="1" x14ac:dyDescent="0.25">
      <c r="A471" s="244"/>
      <c r="B471" s="245"/>
      <c r="C471" s="246"/>
      <c r="D471" s="37"/>
      <c r="E471" s="246"/>
      <c r="F471" s="247"/>
      <c r="G471" s="245"/>
      <c r="H471" s="246"/>
      <c r="I471" s="247"/>
      <c r="J471" s="37"/>
      <c r="K471" s="248"/>
      <c r="L471" s="248"/>
      <c r="M471" s="248"/>
      <c r="N471" s="248"/>
      <c r="O471" s="248"/>
      <c r="P471" s="249"/>
      <c r="Q471" s="250"/>
      <c r="R471" s="37"/>
      <c r="S471" s="37"/>
      <c r="T471" s="204"/>
      <c r="U471" s="37"/>
      <c r="V471" s="37"/>
      <c r="W471" s="37"/>
    </row>
    <row r="472" spans="1:23" ht="15.75" customHeight="1" x14ac:dyDescent="0.25">
      <c r="A472" s="244"/>
      <c r="B472" s="245"/>
      <c r="C472" s="246"/>
      <c r="D472" s="37"/>
      <c r="E472" s="246"/>
      <c r="F472" s="247"/>
      <c r="G472" s="245"/>
      <c r="H472" s="246"/>
      <c r="I472" s="247"/>
      <c r="J472" s="37"/>
      <c r="K472" s="248"/>
      <c r="L472" s="248"/>
      <c r="M472" s="248"/>
      <c r="N472" s="248"/>
      <c r="O472" s="248"/>
      <c r="P472" s="249"/>
      <c r="Q472" s="250"/>
      <c r="R472" s="37"/>
      <c r="S472" s="37"/>
      <c r="T472" s="204"/>
      <c r="U472" s="37"/>
      <c r="V472" s="37"/>
      <c r="W472" s="37"/>
    </row>
    <row r="473" spans="1:23" ht="15.75" customHeight="1" x14ac:dyDescent="0.25">
      <c r="A473" s="244"/>
      <c r="B473" s="245"/>
      <c r="C473" s="246"/>
      <c r="D473" s="37"/>
      <c r="E473" s="246"/>
      <c r="F473" s="247"/>
      <c r="G473" s="245"/>
      <c r="H473" s="246"/>
      <c r="I473" s="247"/>
      <c r="J473" s="37"/>
      <c r="K473" s="248"/>
      <c r="L473" s="248"/>
      <c r="M473" s="248"/>
      <c r="N473" s="248"/>
      <c r="O473" s="248"/>
      <c r="P473" s="249"/>
      <c r="Q473" s="250"/>
      <c r="R473" s="37"/>
      <c r="S473" s="37"/>
      <c r="T473" s="204"/>
      <c r="U473" s="37"/>
      <c r="V473" s="37"/>
      <c r="W473" s="37"/>
    </row>
    <row r="474" spans="1:23" ht="15.75" customHeight="1" x14ac:dyDescent="0.25">
      <c r="A474" s="244"/>
      <c r="B474" s="245"/>
      <c r="C474" s="246"/>
      <c r="D474" s="37"/>
      <c r="E474" s="246"/>
      <c r="F474" s="247"/>
      <c r="G474" s="245"/>
      <c r="H474" s="246"/>
      <c r="I474" s="247"/>
      <c r="J474" s="37"/>
      <c r="K474" s="248"/>
      <c r="L474" s="248"/>
      <c r="M474" s="248"/>
      <c r="N474" s="248"/>
      <c r="O474" s="248"/>
      <c r="P474" s="249"/>
      <c r="Q474" s="250"/>
      <c r="R474" s="37"/>
      <c r="S474" s="37"/>
      <c r="T474" s="204"/>
      <c r="U474" s="37"/>
      <c r="V474" s="37"/>
      <c r="W474" s="37"/>
    </row>
    <row r="475" spans="1:23" ht="15.75" customHeight="1" x14ac:dyDescent="0.25">
      <c r="A475" s="244"/>
      <c r="B475" s="245"/>
      <c r="C475" s="246"/>
      <c r="D475" s="37"/>
      <c r="E475" s="246"/>
      <c r="F475" s="247"/>
      <c r="G475" s="245"/>
      <c r="H475" s="246"/>
      <c r="I475" s="247"/>
      <c r="J475" s="37"/>
      <c r="K475" s="248"/>
      <c r="L475" s="248"/>
      <c r="M475" s="248"/>
      <c r="N475" s="248"/>
      <c r="O475" s="248"/>
      <c r="P475" s="249"/>
      <c r="Q475" s="250"/>
      <c r="R475" s="37"/>
      <c r="S475" s="37"/>
      <c r="T475" s="204"/>
      <c r="U475" s="37"/>
      <c r="V475" s="37"/>
      <c r="W475" s="37"/>
    </row>
    <row r="476" spans="1:23" ht="15.75" customHeight="1" x14ac:dyDescent="0.25">
      <c r="A476" s="244"/>
      <c r="B476" s="245"/>
      <c r="C476" s="246"/>
      <c r="D476" s="37"/>
      <c r="E476" s="246"/>
      <c r="F476" s="247"/>
      <c r="G476" s="245"/>
      <c r="H476" s="246"/>
      <c r="I476" s="247"/>
      <c r="J476" s="37"/>
      <c r="K476" s="248"/>
      <c r="L476" s="248"/>
      <c r="M476" s="248"/>
      <c r="N476" s="248"/>
      <c r="O476" s="248"/>
      <c r="P476" s="249"/>
      <c r="Q476" s="250"/>
      <c r="R476" s="37"/>
      <c r="S476" s="37"/>
      <c r="T476" s="204"/>
      <c r="U476" s="37"/>
      <c r="V476" s="37"/>
      <c r="W476" s="37"/>
    </row>
    <row r="477" spans="1:23" ht="15.75" customHeight="1" x14ac:dyDescent="0.25">
      <c r="A477" s="244"/>
      <c r="B477" s="245"/>
      <c r="C477" s="246"/>
      <c r="D477" s="37"/>
      <c r="E477" s="246"/>
      <c r="F477" s="247"/>
      <c r="G477" s="245"/>
      <c r="H477" s="246"/>
      <c r="I477" s="247"/>
      <c r="J477" s="37"/>
      <c r="K477" s="248"/>
      <c r="L477" s="248"/>
      <c r="M477" s="248"/>
      <c r="N477" s="248"/>
      <c r="O477" s="248"/>
      <c r="P477" s="249"/>
      <c r="Q477" s="250"/>
      <c r="R477" s="37"/>
      <c r="S477" s="37"/>
      <c r="T477" s="204"/>
      <c r="U477" s="37"/>
      <c r="V477" s="37"/>
      <c r="W477" s="37"/>
    </row>
    <row r="478" spans="1:23" ht="15.75" customHeight="1" x14ac:dyDescent="0.25">
      <c r="A478" s="244"/>
      <c r="B478" s="245"/>
      <c r="C478" s="246"/>
      <c r="D478" s="37"/>
      <c r="E478" s="246"/>
      <c r="F478" s="247"/>
      <c r="G478" s="245"/>
      <c r="H478" s="246"/>
      <c r="I478" s="247"/>
      <c r="J478" s="37"/>
      <c r="K478" s="248"/>
      <c r="L478" s="248"/>
      <c r="M478" s="248"/>
      <c r="N478" s="248"/>
      <c r="O478" s="248"/>
      <c r="P478" s="249"/>
      <c r="Q478" s="250"/>
      <c r="R478" s="37"/>
      <c r="S478" s="37"/>
      <c r="T478" s="204"/>
      <c r="U478" s="37"/>
      <c r="V478" s="37"/>
      <c r="W478" s="37"/>
    </row>
    <row r="479" spans="1:23" ht="15.75" customHeight="1" x14ac:dyDescent="0.25">
      <c r="A479" s="244"/>
      <c r="B479" s="245"/>
      <c r="C479" s="246"/>
      <c r="D479" s="37"/>
      <c r="E479" s="246"/>
      <c r="F479" s="247"/>
      <c r="G479" s="245"/>
      <c r="H479" s="246"/>
      <c r="I479" s="247"/>
      <c r="J479" s="37"/>
      <c r="K479" s="248"/>
      <c r="L479" s="248"/>
      <c r="M479" s="248"/>
      <c r="N479" s="248"/>
      <c r="O479" s="248"/>
      <c r="P479" s="249"/>
      <c r="Q479" s="250"/>
      <c r="R479" s="37"/>
      <c r="S479" s="37"/>
      <c r="T479" s="204"/>
      <c r="U479" s="37"/>
      <c r="V479" s="37"/>
      <c r="W479" s="37"/>
    </row>
    <row r="480" spans="1:23" ht="15.75" customHeight="1" x14ac:dyDescent="0.25">
      <c r="A480" s="244"/>
      <c r="B480" s="245"/>
      <c r="C480" s="246"/>
      <c r="D480" s="37"/>
      <c r="E480" s="246"/>
      <c r="F480" s="247"/>
      <c r="G480" s="245"/>
      <c r="H480" s="246"/>
      <c r="I480" s="247"/>
      <c r="J480" s="37"/>
      <c r="K480" s="248"/>
      <c r="L480" s="248"/>
      <c r="M480" s="248"/>
      <c r="N480" s="248"/>
      <c r="O480" s="248"/>
      <c r="P480" s="249"/>
      <c r="Q480" s="250"/>
      <c r="R480" s="37"/>
      <c r="S480" s="37"/>
      <c r="T480" s="204"/>
      <c r="U480" s="37"/>
      <c r="V480" s="37"/>
      <c r="W480" s="37"/>
    </row>
    <row r="481" spans="1:23" ht="15.75" customHeight="1" x14ac:dyDescent="0.25">
      <c r="A481" s="244"/>
      <c r="B481" s="245"/>
      <c r="C481" s="246"/>
      <c r="D481" s="37"/>
      <c r="E481" s="246"/>
      <c r="F481" s="247"/>
      <c r="G481" s="245"/>
      <c r="H481" s="246"/>
      <c r="I481" s="247"/>
      <c r="J481" s="37"/>
      <c r="K481" s="248"/>
      <c r="L481" s="248"/>
      <c r="M481" s="248"/>
      <c r="N481" s="248"/>
      <c r="O481" s="248"/>
      <c r="P481" s="249"/>
      <c r="Q481" s="250"/>
      <c r="R481" s="37"/>
      <c r="S481" s="37"/>
      <c r="T481" s="204"/>
      <c r="U481" s="37"/>
      <c r="V481" s="37"/>
      <c r="W481" s="37"/>
    </row>
    <row r="482" spans="1:23" ht="15.75" customHeight="1" x14ac:dyDescent="0.25">
      <c r="A482" s="244"/>
      <c r="B482" s="245"/>
      <c r="C482" s="246"/>
      <c r="D482" s="37"/>
      <c r="E482" s="246"/>
      <c r="F482" s="247"/>
      <c r="G482" s="245"/>
      <c r="H482" s="246"/>
      <c r="I482" s="247"/>
      <c r="J482" s="37"/>
      <c r="K482" s="248"/>
      <c r="L482" s="248"/>
      <c r="M482" s="248"/>
      <c r="N482" s="248"/>
      <c r="O482" s="248"/>
      <c r="P482" s="249"/>
      <c r="Q482" s="250"/>
      <c r="R482" s="37"/>
      <c r="S482" s="37"/>
      <c r="T482" s="204"/>
      <c r="U482" s="37"/>
      <c r="V482" s="37"/>
      <c r="W482" s="37"/>
    </row>
    <row r="483" spans="1:23" ht="15.75" customHeight="1" x14ac:dyDescent="0.25">
      <c r="A483" s="244"/>
      <c r="B483" s="245"/>
      <c r="C483" s="246"/>
      <c r="D483" s="37"/>
      <c r="E483" s="246"/>
      <c r="F483" s="247"/>
      <c r="G483" s="245"/>
      <c r="H483" s="246"/>
      <c r="I483" s="247"/>
      <c r="J483" s="37"/>
      <c r="K483" s="248"/>
      <c r="L483" s="248"/>
      <c r="M483" s="248"/>
      <c r="N483" s="248"/>
      <c r="O483" s="248"/>
      <c r="P483" s="249"/>
      <c r="Q483" s="250"/>
      <c r="R483" s="37"/>
      <c r="S483" s="37"/>
      <c r="T483" s="204"/>
      <c r="U483" s="37"/>
      <c r="V483" s="37"/>
      <c r="W483" s="37"/>
    </row>
    <row r="484" spans="1:23" ht="15.75" customHeight="1" x14ac:dyDescent="0.25">
      <c r="A484" s="244"/>
      <c r="B484" s="245"/>
      <c r="C484" s="246"/>
      <c r="D484" s="37"/>
      <c r="E484" s="246"/>
      <c r="F484" s="247"/>
      <c r="G484" s="245"/>
      <c r="H484" s="246"/>
      <c r="I484" s="247"/>
      <c r="J484" s="37"/>
      <c r="K484" s="248"/>
      <c r="L484" s="248"/>
      <c r="M484" s="248"/>
      <c r="N484" s="248"/>
      <c r="O484" s="248"/>
      <c r="P484" s="249"/>
      <c r="Q484" s="250"/>
      <c r="R484" s="37"/>
      <c r="S484" s="37"/>
      <c r="T484" s="204"/>
      <c r="U484" s="37"/>
      <c r="V484" s="37"/>
      <c r="W484" s="37"/>
    </row>
    <row r="485" spans="1:23" ht="15.75" customHeight="1" x14ac:dyDescent="0.25">
      <c r="A485" s="244"/>
      <c r="B485" s="245"/>
      <c r="C485" s="246"/>
      <c r="D485" s="37"/>
      <c r="E485" s="246"/>
      <c r="F485" s="247"/>
      <c r="G485" s="245"/>
      <c r="H485" s="246"/>
      <c r="I485" s="247"/>
      <c r="J485" s="37"/>
      <c r="K485" s="248"/>
      <c r="L485" s="248"/>
      <c r="M485" s="248"/>
      <c r="N485" s="248"/>
      <c r="O485" s="248"/>
      <c r="P485" s="249"/>
      <c r="Q485" s="250"/>
      <c r="R485" s="37"/>
      <c r="S485" s="37"/>
      <c r="T485" s="204"/>
      <c r="U485" s="37"/>
      <c r="V485" s="37"/>
      <c r="W485" s="37"/>
    </row>
    <row r="486" spans="1:23" ht="15.75" customHeight="1" x14ac:dyDescent="0.25">
      <c r="A486" s="244"/>
      <c r="B486" s="245"/>
      <c r="C486" s="246"/>
      <c r="D486" s="37"/>
      <c r="E486" s="246"/>
      <c r="F486" s="247"/>
      <c r="G486" s="245"/>
      <c r="H486" s="246"/>
      <c r="I486" s="247"/>
      <c r="J486" s="37"/>
      <c r="K486" s="248"/>
      <c r="L486" s="248"/>
      <c r="M486" s="248"/>
      <c r="N486" s="248"/>
      <c r="O486" s="248"/>
      <c r="P486" s="249"/>
      <c r="Q486" s="250"/>
      <c r="R486" s="37"/>
      <c r="S486" s="37"/>
      <c r="T486" s="204"/>
      <c r="U486" s="37"/>
      <c r="V486" s="37"/>
      <c r="W486" s="37"/>
    </row>
    <row r="487" spans="1:23" ht="15.75" customHeight="1" x14ac:dyDescent="0.25">
      <c r="A487" s="244"/>
      <c r="B487" s="245"/>
      <c r="C487" s="246"/>
      <c r="D487" s="37"/>
      <c r="E487" s="246"/>
      <c r="F487" s="247"/>
      <c r="G487" s="245"/>
      <c r="H487" s="246"/>
      <c r="I487" s="247"/>
      <c r="J487" s="37"/>
      <c r="K487" s="248"/>
      <c r="L487" s="248"/>
      <c r="M487" s="248"/>
      <c r="N487" s="248"/>
      <c r="O487" s="248"/>
      <c r="P487" s="249"/>
      <c r="Q487" s="250"/>
      <c r="R487" s="37"/>
      <c r="S487" s="37"/>
      <c r="T487" s="204"/>
      <c r="U487" s="37"/>
      <c r="V487" s="37"/>
      <c r="W487" s="37"/>
    </row>
    <row r="488" spans="1:23" ht="15.75" customHeight="1" x14ac:dyDescent="0.25">
      <c r="A488" s="244"/>
      <c r="B488" s="245"/>
      <c r="C488" s="246"/>
      <c r="D488" s="37"/>
      <c r="E488" s="246"/>
      <c r="F488" s="247"/>
      <c r="G488" s="245"/>
      <c r="H488" s="246"/>
      <c r="I488" s="247"/>
      <c r="J488" s="37"/>
      <c r="K488" s="248"/>
      <c r="L488" s="248"/>
      <c r="M488" s="248"/>
      <c r="N488" s="248"/>
      <c r="O488" s="248"/>
      <c r="P488" s="249"/>
      <c r="Q488" s="250"/>
      <c r="R488" s="37"/>
      <c r="S488" s="37"/>
      <c r="T488" s="204"/>
      <c r="U488" s="37"/>
      <c r="V488" s="37"/>
      <c r="W488" s="37"/>
    </row>
    <row r="489" spans="1:23" ht="15.75" customHeight="1" x14ac:dyDescent="0.25">
      <c r="A489" s="244"/>
      <c r="B489" s="245"/>
      <c r="C489" s="246"/>
      <c r="D489" s="37"/>
      <c r="E489" s="246"/>
      <c r="F489" s="247"/>
      <c r="G489" s="245"/>
      <c r="H489" s="246"/>
      <c r="I489" s="247"/>
      <c r="J489" s="37"/>
      <c r="K489" s="248"/>
      <c r="L489" s="248"/>
      <c r="M489" s="248"/>
      <c r="N489" s="248"/>
      <c r="O489" s="248"/>
      <c r="P489" s="249"/>
      <c r="Q489" s="250"/>
      <c r="R489" s="37"/>
      <c r="S489" s="37"/>
      <c r="T489" s="204"/>
      <c r="U489" s="37"/>
      <c r="V489" s="37"/>
      <c r="W489" s="37"/>
    </row>
    <row r="490" spans="1:23" ht="15.75" customHeight="1" x14ac:dyDescent="0.25">
      <c r="A490" s="244"/>
      <c r="B490" s="245"/>
      <c r="C490" s="246"/>
      <c r="D490" s="37"/>
      <c r="E490" s="246"/>
      <c r="F490" s="247"/>
      <c r="G490" s="245"/>
      <c r="H490" s="246"/>
      <c r="I490" s="247"/>
      <c r="J490" s="37"/>
      <c r="K490" s="248"/>
      <c r="L490" s="248"/>
      <c r="M490" s="248"/>
      <c r="N490" s="248"/>
      <c r="O490" s="248"/>
      <c r="P490" s="249"/>
      <c r="Q490" s="250"/>
      <c r="R490" s="37"/>
      <c r="S490" s="37"/>
      <c r="T490" s="204"/>
      <c r="U490" s="37"/>
      <c r="V490" s="37"/>
      <c r="W490" s="37"/>
    </row>
    <row r="491" spans="1:23" ht="15.75" customHeight="1" x14ac:dyDescent="0.25">
      <c r="A491" s="244"/>
      <c r="B491" s="245"/>
      <c r="C491" s="246"/>
      <c r="D491" s="37"/>
      <c r="E491" s="246"/>
      <c r="F491" s="247"/>
      <c r="G491" s="245"/>
      <c r="H491" s="246"/>
      <c r="I491" s="247"/>
      <c r="J491" s="37"/>
      <c r="K491" s="248"/>
      <c r="L491" s="248"/>
      <c r="M491" s="248"/>
      <c r="N491" s="248"/>
      <c r="O491" s="248"/>
      <c r="P491" s="249"/>
      <c r="Q491" s="250"/>
      <c r="R491" s="37"/>
      <c r="S491" s="37"/>
      <c r="T491" s="204"/>
      <c r="U491" s="37"/>
      <c r="V491" s="37"/>
      <c r="W491" s="37"/>
    </row>
    <row r="492" spans="1:23" ht="15.75" customHeight="1" x14ac:dyDescent="0.25">
      <c r="A492" s="244"/>
      <c r="B492" s="245"/>
      <c r="C492" s="246"/>
      <c r="D492" s="37"/>
      <c r="E492" s="246"/>
      <c r="F492" s="247"/>
      <c r="G492" s="245"/>
      <c r="H492" s="246"/>
      <c r="I492" s="247"/>
      <c r="J492" s="37"/>
      <c r="K492" s="248"/>
      <c r="L492" s="248"/>
      <c r="M492" s="248"/>
      <c r="N492" s="248"/>
      <c r="O492" s="248"/>
      <c r="P492" s="249"/>
      <c r="Q492" s="250"/>
      <c r="R492" s="37"/>
      <c r="S492" s="37"/>
      <c r="T492" s="204"/>
      <c r="U492" s="37"/>
      <c r="V492" s="37"/>
      <c r="W492" s="37"/>
    </row>
    <row r="493" spans="1:23" ht="15.75" customHeight="1" x14ac:dyDescent="0.25">
      <c r="A493" s="244"/>
      <c r="B493" s="245"/>
      <c r="C493" s="246"/>
      <c r="D493" s="37"/>
      <c r="E493" s="246"/>
      <c r="F493" s="247"/>
      <c r="G493" s="245"/>
      <c r="H493" s="246"/>
      <c r="I493" s="247"/>
      <c r="J493" s="37"/>
      <c r="K493" s="248"/>
      <c r="L493" s="248"/>
      <c r="M493" s="248"/>
      <c r="N493" s="248"/>
      <c r="O493" s="248"/>
      <c r="P493" s="249"/>
      <c r="Q493" s="250"/>
      <c r="R493" s="37"/>
      <c r="S493" s="37"/>
      <c r="T493" s="204"/>
      <c r="U493" s="37"/>
      <c r="V493" s="37"/>
      <c r="W493" s="37"/>
    </row>
    <row r="494" spans="1:23" ht="15.75" customHeight="1" x14ac:dyDescent="0.25">
      <c r="A494" s="244"/>
      <c r="B494" s="245"/>
      <c r="C494" s="246"/>
      <c r="D494" s="37"/>
      <c r="E494" s="246"/>
      <c r="F494" s="247"/>
      <c r="G494" s="245"/>
      <c r="H494" s="246"/>
      <c r="I494" s="247"/>
      <c r="J494" s="37"/>
      <c r="K494" s="248"/>
      <c r="L494" s="248"/>
      <c r="M494" s="248"/>
      <c r="N494" s="248"/>
      <c r="O494" s="248"/>
      <c r="P494" s="249"/>
      <c r="Q494" s="250"/>
      <c r="R494" s="37"/>
      <c r="S494" s="37"/>
      <c r="T494" s="204"/>
      <c r="U494" s="37"/>
      <c r="V494" s="37"/>
      <c r="W494" s="37"/>
    </row>
    <row r="495" spans="1:23" ht="15.75" customHeight="1" x14ac:dyDescent="0.25">
      <c r="A495" s="244"/>
      <c r="B495" s="245"/>
      <c r="C495" s="246"/>
      <c r="D495" s="37"/>
      <c r="E495" s="246"/>
      <c r="F495" s="247"/>
      <c r="G495" s="245"/>
      <c r="H495" s="246"/>
      <c r="I495" s="247"/>
      <c r="J495" s="37"/>
      <c r="K495" s="248"/>
      <c r="L495" s="248"/>
      <c r="M495" s="248"/>
      <c r="N495" s="248"/>
      <c r="O495" s="248"/>
      <c r="P495" s="249"/>
      <c r="Q495" s="250"/>
      <c r="R495" s="37"/>
      <c r="S495" s="37"/>
      <c r="T495" s="204"/>
      <c r="U495" s="37"/>
      <c r="V495" s="37"/>
      <c r="W495" s="37"/>
    </row>
    <row r="496" spans="1:23" ht="15.75" customHeight="1" x14ac:dyDescent="0.25">
      <c r="A496" s="244"/>
      <c r="B496" s="245"/>
      <c r="C496" s="246"/>
      <c r="D496" s="37"/>
      <c r="E496" s="246"/>
      <c r="F496" s="247"/>
      <c r="G496" s="245"/>
      <c r="H496" s="246"/>
      <c r="I496" s="247"/>
      <c r="J496" s="37"/>
      <c r="K496" s="248"/>
      <c r="L496" s="248"/>
      <c r="M496" s="248"/>
      <c r="N496" s="248"/>
      <c r="O496" s="248"/>
      <c r="P496" s="249"/>
      <c r="Q496" s="250"/>
      <c r="R496" s="37"/>
      <c r="S496" s="37"/>
      <c r="T496" s="204"/>
      <c r="U496" s="37"/>
      <c r="V496" s="37"/>
      <c r="W496" s="37"/>
    </row>
    <row r="497" spans="1:23" ht="15.75" customHeight="1" x14ac:dyDescent="0.25">
      <c r="A497" s="244"/>
      <c r="B497" s="245"/>
      <c r="C497" s="246"/>
      <c r="D497" s="37"/>
      <c r="E497" s="246"/>
      <c r="F497" s="247"/>
      <c r="G497" s="245"/>
      <c r="H497" s="246"/>
      <c r="I497" s="247"/>
      <c r="J497" s="37"/>
      <c r="K497" s="248"/>
      <c r="L497" s="248"/>
      <c r="M497" s="248"/>
      <c r="N497" s="248"/>
      <c r="O497" s="248"/>
      <c r="P497" s="249"/>
      <c r="Q497" s="250"/>
      <c r="R497" s="37"/>
      <c r="S497" s="37"/>
      <c r="T497" s="204"/>
      <c r="U497" s="37"/>
      <c r="V497" s="37"/>
      <c r="W497" s="37"/>
    </row>
    <row r="498" spans="1:23" ht="15.75" customHeight="1" x14ac:dyDescent="0.25">
      <c r="A498" s="244"/>
      <c r="B498" s="245"/>
      <c r="C498" s="246"/>
      <c r="D498" s="37"/>
      <c r="E498" s="246"/>
      <c r="F498" s="247"/>
      <c r="G498" s="245"/>
      <c r="H498" s="246"/>
      <c r="I498" s="247"/>
      <c r="J498" s="37"/>
      <c r="K498" s="248"/>
      <c r="L498" s="248"/>
      <c r="M498" s="248"/>
      <c r="N498" s="248"/>
      <c r="O498" s="248"/>
      <c r="P498" s="249"/>
      <c r="Q498" s="250"/>
      <c r="R498" s="37"/>
      <c r="S498" s="37"/>
      <c r="T498" s="204"/>
      <c r="U498" s="37"/>
      <c r="V498" s="37"/>
      <c r="W498" s="37"/>
    </row>
    <row r="499" spans="1:23" ht="15.75" customHeight="1" x14ac:dyDescent="0.25">
      <c r="A499" s="244"/>
      <c r="B499" s="245"/>
      <c r="C499" s="246"/>
      <c r="D499" s="37"/>
      <c r="E499" s="246"/>
      <c r="F499" s="247"/>
      <c r="G499" s="245"/>
      <c r="H499" s="246"/>
      <c r="I499" s="247"/>
      <c r="J499" s="37"/>
      <c r="K499" s="248"/>
      <c r="L499" s="248"/>
      <c r="M499" s="248"/>
      <c r="N499" s="248"/>
      <c r="O499" s="248"/>
      <c r="P499" s="249"/>
      <c r="Q499" s="250"/>
      <c r="R499" s="37"/>
      <c r="S499" s="37"/>
      <c r="T499" s="204"/>
      <c r="U499" s="37"/>
      <c r="V499" s="37"/>
      <c r="W499" s="37"/>
    </row>
    <row r="500" spans="1:23" ht="15.75" customHeight="1" x14ac:dyDescent="0.25">
      <c r="A500" s="244"/>
      <c r="B500" s="245"/>
      <c r="C500" s="246"/>
      <c r="D500" s="37"/>
      <c r="E500" s="246"/>
      <c r="F500" s="247"/>
      <c r="G500" s="245"/>
      <c r="H500" s="246"/>
      <c r="I500" s="247"/>
      <c r="J500" s="37"/>
      <c r="K500" s="248"/>
      <c r="L500" s="248"/>
      <c r="M500" s="248"/>
      <c r="N500" s="248"/>
      <c r="O500" s="248"/>
      <c r="P500" s="249"/>
      <c r="Q500" s="250"/>
      <c r="R500" s="37"/>
      <c r="S500" s="37"/>
      <c r="T500" s="204"/>
      <c r="U500" s="37"/>
      <c r="V500" s="37"/>
      <c r="W500" s="37"/>
    </row>
    <row r="501" spans="1:23" ht="15.75" customHeight="1" x14ac:dyDescent="0.25">
      <c r="A501" s="244"/>
      <c r="B501" s="245"/>
      <c r="C501" s="246"/>
      <c r="D501" s="37"/>
      <c r="E501" s="246"/>
      <c r="F501" s="247"/>
      <c r="G501" s="245"/>
      <c r="H501" s="246"/>
      <c r="I501" s="247"/>
      <c r="J501" s="37"/>
      <c r="K501" s="248"/>
      <c r="L501" s="248"/>
      <c r="M501" s="248"/>
      <c r="N501" s="248"/>
      <c r="O501" s="248"/>
      <c r="P501" s="249"/>
      <c r="Q501" s="250"/>
      <c r="R501" s="37"/>
      <c r="S501" s="37"/>
      <c r="T501" s="204"/>
      <c r="U501" s="37"/>
      <c r="V501" s="37"/>
      <c r="W501" s="37"/>
    </row>
    <row r="502" spans="1:23" ht="15.75" customHeight="1" x14ac:dyDescent="0.25">
      <c r="A502" s="244"/>
      <c r="B502" s="245"/>
      <c r="C502" s="246"/>
      <c r="D502" s="37"/>
      <c r="E502" s="246"/>
      <c r="F502" s="247"/>
      <c r="G502" s="245"/>
      <c r="H502" s="246"/>
      <c r="I502" s="247"/>
      <c r="J502" s="37"/>
      <c r="K502" s="248"/>
      <c r="L502" s="248"/>
      <c r="M502" s="248"/>
      <c r="N502" s="248"/>
      <c r="O502" s="248"/>
      <c r="P502" s="249"/>
      <c r="Q502" s="250"/>
      <c r="R502" s="37"/>
      <c r="S502" s="37"/>
      <c r="T502" s="204"/>
      <c r="U502" s="37"/>
      <c r="V502" s="37"/>
      <c r="W502" s="37"/>
    </row>
    <row r="503" spans="1:23" ht="15.75" customHeight="1" x14ac:dyDescent="0.25">
      <c r="A503" s="244"/>
      <c r="B503" s="245"/>
      <c r="C503" s="246"/>
      <c r="D503" s="37"/>
      <c r="E503" s="246"/>
      <c r="F503" s="247"/>
      <c r="G503" s="245"/>
      <c r="H503" s="246"/>
      <c r="I503" s="247"/>
      <c r="J503" s="37"/>
      <c r="K503" s="248"/>
      <c r="L503" s="248"/>
      <c r="M503" s="248"/>
      <c r="N503" s="248"/>
      <c r="O503" s="248"/>
      <c r="P503" s="249"/>
      <c r="Q503" s="250"/>
      <c r="R503" s="37"/>
      <c r="S503" s="37"/>
      <c r="T503" s="204"/>
      <c r="U503" s="37"/>
      <c r="V503" s="37"/>
      <c r="W503" s="37"/>
    </row>
    <row r="504" spans="1:23" ht="15.75" customHeight="1" x14ac:dyDescent="0.25">
      <c r="A504" s="244"/>
      <c r="B504" s="245"/>
      <c r="C504" s="246"/>
      <c r="D504" s="37"/>
      <c r="E504" s="246"/>
      <c r="F504" s="247"/>
      <c r="G504" s="245"/>
      <c r="H504" s="246"/>
      <c r="I504" s="247"/>
      <c r="J504" s="37"/>
      <c r="K504" s="248"/>
      <c r="L504" s="248"/>
      <c r="M504" s="248"/>
      <c r="N504" s="248"/>
      <c r="O504" s="248"/>
      <c r="P504" s="249"/>
      <c r="Q504" s="250"/>
      <c r="R504" s="37"/>
      <c r="S504" s="37"/>
      <c r="T504" s="204"/>
      <c r="U504" s="37"/>
      <c r="V504" s="37"/>
      <c r="W504" s="37"/>
    </row>
    <row r="505" spans="1:23" ht="15.75" customHeight="1" x14ac:dyDescent="0.25">
      <c r="A505" s="244"/>
      <c r="B505" s="245"/>
      <c r="C505" s="246"/>
      <c r="D505" s="37"/>
      <c r="E505" s="246"/>
      <c r="F505" s="247"/>
      <c r="G505" s="245"/>
      <c r="H505" s="246"/>
      <c r="I505" s="247"/>
      <c r="J505" s="37"/>
      <c r="K505" s="248"/>
      <c r="L505" s="248"/>
      <c r="M505" s="248"/>
      <c r="N505" s="248"/>
      <c r="O505" s="248"/>
      <c r="P505" s="249"/>
      <c r="Q505" s="250"/>
      <c r="R505" s="37"/>
      <c r="S505" s="37"/>
      <c r="T505" s="204"/>
      <c r="U505" s="37"/>
      <c r="V505" s="37"/>
      <c r="W505" s="37"/>
    </row>
    <row r="506" spans="1:23" ht="15.75" customHeight="1" x14ac:dyDescent="0.25">
      <c r="A506" s="244"/>
      <c r="B506" s="245"/>
      <c r="C506" s="246"/>
      <c r="D506" s="37"/>
      <c r="E506" s="246"/>
      <c r="F506" s="247"/>
      <c r="G506" s="245"/>
      <c r="H506" s="246"/>
      <c r="I506" s="247"/>
      <c r="J506" s="37"/>
      <c r="K506" s="248"/>
      <c r="L506" s="248"/>
      <c r="M506" s="248"/>
      <c r="N506" s="248"/>
      <c r="O506" s="248"/>
      <c r="P506" s="249"/>
      <c r="Q506" s="250"/>
      <c r="R506" s="37"/>
      <c r="S506" s="37"/>
      <c r="T506" s="204"/>
      <c r="U506" s="37"/>
      <c r="V506" s="37"/>
      <c r="W506" s="37"/>
    </row>
    <row r="507" spans="1:23" ht="15.75" customHeight="1" x14ac:dyDescent="0.25">
      <c r="A507" s="244"/>
      <c r="B507" s="245"/>
      <c r="C507" s="246"/>
      <c r="D507" s="37"/>
      <c r="E507" s="246"/>
      <c r="F507" s="247"/>
      <c r="G507" s="245"/>
      <c r="H507" s="246"/>
      <c r="I507" s="247"/>
      <c r="J507" s="37"/>
      <c r="K507" s="248"/>
      <c r="L507" s="248"/>
      <c r="M507" s="248"/>
      <c r="N507" s="248"/>
      <c r="O507" s="248"/>
      <c r="P507" s="249"/>
      <c r="Q507" s="250"/>
      <c r="R507" s="37"/>
      <c r="S507" s="37"/>
      <c r="T507" s="204"/>
      <c r="U507" s="37"/>
      <c r="V507" s="37"/>
      <c r="W507" s="37"/>
    </row>
    <row r="508" spans="1:23" ht="15.75" customHeight="1" x14ac:dyDescent="0.25">
      <c r="A508" s="244"/>
      <c r="B508" s="245"/>
      <c r="C508" s="246"/>
      <c r="D508" s="37"/>
      <c r="E508" s="246"/>
      <c r="F508" s="247"/>
      <c r="G508" s="245"/>
      <c r="H508" s="246"/>
      <c r="I508" s="247"/>
      <c r="J508" s="37"/>
      <c r="K508" s="248"/>
      <c r="L508" s="248"/>
      <c r="M508" s="248"/>
      <c r="N508" s="248"/>
      <c r="O508" s="248"/>
      <c r="P508" s="249"/>
      <c r="Q508" s="250"/>
      <c r="R508" s="37"/>
      <c r="S508" s="37"/>
      <c r="T508" s="204"/>
      <c r="U508" s="37"/>
      <c r="V508" s="37"/>
      <c r="W508" s="37"/>
    </row>
    <row r="509" spans="1:23" ht="15.75" customHeight="1" x14ac:dyDescent="0.25">
      <c r="A509" s="244"/>
      <c r="B509" s="245"/>
      <c r="C509" s="246"/>
      <c r="D509" s="37"/>
      <c r="E509" s="246"/>
      <c r="F509" s="247"/>
      <c r="G509" s="245"/>
      <c r="H509" s="246"/>
      <c r="I509" s="247"/>
      <c r="J509" s="37"/>
      <c r="K509" s="248"/>
      <c r="L509" s="248"/>
      <c r="M509" s="248"/>
      <c r="N509" s="248"/>
      <c r="O509" s="248"/>
      <c r="P509" s="249"/>
      <c r="Q509" s="250"/>
      <c r="R509" s="37"/>
      <c r="S509" s="37"/>
      <c r="T509" s="204"/>
      <c r="U509" s="37"/>
      <c r="V509" s="37"/>
      <c r="W509" s="37"/>
    </row>
    <row r="510" spans="1:23" ht="15.75" customHeight="1" x14ac:dyDescent="0.25">
      <c r="A510" s="244"/>
      <c r="B510" s="245"/>
      <c r="C510" s="246"/>
      <c r="D510" s="37"/>
      <c r="E510" s="246"/>
      <c r="F510" s="247"/>
      <c r="G510" s="245"/>
      <c r="H510" s="246"/>
      <c r="I510" s="247"/>
      <c r="J510" s="37"/>
      <c r="K510" s="248"/>
      <c r="L510" s="248"/>
      <c r="M510" s="248"/>
      <c r="N510" s="248"/>
      <c r="O510" s="248"/>
      <c r="P510" s="249"/>
      <c r="Q510" s="250"/>
      <c r="R510" s="37"/>
      <c r="S510" s="37"/>
      <c r="T510" s="204"/>
      <c r="U510" s="37"/>
      <c r="V510" s="37"/>
      <c r="W510" s="37"/>
    </row>
    <row r="511" spans="1:23" ht="15.75" customHeight="1" x14ac:dyDescent="0.25">
      <c r="A511" s="244"/>
      <c r="B511" s="245"/>
      <c r="C511" s="246"/>
      <c r="D511" s="37"/>
      <c r="E511" s="246"/>
      <c r="F511" s="247"/>
      <c r="G511" s="245"/>
      <c r="H511" s="246"/>
      <c r="I511" s="247"/>
      <c r="J511" s="37"/>
      <c r="K511" s="248"/>
      <c r="L511" s="248"/>
      <c r="M511" s="248"/>
      <c r="N511" s="248"/>
      <c r="O511" s="248"/>
      <c r="P511" s="249"/>
      <c r="Q511" s="250"/>
      <c r="R511" s="37"/>
      <c r="S511" s="37"/>
      <c r="T511" s="204"/>
      <c r="U511" s="37"/>
      <c r="V511" s="37"/>
      <c r="W511" s="37"/>
    </row>
    <row r="512" spans="1:23" ht="15.75" customHeight="1" x14ac:dyDescent="0.25">
      <c r="A512" s="244"/>
      <c r="B512" s="245"/>
      <c r="C512" s="246"/>
      <c r="D512" s="37"/>
      <c r="E512" s="246"/>
      <c r="F512" s="247"/>
      <c r="G512" s="245"/>
      <c r="H512" s="246"/>
      <c r="I512" s="247"/>
      <c r="J512" s="37"/>
      <c r="K512" s="248"/>
      <c r="L512" s="248"/>
      <c r="M512" s="248"/>
      <c r="N512" s="248"/>
      <c r="O512" s="248"/>
      <c r="P512" s="249"/>
      <c r="Q512" s="250"/>
      <c r="R512" s="37"/>
      <c r="S512" s="37"/>
      <c r="T512" s="204"/>
      <c r="U512" s="37"/>
      <c r="V512" s="37"/>
      <c r="W512" s="37"/>
    </row>
    <row r="513" spans="1:23" ht="15.75" customHeight="1" x14ac:dyDescent="0.25">
      <c r="A513" s="244"/>
      <c r="B513" s="245"/>
      <c r="C513" s="246"/>
      <c r="D513" s="37"/>
      <c r="E513" s="246"/>
      <c r="F513" s="247"/>
      <c r="G513" s="245"/>
      <c r="H513" s="246"/>
      <c r="I513" s="247"/>
      <c r="J513" s="37"/>
      <c r="K513" s="248"/>
      <c r="L513" s="248"/>
      <c r="M513" s="248"/>
      <c r="N513" s="248"/>
      <c r="O513" s="248"/>
      <c r="P513" s="249"/>
      <c r="Q513" s="250"/>
      <c r="R513" s="37"/>
      <c r="S513" s="37"/>
      <c r="T513" s="204"/>
      <c r="U513" s="37"/>
      <c r="V513" s="37"/>
      <c r="W513" s="37"/>
    </row>
    <row r="514" spans="1:23" ht="15.75" customHeight="1" x14ac:dyDescent="0.25">
      <c r="A514" s="244"/>
      <c r="B514" s="245"/>
      <c r="C514" s="246"/>
      <c r="D514" s="37"/>
      <c r="E514" s="246"/>
      <c r="F514" s="247"/>
      <c r="G514" s="245"/>
      <c r="H514" s="246"/>
      <c r="I514" s="247"/>
      <c r="J514" s="37"/>
      <c r="K514" s="248"/>
      <c r="L514" s="248"/>
      <c r="M514" s="248"/>
      <c r="N514" s="248"/>
      <c r="O514" s="248"/>
      <c r="P514" s="249"/>
      <c r="Q514" s="250"/>
      <c r="R514" s="37"/>
      <c r="S514" s="37"/>
      <c r="T514" s="204"/>
      <c r="U514" s="37"/>
      <c r="V514" s="37"/>
      <c r="W514" s="37"/>
    </row>
    <row r="515" spans="1:23" ht="15.75" customHeight="1" x14ac:dyDescent="0.25">
      <c r="A515" s="244"/>
      <c r="B515" s="245"/>
      <c r="C515" s="246"/>
      <c r="D515" s="37"/>
      <c r="E515" s="246"/>
      <c r="F515" s="247"/>
      <c r="G515" s="245"/>
      <c r="H515" s="246"/>
      <c r="I515" s="247"/>
      <c r="J515" s="37"/>
      <c r="K515" s="248"/>
      <c r="L515" s="248"/>
      <c r="M515" s="248"/>
      <c r="N515" s="248"/>
      <c r="O515" s="248"/>
      <c r="P515" s="249"/>
      <c r="Q515" s="250"/>
      <c r="R515" s="37"/>
      <c r="S515" s="37"/>
      <c r="T515" s="204"/>
      <c r="U515" s="37"/>
      <c r="V515" s="37"/>
      <c r="W515" s="37"/>
    </row>
    <row r="516" spans="1:23" ht="15.75" customHeight="1" x14ac:dyDescent="0.25">
      <c r="A516" s="244"/>
      <c r="B516" s="245"/>
      <c r="C516" s="246"/>
      <c r="D516" s="37"/>
      <c r="E516" s="246"/>
      <c r="F516" s="247"/>
      <c r="G516" s="245"/>
      <c r="H516" s="246"/>
      <c r="I516" s="247"/>
      <c r="J516" s="37"/>
      <c r="K516" s="248"/>
      <c r="L516" s="248"/>
      <c r="M516" s="248"/>
      <c r="N516" s="248"/>
      <c r="O516" s="248"/>
      <c r="P516" s="249"/>
      <c r="Q516" s="250"/>
      <c r="R516" s="37"/>
      <c r="S516" s="37"/>
      <c r="T516" s="204"/>
      <c r="U516" s="37"/>
      <c r="V516" s="37"/>
      <c r="W516" s="37"/>
    </row>
    <row r="517" spans="1:23" ht="15.75" customHeight="1" x14ac:dyDescent="0.25">
      <c r="A517" s="244"/>
      <c r="B517" s="245"/>
      <c r="C517" s="246"/>
      <c r="D517" s="37"/>
      <c r="E517" s="246"/>
      <c r="F517" s="247"/>
      <c r="G517" s="245"/>
      <c r="H517" s="246"/>
      <c r="I517" s="247"/>
      <c r="J517" s="37"/>
      <c r="K517" s="248"/>
      <c r="L517" s="248"/>
      <c r="M517" s="248"/>
      <c r="N517" s="248"/>
      <c r="O517" s="248"/>
      <c r="P517" s="249"/>
      <c r="Q517" s="250"/>
      <c r="R517" s="37"/>
      <c r="S517" s="37"/>
      <c r="T517" s="204"/>
      <c r="U517" s="37"/>
      <c r="V517" s="37"/>
      <c r="W517" s="37"/>
    </row>
    <row r="518" spans="1:23" ht="15.75" customHeight="1" x14ac:dyDescent="0.25">
      <c r="A518" s="244"/>
      <c r="B518" s="245"/>
      <c r="C518" s="246"/>
      <c r="D518" s="37"/>
      <c r="E518" s="246"/>
      <c r="F518" s="247"/>
      <c r="G518" s="245"/>
      <c r="H518" s="246"/>
      <c r="I518" s="247"/>
      <c r="J518" s="37"/>
      <c r="K518" s="248"/>
      <c r="L518" s="248"/>
      <c r="M518" s="248"/>
      <c r="N518" s="248"/>
      <c r="O518" s="248"/>
      <c r="P518" s="249"/>
      <c r="Q518" s="250"/>
      <c r="R518" s="37"/>
      <c r="S518" s="37"/>
      <c r="T518" s="204"/>
      <c r="U518" s="37"/>
      <c r="V518" s="37"/>
      <c r="W518" s="37"/>
    </row>
    <row r="519" spans="1:23" ht="15.75" customHeight="1" x14ac:dyDescent="0.25">
      <c r="A519" s="244"/>
      <c r="B519" s="245"/>
      <c r="C519" s="246"/>
      <c r="D519" s="37"/>
      <c r="E519" s="246"/>
      <c r="F519" s="247"/>
      <c r="G519" s="245"/>
      <c r="H519" s="246"/>
      <c r="I519" s="247"/>
      <c r="J519" s="37"/>
      <c r="K519" s="248"/>
      <c r="L519" s="248"/>
      <c r="M519" s="248"/>
      <c r="N519" s="248"/>
      <c r="O519" s="248"/>
      <c r="P519" s="249"/>
      <c r="Q519" s="250"/>
      <c r="R519" s="37"/>
      <c r="S519" s="37"/>
      <c r="T519" s="204"/>
      <c r="U519" s="37"/>
      <c r="V519" s="37"/>
      <c r="W519" s="37"/>
    </row>
    <row r="520" spans="1:23" ht="15.75" customHeight="1" x14ac:dyDescent="0.25">
      <c r="A520" s="244"/>
      <c r="B520" s="245"/>
      <c r="C520" s="246"/>
      <c r="D520" s="37"/>
      <c r="E520" s="246"/>
      <c r="F520" s="247"/>
      <c r="G520" s="245"/>
      <c r="H520" s="246"/>
      <c r="I520" s="247"/>
      <c r="J520" s="37"/>
      <c r="K520" s="248"/>
      <c r="L520" s="248"/>
      <c r="M520" s="248"/>
      <c r="N520" s="248"/>
      <c r="O520" s="248"/>
      <c r="P520" s="249"/>
      <c r="Q520" s="250"/>
      <c r="R520" s="37"/>
      <c r="S520" s="37"/>
      <c r="T520" s="204"/>
      <c r="U520" s="37"/>
      <c r="V520" s="37"/>
      <c r="W520" s="37"/>
    </row>
    <row r="521" spans="1:23" ht="15.75" customHeight="1" x14ac:dyDescent="0.25">
      <c r="A521" s="244"/>
      <c r="B521" s="245"/>
      <c r="C521" s="246"/>
      <c r="D521" s="37"/>
      <c r="E521" s="246"/>
      <c r="F521" s="247"/>
      <c r="G521" s="245"/>
      <c r="H521" s="246"/>
      <c r="I521" s="247"/>
      <c r="J521" s="37"/>
      <c r="K521" s="248"/>
      <c r="L521" s="248"/>
      <c r="M521" s="248"/>
      <c r="N521" s="248"/>
      <c r="O521" s="248"/>
      <c r="P521" s="249"/>
      <c r="Q521" s="250"/>
      <c r="R521" s="37"/>
      <c r="S521" s="37"/>
      <c r="T521" s="204"/>
      <c r="U521" s="37"/>
      <c r="V521" s="37"/>
      <c r="W521" s="37"/>
    </row>
    <row r="522" spans="1:23" ht="15.75" customHeight="1" x14ac:dyDescent="0.25">
      <c r="A522" s="244"/>
      <c r="B522" s="245"/>
      <c r="C522" s="246"/>
      <c r="D522" s="37"/>
      <c r="E522" s="246"/>
      <c r="F522" s="247"/>
      <c r="G522" s="245"/>
      <c r="H522" s="246"/>
      <c r="I522" s="247"/>
      <c r="J522" s="37"/>
      <c r="K522" s="248"/>
      <c r="L522" s="248"/>
      <c r="M522" s="248"/>
      <c r="N522" s="248"/>
      <c r="O522" s="248"/>
      <c r="P522" s="249"/>
      <c r="Q522" s="250"/>
      <c r="R522" s="37"/>
      <c r="S522" s="37"/>
      <c r="T522" s="204"/>
      <c r="U522" s="37"/>
      <c r="V522" s="37"/>
      <c r="W522" s="37"/>
    </row>
    <row r="523" spans="1:23" ht="15.75" customHeight="1" x14ac:dyDescent="0.25">
      <c r="A523" s="244"/>
      <c r="B523" s="245"/>
      <c r="C523" s="246"/>
      <c r="D523" s="37"/>
      <c r="E523" s="246"/>
      <c r="F523" s="247"/>
      <c r="G523" s="245"/>
      <c r="H523" s="246"/>
      <c r="I523" s="247"/>
      <c r="J523" s="37"/>
      <c r="K523" s="248"/>
      <c r="L523" s="248"/>
      <c r="M523" s="248"/>
      <c r="N523" s="248"/>
      <c r="O523" s="248"/>
      <c r="P523" s="249"/>
      <c r="Q523" s="250"/>
      <c r="R523" s="37"/>
      <c r="S523" s="37"/>
      <c r="T523" s="204"/>
      <c r="U523" s="37"/>
      <c r="V523" s="37"/>
      <c r="W523" s="37"/>
    </row>
    <row r="524" spans="1:23" ht="15.75" customHeight="1" x14ac:dyDescent="0.25">
      <c r="A524" s="244"/>
      <c r="B524" s="245"/>
      <c r="C524" s="246"/>
      <c r="D524" s="37"/>
      <c r="E524" s="246"/>
      <c r="F524" s="247"/>
      <c r="G524" s="245"/>
      <c r="H524" s="246"/>
      <c r="I524" s="247"/>
      <c r="J524" s="37"/>
      <c r="K524" s="248"/>
      <c r="L524" s="248"/>
      <c r="M524" s="248"/>
      <c r="N524" s="248"/>
      <c r="O524" s="248"/>
      <c r="P524" s="249"/>
      <c r="Q524" s="250"/>
      <c r="R524" s="37"/>
      <c r="S524" s="37"/>
      <c r="T524" s="204"/>
      <c r="U524" s="37"/>
      <c r="V524" s="37"/>
      <c r="W524" s="37"/>
    </row>
    <row r="525" spans="1:23" ht="15.75" customHeight="1" x14ac:dyDescent="0.25">
      <c r="A525" s="244"/>
      <c r="B525" s="245"/>
      <c r="C525" s="246"/>
      <c r="D525" s="37"/>
      <c r="E525" s="246"/>
      <c r="F525" s="247"/>
      <c r="G525" s="245"/>
      <c r="H525" s="246"/>
      <c r="I525" s="247"/>
      <c r="J525" s="37"/>
      <c r="K525" s="248"/>
      <c r="L525" s="248"/>
      <c r="M525" s="248"/>
      <c r="N525" s="248"/>
      <c r="O525" s="248"/>
      <c r="P525" s="249"/>
      <c r="Q525" s="250"/>
      <c r="R525" s="37"/>
      <c r="S525" s="37"/>
      <c r="T525" s="204"/>
      <c r="U525" s="37"/>
      <c r="V525" s="37"/>
      <c r="W525" s="37"/>
    </row>
    <row r="526" spans="1:23" ht="15.75" customHeight="1" x14ac:dyDescent="0.25">
      <c r="A526" s="244"/>
      <c r="B526" s="245"/>
      <c r="C526" s="246"/>
      <c r="D526" s="37"/>
      <c r="E526" s="246"/>
      <c r="F526" s="247"/>
      <c r="G526" s="245"/>
      <c r="H526" s="246"/>
      <c r="I526" s="247"/>
      <c r="J526" s="37"/>
      <c r="K526" s="248"/>
      <c r="L526" s="248"/>
      <c r="M526" s="248"/>
      <c r="N526" s="248"/>
      <c r="O526" s="248"/>
      <c r="P526" s="249"/>
      <c r="Q526" s="250"/>
      <c r="R526" s="37"/>
      <c r="S526" s="37"/>
      <c r="T526" s="204"/>
      <c r="U526" s="37"/>
      <c r="V526" s="37"/>
      <c r="W526" s="37"/>
    </row>
    <row r="527" spans="1:23" ht="15.75" customHeight="1" x14ac:dyDescent="0.25">
      <c r="A527" s="244"/>
      <c r="B527" s="245"/>
      <c r="C527" s="246"/>
      <c r="D527" s="37"/>
      <c r="E527" s="246"/>
      <c r="F527" s="247"/>
      <c r="G527" s="245"/>
      <c r="H527" s="246"/>
      <c r="I527" s="247"/>
      <c r="J527" s="37"/>
      <c r="K527" s="248"/>
      <c r="L527" s="248"/>
      <c r="M527" s="248"/>
      <c r="N527" s="248"/>
      <c r="O527" s="248"/>
      <c r="P527" s="249"/>
      <c r="Q527" s="250"/>
      <c r="R527" s="37"/>
      <c r="S527" s="37"/>
      <c r="T527" s="204"/>
      <c r="U527" s="37"/>
      <c r="V527" s="37"/>
      <c r="W527" s="37"/>
    </row>
    <row r="528" spans="1:23" ht="15.75" customHeight="1" x14ac:dyDescent="0.25">
      <c r="A528" s="244"/>
      <c r="B528" s="245"/>
      <c r="C528" s="246"/>
      <c r="D528" s="37"/>
      <c r="E528" s="246"/>
      <c r="F528" s="247"/>
      <c r="G528" s="245"/>
      <c r="H528" s="246"/>
      <c r="I528" s="247"/>
      <c r="J528" s="37"/>
      <c r="K528" s="248"/>
      <c r="L528" s="248"/>
      <c r="M528" s="248"/>
      <c r="N528" s="248"/>
      <c r="O528" s="248"/>
      <c r="P528" s="249"/>
      <c r="Q528" s="250"/>
      <c r="R528" s="37"/>
      <c r="S528" s="37"/>
      <c r="T528" s="204"/>
      <c r="U528" s="37"/>
      <c r="V528" s="37"/>
      <c r="W528" s="37"/>
    </row>
    <row r="529" spans="1:23" ht="15.75" customHeight="1" x14ac:dyDescent="0.25">
      <c r="A529" s="244"/>
      <c r="B529" s="245"/>
      <c r="C529" s="246"/>
      <c r="D529" s="37"/>
      <c r="E529" s="246"/>
      <c r="F529" s="247"/>
      <c r="G529" s="245"/>
      <c r="H529" s="246"/>
      <c r="I529" s="247"/>
      <c r="J529" s="37"/>
      <c r="K529" s="248"/>
      <c r="L529" s="248"/>
      <c r="M529" s="248"/>
      <c r="N529" s="248"/>
      <c r="O529" s="248"/>
      <c r="P529" s="249"/>
      <c r="Q529" s="250"/>
      <c r="R529" s="37"/>
      <c r="S529" s="37"/>
      <c r="T529" s="204"/>
      <c r="U529" s="37"/>
      <c r="V529" s="37"/>
      <c r="W529" s="37"/>
    </row>
    <row r="530" spans="1:23" ht="15.75" customHeight="1" x14ac:dyDescent="0.25">
      <c r="A530" s="244"/>
      <c r="B530" s="245"/>
      <c r="C530" s="246"/>
      <c r="D530" s="37"/>
      <c r="E530" s="246"/>
      <c r="F530" s="247"/>
      <c r="G530" s="245"/>
      <c r="H530" s="246"/>
      <c r="I530" s="247"/>
      <c r="J530" s="37"/>
      <c r="K530" s="248"/>
      <c r="L530" s="248"/>
      <c r="M530" s="248"/>
      <c r="N530" s="248"/>
      <c r="O530" s="248"/>
      <c r="P530" s="249"/>
      <c r="Q530" s="250"/>
      <c r="R530" s="37"/>
      <c r="S530" s="37"/>
      <c r="T530" s="204"/>
      <c r="U530" s="37"/>
      <c r="V530" s="37"/>
      <c r="W530" s="37"/>
    </row>
    <row r="531" spans="1:23" ht="15.75" customHeight="1" x14ac:dyDescent="0.25">
      <c r="A531" s="244"/>
      <c r="B531" s="245"/>
      <c r="C531" s="246"/>
      <c r="D531" s="37"/>
      <c r="E531" s="246"/>
      <c r="F531" s="247"/>
      <c r="G531" s="245"/>
      <c r="H531" s="246"/>
      <c r="I531" s="247"/>
      <c r="J531" s="37"/>
      <c r="K531" s="248"/>
      <c r="L531" s="248"/>
      <c r="M531" s="248"/>
      <c r="N531" s="248"/>
      <c r="O531" s="248"/>
      <c r="P531" s="249"/>
      <c r="Q531" s="250"/>
      <c r="R531" s="37"/>
      <c r="S531" s="37"/>
      <c r="T531" s="204"/>
      <c r="U531" s="37"/>
      <c r="V531" s="37"/>
      <c r="W531" s="37"/>
    </row>
    <row r="532" spans="1:23" ht="15.75" customHeight="1" x14ac:dyDescent="0.25">
      <c r="A532" s="244"/>
      <c r="B532" s="245"/>
      <c r="C532" s="246"/>
      <c r="D532" s="37"/>
      <c r="E532" s="246"/>
      <c r="F532" s="247"/>
      <c r="G532" s="245"/>
      <c r="H532" s="246"/>
      <c r="I532" s="247"/>
      <c r="J532" s="37"/>
      <c r="K532" s="248"/>
      <c r="L532" s="248"/>
      <c r="M532" s="248"/>
      <c r="N532" s="248"/>
      <c r="O532" s="248"/>
      <c r="P532" s="249"/>
      <c r="Q532" s="250"/>
      <c r="R532" s="37"/>
      <c r="S532" s="37"/>
      <c r="T532" s="204"/>
      <c r="U532" s="37"/>
      <c r="V532" s="37"/>
      <c r="W532" s="37"/>
    </row>
    <row r="533" spans="1:23" ht="15.75" customHeight="1" x14ac:dyDescent="0.25">
      <c r="A533" s="244"/>
      <c r="B533" s="245"/>
      <c r="C533" s="246"/>
      <c r="D533" s="37"/>
      <c r="E533" s="246"/>
      <c r="F533" s="247"/>
      <c r="G533" s="245"/>
      <c r="H533" s="246"/>
      <c r="I533" s="247"/>
      <c r="J533" s="37"/>
      <c r="K533" s="248"/>
      <c r="L533" s="248"/>
      <c r="M533" s="248"/>
      <c r="N533" s="248"/>
      <c r="O533" s="248"/>
      <c r="P533" s="249"/>
      <c r="Q533" s="250"/>
      <c r="R533" s="37"/>
      <c r="S533" s="37"/>
      <c r="T533" s="204"/>
      <c r="U533" s="37"/>
      <c r="V533" s="37"/>
      <c r="W533" s="37"/>
    </row>
    <row r="534" spans="1:23" ht="15.75" customHeight="1" x14ac:dyDescent="0.25">
      <c r="A534" s="244"/>
      <c r="B534" s="245"/>
      <c r="C534" s="246"/>
      <c r="D534" s="37"/>
      <c r="E534" s="246"/>
      <c r="F534" s="247"/>
      <c r="G534" s="245"/>
      <c r="H534" s="246"/>
      <c r="I534" s="247"/>
      <c r="J534" s="37"/>
      <c r="K534" s="248"/>
      <c r="L534" s="248"/>
      <c r="M534" s="248"/>
      <c r="N534" s="248"/>
      <c r="O534" s="248"/>
      <c r="P534" s="249"/>
      <c r="Q534" s="250"/>
      <c r="R534" s="37"/>
      <c r="S534" s="37"/>
      <c r="T534" s="204"/>
      <c r="U534" s="37"/>
      <c r="V534" s="37"/>
      <c r="W534" s="37"/>
    </row>
    <row r="535" spans="1:23" ht="15.75" customHeight="1" x14ac:dyDescent="0.25">
      <c r="A535" s="244"/>
      <c r="B535" s="245"/>
      <c r="C535" s="246"/>
      <c r="D535" s="37"/>
      <c r="E535" s="246"/>
      <c r="F535" s="247"/>
      <c r="G535" s="245"/>
      <c r="H535" s="246"/>
      <c r="I535" s="247"/>
      <c r="J535" s="37"/>
      <c r="K535" s="248"/>
      <c r="L535" s="248"/>
      <c r="M535" s="248"/>
      <c r="N535" s="248"/>
      <c r="O535" s="248"/>
      <c r="P535" s="249"/>
      <c r="Q535" s="250"/>
      <c r="R535" s="37"/>
      <c r="S535" s="37"/>
      <c r="T535" s="204"/>
      <c r="U535" s="37"/>
      <c r="V535" s="37"/>
      <c r="W535" s="37"/>
    </row>
    <row r="536" spans="1:23" ht="15.75" customHeight="1" x14ac:dyDescent="0.25">
      <c r="A536" s="244"/>
      <c r="B536" s="245"/>
      <c r="C536" s="246"/>
      <c r="D536" s="37"/>
      <c r="E536" s="246"/>
      <c r="F536" s="247"/>
      <c r="G536" s="245"/>
      <c r="H536" s="246"/>
      <c r="I536" s="247"/>
      <c r="J536" s="37"/>
      <c r="K536" s="248"/>
      <c r="L536" s="248"/>
      <c r="M536" s="248"/>
      <c r="N536" s="248"/>
      <c r="O536" s="248"/>
      <c r="P536" s="249"/>
      <c r="Q536" s="250"/>
      <c r="R536" s="37"/>
      <c r="S536" s="37"/>
      <c r="T536" s="204"/>
      <c r="U536" s="37"/>
      <c r="V536" s="37"/>
      <c r="W536" s="37"/>
    </row>
    <row r="537" spans="1:23" ht="15.75" customHeight="1" x14ac:dyDescent="0.25">
      <c r="A537" s="244"/>
      <c r="B537" s="245"/>
      <c r="C537" s="246"/>
      <c r="D537" s="37"/>
      <c r="E537" s="246"/>
      <c r="F537" s="247"/>
      <c r="G537" s="245"/>
      <c r="H537" s="246"/>
      <c r="I537" s="247"/>
      <c r="J537" s="37"/>
      <c r="K537" s="248"/>
      <c r="L537" s="248"/>
      <c r="M537" s="248"/>
      <c r="N537" s="248"/>
      <c r="O537" s="248"/>
      <c r="P537" s="249"/>
      <c r="Q537" s="250"/>
      <c r="R537" s="37"/>
      <c r="S537" s="37"/>
      <c r="T537" s="204"/>
      <c r="U537" s="37"/>
      <c r="V537" s="37"/>
      <c r="W537" s="37"/>
    </row>
    <row r="538" spans="1:23" ht="15.75" customHeight="1" x14ac:dyDescent="0.25">
      <c r="A538" s="244"/>
      <c r="B538" s="245"/>
      <c r="C538" s="246"/>
      <c r="D538" s="37"/>
      <c r="E538" s="246"/>
      <c r="F538" s="247"/>
      <c r="G538" s="245"/>
      <c r="H538" s="246"/>
      <c r="I538" s="247"/>
      <c r="J538" s="37"/>
      <c r="K538" s="248"/>
      <c r="L538" s="248"/>
      <c r="M538" s="248"/>
      <c r="N538" s="248"/>
      <c r="O538" s="248"/>
      <c r="P538" s="249"/>
      <c r="Q538" s="250"/>
      <c r="R538" s="37"/>
      <c r="S538" s="37"/>
      <c r="T538" s="204"/>
      <c r="U538" s="37"/>
      <c r="V538" s="37"/>
      <c r="W538" s="37"/>
    </row>
    <row r="539" spans="1:23" ht="15.75" customHeight="1" x14ac:dyDescent="0.25">
      <c r="A539" s="244"/>
      <c r="B539" s="245"/>
      <c r="C539" s="246"/>
      <c r="D539" s="37"/>
      <c r="E539" s="246"/>
      <c r="F539" s="247"/>
      <c r="G539" s="245"/>
      <c r="H539" s="246"/>
      <c r="I539" s="247"/>
      <c r="J539" s="37"/>
      <c r="K539" s="248"/>
      <c r="L539" s="248"/>
      <c r="M539" s="248"/>
      <c r="N539" s="248"/>
      <c r="O539" s="248"/>
      <c r="P539" s="249"/>
      <c r="Q539" s="250"/>
      <c r="R539" s="37"/>
      <c r="S539" s="37"/>
      <c r="T539" s="204"/>
      <c r="U539" s="37"/>
      <c r="V539" s="37"/>
      <c r="W539" s="37"/>
    </row>
    <row r="540" spans="1:23" ht="15.75" customHeight="1" x14ac:dyDescent="0.25">
      <c r="A540" s="244"/>
      <c r="B540" s="245"/>
      <c r="C540" s="246"/>
      <c r="D540" s="37"/>
      <c r="E540" s="246"/>
      <c r="F540" s="247"/>
      <c r="G540" s="245"/>
      <c r="H540" s="246"/>
      <c r="I540" s="247"/>
      <c r="J540" s="37"/>
      <c r="K540" s="248"/>
      <c r="L540" s="248"/>
      <c r="M540" s="248"/>
      <c r="N540" s="248"/>
      <c r="O540" s="248"/>
      <c r="P540" s="249"/>
      <c r="Q540" s="250"/>
      <c r="R540" s="37"/>
      <c r="S540" s="37"/>
      <c r="T540" s="204"/>
      <c r="U540" s="37"/>
      <c r="V540" s="37"/>
      <c r="W540" s="37"/>
    </row>
    <row r="541" spans="1:23" ht="15.75" customHeight="1" x14ac:dyDescent="0.25">
      <c r="A541" s="244"/>
      <c r="B541" s="245"/>
      <c r="C541" s="246"/>
      <c r="D541" s="37"/>
      <c r="E541" s="246"/>
      <c r="F541" s="247"/>
      <c r="G541" s="245"/>
      <c r="H541" s="246"/>
      <c r="I541" s="247"/>
      <c r="J541" s="37"/>
      <c r="K541" s="248"/>
      <c r="L541" s="248"/>
      <c r="M541" s="248"/>
      <c r="N541" s="248"/>
      <c r="O541" s="248"/>
      <c r="P541" s="249"/>
      <c r="Q541" s="250"/>
      <c r="R541" s="37"/>
      <c r="S541" s="37"/>
      <c r="T541" s="204"/>
      <c r="U541" s="37"/>
      <c r="V541" s="37"/>
      <c r="W541" s="37"/>
    </row>
    <row r="542" spans="1:23" ht="15.75" customHeight="1" x14ac:dyDescent="0.25">
      <c r="A542" s="244"/>
      <c r="B542" s="245"/>
      <c r="C542" s="246"/>
      <c r="D542" s="37"/>
      <c r="E542" s="246"/>
      <c r="F542" s="247"/>
      <c r="G542" s="245"/>
      <c r="H542" s="246"/>
      <c r="I542" s="247"/>
      <c r="J542" s="37"/>
      <c r="K542" s="248"/>
      <c r="L542" s="248"/>
      <c r="M542" s="248"/>
      <c r="N542" s="248"/>
      <c r="O542" s="248"/>
      <c r="P542" s="249"/>
      <c r="Q542" s="250"/>
      <c r="R542" s="37"/>
      <c r="S542" s="37"/>
      <c r="T542" s="204"/>
      <c r="U542" s="37"/>
      <c r="V542" s="37"/>
      <c r="W542" s="37"/>
    </row>
    <row r="543" spans="1:23" ht="15.75" customHeight="1" x14ac:dyDescent="0.25">
      <c r="A543" s="244"/>
      <c r="B543" s="245"/>
      <c r="C543" s="246"/>
      <c r="D543" s="37"/>
      <c r="E543" s="246"/>
      <c r="F543" s="247"/>
      <c r="G543" s="245"/>
      <c r="H543" s="246"/>
      <c r="I543" s="247"/>
      <c r="J543" s="37"/>
      <c r="K543" s="248"/>
      <c r="L543" s="248"/>
      <c r="M543" s="248"/>
      <c r="N543" s="248"/>
      <c r="O543" s="248"/>
      <c r="P543" s="249"/>
      <c r="Q543" s="250"/>
      <c r="R543" s="37"/>
      <c r="S543" s="37"/>
      <c r="T543" s="204"/>
      <c r="U543" s="37"/>
      <c r="V543" s="37"/>
      <c r="W543" s="37"/>
    </row>
    <row r="544" spans="1:23" ht="15.75" customHeight="1" x14ac:dyDescent="0.25">
      <c r="A544" s="244"/>
      <c r="B544" s="245"/>
      <c r="C544" s="246"/>
      <c r="D544" s="37"/>
      <c r="E544" s="246"/>
      <c r="F544" s="247"/>
      <c r="G544" s="245"/>
      <c r="H544" s="246"/>
      <c r="I544" s="247"/>
      <c r="J544" s="37"/>
      <c r="K544" s="248"/>
      <c r="L544" s="248"/>
      <c r="M544" s="248"/>
      <c r="N544" s="248"/>
      <c r="O544" s="248"/>
      <c r="P544" s="249"/>
      <c r="Q544" s="250"/>
      <c r="R544" s="37"/>
      <c r="S544" s="37"/>
      <c r="T544" s="204"/>
      <c r="U544" s="37"/>
      <c r="V544" s="37"/>
      <c r="W544" s="37"/>
    </row>
    <row r="545" spans="1:23" ht="15.75" customHeight="1" x14ac:dyDescent="0.25">
      <c r="A545" s="244"/>
      <c r="B545" s="245"/>
      <c r="C545" s="246"/>
      <c r="D545" s="37"/>
      <c r="E545" s="246"/>
      <c r="F545" s="247"/>
      <c r="G545" s="245"/>
      <c r="H545" s="246"/>
      <c r="I545" s="247"/>
      <c r="J545" s="37"/>
      <c r="K545" s="248"/>
      <c r="L545" s="248"/>
      <c r="M545" s="248"/>
      <c r="N545" s="248"/>
      <c r="O545" s="248"/>
      <c r="P545" s="249"/>
      <c r="Q545" s="250"/>
      <c r="R545" s="37"/>
      <c r="S545" s="37"/>
      <c r="T545" s="204"/>
      <c r="U545" s="37"/>
      <c r="V545" s="37"/>
      <c r="W545" s="37"/>
    </row>
    <row r="546" spans="1:23" ht="15.75" customHeight="1" x14ac:dyDescent="0.25">
      <c r="A546" s="244"/>
      <c r="B546" s="245"/>
      <c r="C546" s="246"/>
      <c r="D546" s="37"/>
      <c r="E546" s="246"/>
      <c r="F546" s="247"/>
      <c r="G546" s="245"/>
      <c r="H546" s="246"/>
      <c r="I546" s="247"/>
      <c r="J546" s="37"/>
      <c r="K546" s="248"/>
      <c r="L546" s="248"/>
      <c r="M546" s="248"/>
      <c r="N546" s="248"/>
      <c r="O546" s="248"/>
      <c r="P546" s="249"/>
      <c r="Q546" s="250"/>
      <c r="R546" s="37"/>
      <c r="S546" s="37"/>
      <c r="T546" s="204"/>
      <c r="U546" s="37"/>
      <c r="V546" s="37"/>
      <c r="W546" s="37"/>
    </row>
    <row r="547" spans="1:23" ht="15.75" customHeight="1" x14ac:dyDescent="0.25">
      <c r="A547" s="244"/>
      <c r="B547" s="245"/>
      <c r="C547" s="246"/>
      <c r="D547" s="37"/>
      <c r="E547" s="246"/>
      <c r="F547" s="247"/>
      <c r="G547" s="245"/>
      <c r="H547" s="246"/>
      <c r="I547" s="247"/>
      <c r="J547" s="37"/>
      <c r="K547" s="248"/>
      <c r="L547" s="248"/>
      <c r="M547" s="248"/>
      <c r="N547" s="248"/>
      <c r="O547" s="248"/>
      <c r="P547" s="249"/>
      <c r="Q547" s="250"/>
      <c r="R547" s="37"/>
      <c r="S547" s="37"/>
      <c r="T547" s="204"/>
      <c r="U547" s="37"/>
      <c r="V547" s="37"/>
      <c r="W547" s="37"/>
    </row>
    <row r="548" spans="1:23" ht="15.75" customHeight="1" x14ac:dyDescent="0.25">
      <c r="A548" s="244"/>
      <c r="B548" s="245"/>
      <c r="C548" s="246"/>
      <c r="D548" s="37"/>
      <c r="E548" s="246"/>
      <c r="F548" s="247"/>
      <c r="G548" s="245"/>
      <c r="H548" s="246"/>
      <c r="I548" s="247"/>
      <c r="J548" s="37"/>
      <c r="K548" s="248"/>
      <c r="L548" s="248"/>
      <c r="M548" s="248"/>
      <c r="N548" s="248"/>
      <c r="O548" s="248"/>
      <c r="P548" s="249"/>
      <c r="Q548" s="250"/>
      <c r="R548" s="37"/>
      <c r="S548" s="37"/>
      <c r="T548" s="204"/>
      <c r="U548" s="37"/>
      <c r="V548" s="37"/>
      <c r="W548" s="37"/>
    </row>
    <row r="549" spans="1:23" ht="15.75" customHeight="1" x14ac:dyDescent="0.25">
      <c r="A549" s="244"/>
      <c r="B549" s="245"/>
      <c r="C549" s="246"/>
      <c r="D549" s="37"/>
      <c r="E549" s="246"/>
      <c r="F549" s="247"/>
      <c r="G549" s="245"/>
      <c r="H549" s="246"/>
      <c r="I549" s="247"/>
      <c r="J549" s="37"/>
      <c r="K549" s="248"/>
      <c r="L549" s="248"/>
      <c r="M549" s="248"/>
      <c r="N549" s="248"/>
      <c r="O549" s="248"/>
      <c r="P549" s="249"/>
      <c r="Q549" s="250"/>
      <c r="R549" s="37"/>
      <c r="S549" s="37"/>
      <c r="T549" s="204"/>
      <c r="U549" s="37"/>
      <c r="V549" s="37"/>
      <c r="W549" s="37"/>
    </row>
    <row r="550" spans="1:23" ht="15.75" customHeight="1" x14ac:dyDescent="0.25">
      <c r="A550" s="244"/>
      <c r="B550" s="245"/>
      <c r="C550" s="246"/>
      <c r="D550" s="37"/>
      <c r="E550" s="246"/>
      <c r="F550" s="247"/>
      <c r="G550" s="245"/>
      <c r="H550" s="246"/>
      <c r="I550" s="247"/>
      <c r="J550" s="37"/>
      <c r="K550" s="248"/>
      <c r="L550" s="248"/>
      <c r="M550" s="248"/>
      <c r="N550" s="248"/>
      <c r="O550" s="248"/>
      <c r="P550" s="249"/>
      <c r="Q550" s="250"/>
      <c r="R550" s="37"/>
      <c r="S550" s="37"/>
      <c r="T550" s="204"/>
      <c r="U550" s="37"/>
      <c r="V550" s="37"/>
      <c r="W550" s="37"/>
    </row>
    <row r="551" spans="1:23" ht="15.75" customHeight="1" x14ac:dyDescent="0.25">
      <c r="A551" s="244"/>
      <c r="B551" s="245"/>
      <c r="C551" s="246"/>
      <c r="D551" s="37"/>
      <c r="E551" s="246"/>
      <c r="F551" s="247"/>
      <c r="G551" s="245"/>
      <c r="H551" s="246"/>
      <c r="I551" s="247"/>
      <c r="J551" s="37"/>
      <c r="K551" s="248"/>
      <c r="L551" s="248"/>
      <c r="M551" s="248"/>
      <c r="N551" s="248"/>
      <c r="O551" s="248"/>
      <c r="P551" s="249"/>
      <c r="Q551" s="250"/>
      <c r="R551" s="37"/>
      <c r="S551" s="37"/>
      <c r="T551" s="204"/>
      <c r="U551" s="37"/>
      <c r="V551" s="37"/>
      <c r="W551" s="37"/>
    </row>
    <row r="552" spans="1:23" ht="15.75" customHeight="1" x14ac:dyDescent="0.25">
      <c r="A552" s="244"/>
      <c r="B552" s="245"/>
      <c r="C552" s="246"/>
      <c r="D552" s="37"/>
      <c r="E552" s="246"/>
      <c r="F552" s="247"/>
      <c r="G552" s="245"/>
      <c r="H552" s="246"/>
      <c r="I552" s="247"/>
      <c r="J552" s="37"/>
      <c r="K552" s="248"/>
      <c r="L552" s="248"/>
      <c r="M552" s="248"/>
      <c r="N552" s="248"/>
      <c r="O552" s="248"/>
      <c r="P552" s="249"/>
      <c r="Q552" s="250"/>
      <c r="R552" s="37"/>
      <c r="S552" s="37"/>
      <c r="T552" s="204"/>
      <c r="U552" s="37"/>
      <c r="V552" s="37"/>
      <c r="W552" s="37"/>
    </row>
    <row r="553" spans="1:23" ht="15.75" customHeight="1" x14ac:dyDescent="0.25">
      <c r="A553" s="244"/>
      <c r="B553" s="245"/>
      <c r="C553" s="246"/>
      <c r="D553" s="37"/>
      <c r="E553" s="246"/>
      <c r="F553" s="247"/>
      <c r="G553" s="245"/>
      <c r="H553" s="246"/>
      <c r="I553" s="247"/>
      <c r="J553" s="37"/>
      <c r="K553" s="248"/>
      <c r="L553" s="248"/>
      <c r="M553" s="248"/>
      <c r="N553" s="248"/>
      <c r="O553" s="248"/>
      <c r="P553" s="249"/>
      <c r="Q553" s="250"/>
      <c r="R553" s="37"/>
      <c r="S553" s="37"/>
      <c r="T553" s="204"/>
      <c r="U553" s="37"/>
      <c r="V553" s="37"/>
      <c r="W553" s="37"/>
    </row>
    <row r="554" spans="1:23" ht="15.75" customHeight="1" x14ac:dyDescent="0.25">
      <c r="A554" s="244"/>
      <c r="B554" s="245"/>
      <c r="C554" s="246"/>
      <c r="D554" s="37"/>
      <c r="E554" s="246"/>
      <c r="F554" s="247"/>
      <c r="G554" s="245"/>
      <c r="H554" s="246"/>
      <c r="I554" s="247"/>
      <c r="J554" s="37"/>
      <c r="K554" s="248"/>
      <c r="L554" s="248"/>
      <c r="M554" s="248"/>
      <c r="N554" s="248"/>
      <c r="O554" s="248"/>
      <c r="P554" s="249"/>
      <c r="Q554" s="250"/>
      <c r="R554" s="37"/>
      <c r="S554" s="37"/>
      <c r="T554" s="204"/>
      <c r="U554" s="37"/>
      <c r="V554" s="37"/>
      <c r="W554" s="37"/>
    </row>
    <row r="555" spans="1:23" ht="15.75" customHeight="1" x14ac:dyDescent="0.25">
      <c r="A555" s="244"/>
      <c r="B555" s="245"/>
      <c r="C555" s="246"/>
      <c r="D555" s="37"/>
      <c r="E555" s="246"/>
      <c r="F555" s="247"/>
      <c r="G555" s="245"/>
      <c r="H555" s="246"/>
      <c r="I555" s="247"/>
      <c r="J555" s="37"/>
      <c r="K555" s="248"/>
      <c r="L555" s="248"/>
      <c r="M555" s="248"/>
      <c r="N555" s="248"/>
      <c r="O555" s="248"/>
      <c r="P555" s="249"/>
      <c r="Q555" s="250"/>
      <c r="R555" s="37"/>
      <c r="S555" s="37"/>
      <c r="T555" s="204"/>
      <c r="U555" s="37"/>
      <c r="V555" s="37"/>
      <c r="W555" s="37"/>
    </row>
    <row r="556" spans="1:23" ht="15.75" customHeight="1" x14ac:dyDescent="0.25">
      <c r="A556" s="244"/>
      <c r="B556" s="245"/>
      <c r="C556" s="246"/>
      <c r="D556" s="37"/>
      <c r="E556" s="246"/>
      <c r="F556" s="247"/>
      <c r="G556" s="245"/>
      <c r="H556" s="246"/>
      <c r="I556" s="247"/>
      <c r="J556" s="37"/>
      <c r="K556" s="248"/>
      <c r="L556" s="248"/>
      <c r="M556" s="248"/>
      <c r="N556" s="248"/>
      <c r="O556" s="248"/>
      <c r="P556" s="249"/>
      <c r="Q556" s="250"/>
      <c r="R556" s="37"/>
      <c r="S556" s="37"/>
      <c r="T556" s="204"/>
      <c r="U556" s="37"/>
      <c r="V556" s="37"/>
      <c r="W556" s="37"/>
    </row>
    <row r="557" spans="1:23" ht="15.75" customHeight="1" x14ac:dyDescent="0.25">
      <c r="A557" s="244"/>
      <c r="B557" s="245"/>
      <c r="C557" s="246"/>
      <c r="D557" s="37"/>
      <c r="E557" s="246"/>
      <c r="F557" s="247"/>
      <c r="G557" s="245"/>
      <c r="H557" s="246"/>
      <c r="I557" s="247"/>
      <c r="J557" s="37"/>
      <c r="K557" s="248"/>
      <c r="L557" s="248"/>
      <c r="M557" s="248"/>
      <c r="N557" s="248"/>
      <c r="O557" s="248"/>
      <c r="P557" s="249"/>
      <c r="Q557" s="250"/>
      <c r="R557" s="37"/>
      <c r="S557" s="37"/>
      <c r="T557" s="204"/>
      <c r="U557" s="37"/>
      <c r="V557" s="37"/>
      <c r="W557" s="37"/>
    </row>
    <row r="558" spans="1:23" ht="15.75" customHeight="1" x14ac:dyDescent="0.25">
      <c r="A558" s="244"/>
      <c r="B558" s="245"/>
      <c r="C558" s="246"/>
      <c r="D558" s="37"/>
      <c r="E558" s="246"/>
      <c r="F558" s="247"/>
      <c r="G558" s="245"/>
      <c r="H558" s="246"/>
      <c r="I558" s="247"/>
      <c r="J558" s="37"/>
      <c r="K558" s="248"/>
      <c r="L558" s="248"/>
      <c r="M558" s="248"/>
      <c r="N558" s="248"/>
      <c r="O558" s="248"/>
      <c r="P558" s="249"/>
      <c r="Q558" s="250"/>
      <c r="R558" s="37"/>
      <c r="S558" s="37"/>
      <c r="T558" s="204"/>
      <c r="U558" s="37"/>
      <c r="V558" s="37"/>
      <c r="W558" s="37"/>
    </row>
    <row r="559" spans="1:23" ht="15.75" customHeight="1" x14ac:dyDescent="0.25">
      <c r="A559" s="244"/>
      <c r="B559" s="245"/>
      <c r="C559" s="246"/>
      <c r="D559" s="37"/>
      <c r="E559" s="246"/>
      <c r="F559" s="247"/>
      <c r="G559" s="245"/>
      <c r="H559" s="246"/>
      <c r="I559" s="247"/>
      <c r="J559" s="37"/>
      <c r="K559" s="248"/>
      <c r="L559" s="248"/>
      <c r="M559" s="248"/>
      <c r="N559" s="248"/>
      <c r="O559" s="248"/>
      <c r="P559" s="249"/>
      <c r="Q559" s="250"/>
      <c r="R559" s="37"/>
      <c r="S559" s="37"/>
      <c r="T559" s="204"/>
      <c r="U559" s="37"/>
      <c r="V559" s="37"/>
      <c r="W559" s="37"/>
    </row>
    <row r="560" spans="1:23" ht="15.75" customHeight="1" x14ac:dyDescent="0.25">
      <c r="A560" s="244"/>
      <c r="B560" s="245"/>
      <c r="C560" s="246"/>
      <c r="D560" s="37"/>
      <c r="E560" s="246"/>
      <c r="F560" s="247"/>
      <c r="G560" s="245"/>
      <c r="H560" s="246"/>
      <c r="I560" s="247"/>
      <c r="J560" s="37"/>
      <c r="K560" s="248"/>
      <c r="L560" s="248"/>
      <c r="M560" s="248"/>
      <c r="N560" s="248"/>
      <c r="O560" s="248"/>
      <c r="P560" s="249"/>
      <c r="Q560" s="250"/>
      <c r="R560" s="37"/>
      <c r="S560" s="37"/>
      <c r="T560" s="204"/>
      <c r="U560" s="37"/>
      <c r="V560" s="37"/>
      <c r="W560" s="37"/>
    </row>
    <row r="561" spans="1:23" ht="15.75" customHeight="1" x14ac:dyDescent="0.25">
      <c r="A561" s="244"/>
      <c r="B561" s="245"/>
      <c r="C561" s="246"/>
      <c r="D561" s="37"/>
      <c r="E561" s="246"/>
      <c r="F561" s="247"/>
      <c r="G561" s="245"/>
      <c r="H561" s="246"/>
      <c r="I561" s="247"/>
      <c r="J561" s="37"/>
      <c r="K561" s="248"/>
      <c r="L561" s="248"/>
      <c r="M561" s="248"/>
      <c r="N561" s="248"/>
      <c r="O561" s="248"/>
      <c r="P561" s="249"/>
      <c r="Q561" s="250"/>
      <c r="R561" s="37"/>
      <c r="S561" s="37"/>
      <c r="T561" s="204"/>
      <c r="U561" s="37"/>
      <c r="V561" s="37"/>
      <c r="W561" s="37"/>
    </row>
    <row r="562" spans="1:23" ht="15.75" customHeight="1" x14ac:dyDescent="0.25">
      <c r="A562" s="244"/>
      <c r="B562" s="245"/>
      <c r="C562" s="246"/>
      <c r="D562" s="37"/>
      <c r="E562" s="246"/>
      <c r="F562" s="247"/>
      <c r="G562" s="245"/>
      <c r="H562" s="246"/>
      <c r="I562" s="247"/>
      <c r="J562" s="37"/>
      <c r="K562" s="248"/>
      <c r="L562" s="248"/>
      <c r="M562" s="248"/>
      <c r="N562" s="248"/>
      <c r="O562" s="248"/>
      <c r="P562" s="249"/>
      <c r="Q562" s="250"/>
      <c r="R562" s="37"/>
      <c r="S562" s="37"/>
      <c r="T562" s="204"/>
      <c r="U562" s="37"/>
      <c r="V562" s="37"/>
      <c r="W562" s="37"/>
    </row>
    <row r="563" spans="1:23" ht="15.75" customHeight="1" x14ac:dyDescent="0.25">
      <c r="A563" s="244"/>
      <c r="B563" s="245"/>
      <c r="C563" s="246"/>
      <c r="D563" s="37"/>
      <c r="E563" s="246"/>
      <c r="F563" s="247"/>
      <c r="G563" s="245"/>
      <c r="H563" s="246"/>
      <c r="I563" s="247"/>
      <c r="J563" s="37"/>
      <c r="K563" s="248"/>
      <c r="L563" s="248"/>
      <c r="M563" s="248"/>
      <c r="N563" s="248"/>
      <c r="O563" s="248"/>
      <c r="P563" s="249"/>
      <c r="Q563" s="250"/>
      <c r="R563" s="37"/>
      <c r="S563" s="37"/>
      <c r="T563" s="204"/>
      <c r="U563" s="37"/>
      <c r="V563" s="37"/>
      <c r="W563" s="37"/>
    </row>
    <row r="564" spans="1:23" ht="15.75" customHeight="1" x14ac:dyDescent="0.25">
      <c r="A564" s="244"/>
      <c r="B564" s="245"/>
      <c r="C564" s="246"/>
      <c r="D564" s="37"/>
      <c r="E564" s="246"/>
      <c r="F564" s="247"/>
      <c r="G564" s="245"/>
      <c r="H564" s="246"/>
      <c r="I564" s="247"/>
      <c r="J564" s="37"/>
      <c r="K564" s="248"/>
      <c r="L564" s="248"/>
      <c r="M564" s="248"/>
      <c r="N564" s="248"/>
      <c r="O564" s="248"/>
      <c r="P564" s="249"/>
      <c r="Q564" s="250"/>
      <c r="R564" s="37"/>
      <c r="S564" s="37"/>
      <c r="T564" s="204"/>
      <c r="U564" s="37"/>
      <c r="V564" s="37"/>
      <c r="W564" s="37"/>
    </row>
    <row r="565" spans="1:23" ht="15.75" customHeight="1" x14ac:dyDescent="0.25">
      <c r="A565" s="244"/>
      <c r="B565" s="245"/>
      <c r="C565" s="246"/>
      <c r="D565" s="37"/>
      <c r="E565" s="246"/>
      <c r="F565" s="247"/>
      <c r="G565" s="245"/>
      <c r="H565" s="246"/>
      <c r="I565" s="247"/>
      <c r="J565" s="37"/>
      <c r="K565" s="248"/>
      <c r="L565" s="248"/>
      <c r="M565" s="248"/>
      <c r="N565" s="248"/>
      <c r="O565" s="248"/>
      <c r="P565" s="249"/>
      <c r="Q565" s="250"/>
      <c r="R565" s="37"/>
      <c r="S565" s="37"/>
      <c r="T565" s="204"/>
      <c r="U565" s="37"/>
      <c r="V565" s="37"/>
      <c r="W565" s="37"/>
    </row>
    <row r="566" spans="1:23" ht="15.75" customHeight="1" x14ac:dyDescent="0.25">
      <c r="A566" s="244"/>
      <c r="B566" s="245"/>
      <c r="C566" s="246"/>
      <c r="D566" s="37"/>
      <c r="E566" s="246"/>
      <c r="F566" s="247"/>
      <c r="G566" s="245"/>
      <c r="H566" s="246"/>
      <c r="I566" s="247"/>
      <c r="J566" s="37"/>
      <c r="K566" s="248"/>
      <c r="L566" s="248"/>
      <c r="M566" s="248"/>
      <c r="N566" s="248"/>
      <c r="O566" s="248"/>
      <c r="P566" s="249"/>
      <c r="Q566" s="250"/>
      <c r="R566" s="37"/>
      <c r="S566" s="37"/>
      <c r="T566" s="204"/>
      <c r="U566" s="37"/>
      <c r="V566" s="37"/>
      <c r="W566" s="37"/>
    </row>
    <row r="567" spans="1:23" ht="15.75" customHeight="1" x14ac:dyDescent="0.25">
      <c r="A567" s="244"/>
      <c r="B567" s="245"/>
      <c r="C567" s="246"/>
      <c r="D567" s="37"/>
      <c r="E567" s="246"/>
      <c r="F567" s="247"/>
      <c r="G567" s="245"/>
      <c r="H567" s="246"/>
      <c r="I567" s="247"/>
      <c r="J567" s="37"/>
      <c r="K567" s="248"/>
      <c r="L567" s="248"/>
      <c r="M567" s="248"/>
      <c r="N567" s="248"/>
      <c r="O567" s="248"/>
      <c r="P567" s="249"/>
      <c r="Q567" s="250"/>
      <c r="R567" s="37"/>
      <c r="S567" s="37"/>
      <c r="T567" s="204"/>
      <c r="U567" s="37"/>
      <c r="V567" s="37"/>
      <c r="W567" s="37"/>
    </row>
    <row r="568" spans="1:23" ht="15.75" customHeight="1" x14ac:dyDescent="0.25">
      <c r="A568" s="244"/>
      <c r="B568" s="245"/>
      <c r="C568" s="246"/>
      <c r="D568" s="37"/>
      <c r="E568" s="246"/>
      <c r="F568" s="247"/>
      <c r="G568" s="245"/>
      <c r="H568" s="246"/>
      <c r="I568" s="247"/>
      <c r="J568" s="37"/>
      <c r="K568" s="248"/>
      <c r="L568" s="248"/>
      <c r="M568" s="248"/>
      <c r="N568" s="248"/>
      <c r="O568" s="248"/>
      <c r="P568" s="249"/>
      <c r="Q568" s="250"/>
      <c r="R568" s="37"/>
      <c r="S568" s="37"/>
      <c r="T568" s="204"/>
      <c r="U568" s="37"/>
      <c r="V568" s="37"/>
      <c r="W568" s="37"/>
    </row>
    <row r="569" spans="1:23" ht="15.75" customHeight="1" x14ac:dyDescent="0.25">
      <c r="A569" s="244"/>
      <c r="B569" s="245"/>
      <c r="C569" s="246"/>
      <c r="D569" s="37"/>
      <c r="E569" s="246"/>
      <c r="F569" s="247"/>
      <c r="G569" s="245"/>
      <c r="H569" s="246"/>
      <c r="I569" s="247"/>
      <c r="J569" s="37"/>
      <c r="K569" s="248"/>
      <c r="L569" s="248"/>
      <c r="M569" s="248"/>
      <c r="N569" s="248"/>
      <c r="O569" s="248"/>
      <c r="P569" s="249"/>
      <c r="Q569" s="250"/>
      <c r="R569" s="37"/>
      <c r="S569" s="37"/>
      <c r="T569" s="204"/>
      <c r="U569" s="37"/>
      <c r="V569" s="37"/>
      <c r="W569" s="37"/>
    </row>
    <row r="570" spans="1:23" ht="15.75" customHeight="1" x14ac:dyDescent="0.25">
      <c r="A570" s="244"/>
      <c r="B570" s="245"/>
      <c r="C570" s="246"/>
      <c r="D570" s="37"/>
      <c r="E570" s="246"/>
      <c r="F570" s="247"/>
      <c r="G570" s="245"/>
      <c r="H570" s="246"/>
      <c r="I570" s="247"/>
      <c r="J570" s="37"/>
      <c r="K570" s="248"/>
      <c r="L570" s="248"/>
      <c r="M570" s="248"/>
      <c r="N570" s="248"/>
      <c r="O570" s="248"/>
      <c r="P570" s="249"/>
      <c r="Q570" s="250"/>
      <c r="R570" s="37"/>
      <c r="S570" s="37"/>
      <c r="T570" s="204"/>
      <c r="U570" s="37"/>
      <c r="V570" s="37"/>
      <c r="W570" s="37"/>
    </row>
    <row r="571" spans="1:23" ht="15.75" customHeight="1" x14ac:dyDescent="0.25">
      <c r="A571" s="244"/>
      <c r="B571" s="245"/>
      <c r="C571" s="246"/>
      <c r="D571" s="37"/>
      <c r="E571" s="246"/>
      <c r="F571" s="247"/>
      <c r="G571" s="245"/>
      <c r="H571" s="246"/>
      <c r="I571" s="247"/>
      <c r="J571" s="37"/>
      <c r="K571" s="248"/>
      <c r="L571" s="248"/>
      <c r="M571" s="248"/>
      <c r="N571" s="248"/>
      <c r="O571" s="248"/>
      <c r="P571" s="249"/>
      <c r="Q571" s="250"/>
      <c r="R571" s="37"/>
      <c r="S571" s="37"/>
      <c r="T571" s="204"/>
      <c r="U571" s="37"/>
      <c r="V571" s="37"/>
      <c r="W571" s="37"/>
    </row>
    <row r="572" spans="1:23" ht="15.75" customHeight="1" x14ac:dyDescent="0.25">
      <c r="A572" s="244"/>
      <c r="B572" s="245"/>
      <c r="C572" s="246"/>
      <c r="D572" s="37"/>
      <c r="E572" s="246"/>
      <c r="F572" s="247"/>
      <c r="G572" s="245"/>
      <c r="H572" s="246"/>
      <c r="I572" s="247"/>
      <c r="J572" s="37"/>
      <c r="K572" s="248"/>
      <c r="L572" s="248"/>
      <c r="M572" s="248"/>
      <c r="N572" s="248"/>
      <c r="O572" s="248"/>
      <c r="P572" s="249"/>
      <c r="Q572" s="250"/>
      <c r="R572" s="37"/>
      <c r="S572" s="37"/>
      <c r="T572" s="204"/>
      <c r="U572" s="37"/>
      <c r="V572" s="37"/>
      <c r="W572" s="37"/>
    </row>
    <row r="573" spans="1:23" ht="15.75" customHeight="1" x14ac:dyDescent="0.25">
      <c r="A573" s="244"/>
      <c r="B573" s="245"/>
      <c r="C573" s="246"/>
      <c r="D573" s="37"/>
      <c r="E573" s="246"/>
      <c r="F573" s="247"/>
      <c r="G573" s="245"/>
      <c r="H573" s="246"/>
      <c r="I573" s="247"/>
      <c r="J573" s="37"/>
      <c r="K573" s="248"/>
      <c r="L573" s="248"/>
      <c r="M573" s="248"/>
      <c r="N573" s="248"/>
      <c r="O573" s="248"/>
      <c r="P573" s="249"/>
      <c r="Q573" s="250"/>
      <c r="R573" s="37"/>
      <c r="S573" s="37"/>
      <c r="T573" s="204"/>
      <c r="U573" s="37"/>
      <c r="V573" s="37"/>
      <c r="W573" s="37"/>
    </row>
    <row r="574" spans="1:23" ht="15.75" customHeight="1" x14ac:dyDescent="0.25">
      <c r="A574" s="244"/>
      <c r="B574" s="245"/>
      <c r="C574" s="246"/>
      <c r="D574" s="37"/>
      <c r="E574" s="246"/>
      <c r="F574" s="247"/>
      <c r="G574" s="245"/>
      <c r="H574" s="246"/>
      <c r="I574" s="247"/>
      <c r="J574" s="37"/>
      <c r="K574" s="248"/>
      <c r="L574" s="248"/>
      <c r="M574" s="248"/>
      <c r="N574" s="248"/>
      <c r="O574" s="248"/>
      <c r="P574" s="249"/>
      <c r="Q574" s="250"/>
      <c r="R574" s="37"/>
      <c r="S574" s="37"/>
      <c r="T574" s="204"/>
      <c r="U574" s="37"/>
      <c r="V574" s="37"/>
      <c r="W574" s="37"/>
    </row>
    <row r="575" spans="1:23" ht="15.75" customHeight="1" x14ac:dyDescent="0.25">
      <c r="A575" s="244"/>
      <c r="B575" s="245"/>
      <c r="C575" s="246"/>
      <c r="D575" s="37"/>
      <c r="E575" s="246"/>
      <c r="F575" s="247"/>
      <c r="G575" s="245"/>
      <c r="H575" s="246"/>
      <c r="I575" s="247"/>
      <c r="J575" s="37"/>
      <c r="K575" s="248"/>
      <c r="L575" s="248"/>
      <c r="M575" s="248"/>
      <c r="N575" s="248"/>
      <c r="O575" s="248"/>
      <c r="P575" s="249"/>
      <c r="Q575" s="250"/>
      <c r="R575" s="37"/>
      <c r="S575" s="37"/>
      <c r="T575" s="204"/>
      <c r="U575" s="37"/>
      <c r="V575" s="37"/>
      <c r="W575" s="37"/>
    </row>
    <row r="576" spans="1:23" ht="15.75" customHeight="1" x14ac:dyDescent="0.25">
      <c r="A576" s="244"/>
      <c r="B576" s="245"/>
      <c r="C576" s="246"/>
      <c r="D576" s="37"/>
      <c r="E576" s="246"/>
      <c r="F576" s="247"/>
      <c r="G576" s="245"/>
      <c r="H576" s="246"/>
      <c r="I576" s="247"/>
      <c r="J576" s="37"/>
      <c r="K576" s="248"/>
      <c r="L576" s="248"/>
      <c r="M576" s="248"/>
      <c r="N576" s="248"/>
      <c r="O576" s="248"/>
      <c r="P576" s="249"/>
      <c r="Q576" s="250"/>
      <c r="R576" s="37"/>
      <c r="S576" s="37"/>
      <c r="T576" s="204"/>
      <c r="U576" s="37"/>
      <c r="V576" s="37"/>
      <c r="W576" s="37"/>
    </row>
    <row r="577" spans="1:23" ht="15.75" customHeight="1" x14ac:dyDescent="0.25">
      <c r="A577" s="244"/>
      <c r="B577" s="245"/>
      <c r="C577" s="246"/>
      <c r="D577" s="37"/>
      <c r="E577" s="246"/>
      <c r="F577" s="247"/>
      <c r="G577" s="245"/>
      <c r="H577" s="246"/>
      <c r="I577" s="247"/>
      <c r="J577" s="37"/>
      <c r="K577" s="248"/>
      <c r="L577" s="248"/>
      <c r="M577" s="248"/>
      <c r="N577" s="248"/>
      <c r="O577" s="248"/>
      <c r="P577" s="249"/>
      <c r="Q577" s="250"/>
      <c r="R577" s="37"/>
      <c r="S577" s="37"/>
      <c r="T577" s="204"/>
      <c r="U577" s="37"/>
      <c r="V577" s="37"/>
      <c r="W577" s="37"/>
    </row>
    <row r="578" spans="1:23" ht="15.75" customHeight="1" x14ac:dyDescent="0.25">
      <c r="A578" s="244"/>
      <c r="B578" s="245"/>
      <c r="C578" s="246"/>
      <c r="D578" s="37"/>
      <c r="E578" s="246"/>
      <c r="F578" s="247"/>
      <c r="G578" s="245"/>
      <c r="H578" s="246"/>
      <c r="I578" s="247"/>
      <c r="J578" s="37"/>
      <c r="K578" s="248"/>
      <c r="L578" s="248"/>
      <c r="M578" s="248"/>
      <c r="N578" s="248"/>
      <c r="O578" s="248"/>
      <c r="P578" s="249"/>
      <c r="Q578" s="250"/>
      <c r="R578" s="37"/>
      <c r="S578" s="37"/>
      <c r="T578" s="204"/>
      <c r="U578" s="37"/>
      <c r="V578" s="37"/>
      <c r="W578" s="37"/>
    </row>
    <row r="579" spans="1:23" ht="15.75" customHeight="1" x14ac:dyDescent="0.25">
      <c r="A579" s="244"/>
      <c r="B579" s="245"/>
      <c r="C579" s="246"/>
      <c r="D579" s="37"/>
      <c r="E579" s="246"/>
      <c r="F579" s="247"/>
      <c r="G579" s="245"/>
      <c r="H579" s="246"/>
      <c r="I579" s="247"/>
      <c r="J579" s="37"/>
      <c r="K579" s="248"/>
      <c r="L579" s="248"/>
      <c r="M579" s="248"/>
      <c r="N579" s="248"/>
      <c r="O579" s="248"/>
      <c r="P579" s="249"/>
      <c r="Q579" s="250"/>
      <c r="R579" s="37"/>
      <c r="S579" s="37"/>
      <c r="T579" s="204"/>
      <c r="U579" s="37"/>
      <c r="V579" s="37"/>
      <c r="W579" s="37"/>
    </row>
    <row r="580" spans="1:23" ht="15.75" customHeight="1" x14ac:dyDescent="0.25">
      <c r="A580" s="244"/>
      <c r="B580" s="245"/>
      <c r="C580" s="246"/>
      <c r="D580" s="37"/>
      <c r="E580" s="246"/>
      <c r="F580" s="247"/>
      <c r="G580" s="245"/>
      <c r="H580" s="246"/>
      <c r="I580" s="247"/>
      <c r="J580" s="37"/>
      <c r="K580" s="248"/>
      <c r="L580" s="248"/>
      <c r="M580" s="248"/>
      <c r="N580" s="248"/>
      <c r="O580" s="248"/>
      <c r="P580" s="249"/>
      <c r="Q580" s="250"/>
      <c r="R580" s="37"/>
      <c r="S580" s="37"/>
      <c r="T580" s="204"/>
      <c r="U580" s="37"/>
      <c r="V580" s="37"/>
      <c r="W580" s="37"/>
    </row>
    <row r="581" spans="1:23" ht="15.75" customHeight="1" x14ac:dyDescent="0.25">
      <c r="A581" s="244"/>
      <c r="B581" s="245"/>
      <c r="C581" s="246"/>
      <c r="D581" s="37"/>
      <c r="E581" s="246"/>
      <c r="F581" s="247"/>
      <c r="G581" s="245"/>
      <c r="H581" s="246"/>
      <c r="I581" s="247"/>
      <c r="J581" s="37"/>
      <c r="K581" s="248"/>
      <c r="L581" s="248"/>
      <c r="M581" s="248"/>
      <c r="N581" s="248"/>
      <c r="O581" s="248"/>
      <c r="P581" s="249"/>
      <c r="Q581" s="250"/>
      <c r="R581" s="37"/>
      <c r="S581" s="37"/>
      <c r="T581" s="204"/>
      <c r="U581" s="37"/>
      <c r="V581" s="37"/>
      <c r="W581" s="37"/>
    </row>
    <row r="582" spans="1:23" ht="15.75" customHeight="1" x14ac:dyDescent="0.25">
      <c r="A582" s="244"/>
      <c r="B582" s="245"/>
      <c r="C582" s="246"/>
      <c r="D582" s="37"/>
      <c r="E582" s="246"/>
      <c r="F582" s="247"/>
      <c r="G582" s="245"/>
      <c r="H582" s="246"/>
      <c r="I582" s="247"/>
      <c r="J582" s="37"/>
      <c r="K582" s="248"/>
      <c r="L582" s="248"/>
      <c r="M582" s="248"/>
      <c r="N582" s="248"/>
      <c r="O582" s="248"/>
      <c r="P582" s="249"/>
      <c r="Q582" s="250"/>
      <c r="R582" s="37"/>
      <c r="S582" s="37"/>
      <c r="T582" s="204"/>
      <c r="U582" s="37"/>
      <c r="V582" s="37"/>
      <c r="W582" s="37"/>
    </row>
    <row r="583" spans="1:23" ht="15.75" customHeight="1" x14ac:dyDescent="0.25">
      <c r="A583" s="244"/>
      <c r="B583" s="245"/>
      <c r="C583" s="246"/>
      <c r="D583" s="37"/>
      <c r="E583" s="246"/>
      <c r="F583" s="247"/>
      <c r="G583" s="245"/>
      <c r="H583" s="246"/>
      <c r="I583" s="247"/>
      <c r="J583" s="37"/>
      <c r="K583" s="248"/>
      <c r="L583" s="248"/>
      <c r="M583" s="248"/>
      <c r="N583" s="248"/>
      <c r="O583" s="248"/>
      <c r="P583" s="249"/>
      <c r="Q583" s="250"/>
      <c r="R583" s="37"/>
      <c r="S583" s="37"/>
      <c r="T583" s="204"/>
      <c r="U583" s="37"/>
      <c r="V583" s="37"/>
      <c r="W583" s="37"/>
    </row>
    <row r="584" spans="1:23" ht="15.75" customHeight="1" x14ac:dyDescent="0.25">
      <c r="A584" s="244"/>
      <c r="B584" s="245"/>
      <c r="C584" s="246"/>
      <c r="D584" s="37"/>
      <c r="E584" s="246"/>
      <c r="F584" s="247"/>
      <c r="G584" s="245"/>
      <c r="H584" s="246"/>
      <c r="I584" s="247"/>
      <c r="J584" s="37"/>
      <c r="K584" s="248"/>
      <c r="L584" s="248"/>
      <c r="M584" s="248"/>
      <c r="N584" s="248"/>
      <c r="O584" s="248"/>
      <c r="P584" s="249"/>
      <c r="Q584" s="250"/>
      <c r="R584" s="37"/>
      <c r="S584" s="37"/>
      <c r="T584" s="204"/>
      <c r="U584" s="37"/>
      <c r="V584" s="37"/>
      <c r="W584" s="37"/>
    </row>
    <row r="585" spans="1:23" ht="15.75" customHeight="1" x14ac:dyDescent="0.25">
      <c r="A585" s="244"/>
      <c r="B585" s="245"/>
      <c r="C585" s="246"/>
      <c r="D585" s="37"/>
      <c r="E585" s="246"/>
      <c r="F585" s="247"/>
      <c r="G585" s="245"/>
      <c r="H585" s="246"/>
      <c r="I585" s="247"/>
      <c r="J585" s="37"/>
      <c r="K585" s="248"/>
      <c r="L585" s="248"/>
      <c r="M585" s="248"/>
      <c r="N585" s="248"/>
      <c r="O585" s="248"/>
      <c r="P585" s="249"/>
      <c r="Q585" s="250"/>
      <c r="R585" s="37"/>
      <c r="S585" s="37"/>
      <c r="T585" s="204"/>
      <c r="U585" s="37"/>
      <c r="V585" s="37"/>
      <c r="W585" s="37"/>
    </row>
    <row r="586" spans="1:23" ht="15.75" customHeight="1" x14ac:dyDescent="0.25">
      <c r="A586" s="244"/>
      <c r="B586" s="245"/>
      <c r="C586" s="246"/>
      <c r="D586" s="37"/>
      <c r="E586" s="246"/>
      <c r="F586" s="247"/>
      <c r="G586" s="245"/>
      <c r="H586" s="246"/>
      <c r="I586" s="247"/>
      <c r="J586" s="37"/>
      <c r="K586" s="248"/>
      <c r="L586" s="248"/>
      <c r="M586" s="248"/>
      <c r="N586" s="248"/>
      <c r="O586" s="248"/>
      <c r="P586" s="249"/>
      <c r="Q586" s="250"/>
      <c r="R586" s="37"/>
      <c r="S586" s="37"/>
      <c r="T586" s="204"/>
      <c r="U586" s="37"/>
      <c r="V586" s="37"/>
      <c r="W586" s="37"/>
    </row>
    <row r="587" spans="1:23" ht="15.75" customHeight="1" x14ac:dyDescent="0.25">
      <c r="A587" s="244"/>
      <c r="B587" s="245"/>
      <c r="C587" s="246"/>
      <c r="D587" s="37"/>
      <c r="E587" s="246"/>
      <c r="F587" s="247"/>
      <c r="G587" s="245"/>
      <c r="H587" s="246"/>
      <c r="I587" s="247"/>
      <c r="J587" s="37"/>
      <c r="K587" s="248"/>
      <c r="L587" s="248"/>
      <c r="M587" s="248"/>
      <c r="N587" s="248"/>
      <c r="O587" s="248"/>
      <c r="P587" s="249"/>
      <c r="Q587" s="250"/>
      <c r="R587" s="37"/>
      <c r="S587" s="37"/>
      <c r="T587" s="204"/>
      <c r="U587" s="37"/>
      <c r="V587" s="37"/>
      <c r="W587" s="37"/>
    </row>
    <row r="588" spans="1:23" ht="15.75" customHeight="1" x14ac:dyDescent="0.25">
      <c r="A588" s="244"/>
      <c r="B588" s="245"/>
      <c r="C588" s="246"/>
      <c r="D588" s="37"/>
      <c r="E588" s="246"/>
      <c r="F588" s="247"/>
      <c r="G588" s="245"/>
      <c r="H588" s="246"/>
      <c r="I588" s="247"/>
      <c r="J588" s="37"/>
      <c r="K588" s="248"/>
      <c r="L588" s="248"/>
      <c r="M588" s="248"/>
      <c r="N588" s="248"/>
      <c r="O588" s="248"/>
      <c r="P588" s="249"/>
      <c r="Q588" s="250"/>
      <c r="R588" s="37"/>
      <c r="S588" s="37"/>
      <c r="T588" s="204"/>
      <c r="U588" s="37"/>
      <c r="V588" s="37"/>
      <c r="W588" s="37"/>
    </row>
    <row r="589" spans="1:23" ht="15.75" customHeight="1" x14ac:dyDescent="0.25">
      <c r="A589" s="244"/>
      <c r="B589" s="245"/>
      <c r="C589" s="246"/>
      <c r="D589" s="37"/>
      <c r="E589" s="246"/>
      <c r="F589" s="247"/>
      <c r="G589" s="245"/>
      <c r="H589" s="246"/>
      <c r="I589" s="247"/>
      <c r="J589" s="37"/>
      <c r="K589" s="248"/>
      <c r="L589" s="248"/>
      <c r="M589" s="248"/>
      <c r="N589" s="248"/>
      <c r="O589" s="248"/>
      <c r="P589" s="249"/>
      <c r="Q589" s="250"/>
      <c r="R589" s="37"/>
      <c r="S589" s="37"/>
      <c r="T589" s="204"/>
      <c r="U589" s="37"/>
      <c r="V589" s="37"/>
      <c r="W589" s="37"/>
    </row>
    <row r="590" spans="1:23" ht="15.75" customHeight="1" x14ac:dyDescent="0.25">
      <c r="A590" s="244"/>
      <c r="B590" s="245"/>
      <c r="C590" s="246"/>
      <c r="D590" s="37"/>
      <c r="E590" s="246"/>
      <c r="F590" s="247"/>
      <c r="G590" s="245"/>
      <c r="H590" s="246"/>
      <c r="I590" s="247"/>
      <c r="J590" s="37"/>
      <c r="K590" s="248"/>
      <c r="L590" s="248"/>
      <c r="M590" s="248"/>
      <c r="N590" s="248"/>
      <c r="O590" s="248"/>
      <c r="P590" s="249"/>
      <c r="Q590" s="250"/>
      <c r="R590" s="37"/>
      <c r="S590" s="37"/>
      <c r="T590" s="204"/>
      <c r="U590" s="37"/>
      <c r="V590" s="37"/>
      <c r="W590" s="37"/>
    </row>
    <row r="591" spans="1:23" ht="15.75" customHeight="1" x14ac:dyDescent="0.25">
      <c r="A591" s="244"/>
      <c r="B591" s="245"/>
      <c r="C591" s="246"/>
      <c r="D591" s="37"/>
      <c r="E591" s="246"/>
      <c r="F591" s="247"/>
      <c r="G591" s="245"/>
      <c r="H591" s="246"/>
      <c r="I591" s="247"/>
      <c r="J591" s="37"/>
      <c r="K591" s="248"/>
      <c r="L591" s="248"/>
      <c r="M591" s="248"/>
      <c r="N591" s="248"/>
      <c r="O591" s="248"/>
      <c r="P591" s="249"/>
      <c r="Q591" s="250"/>
      <c r="R591" s="37"/>
      <c r="S591" s="37"/>
      <c r="T591" s="204"/>
      <c r="U591" s="37"/>
      <c r="V591" s="37"/>
      <c r="W591" s="37"/>
    </row>
    <row r="592" spans="1:23" ht="15.75" customHeight="1" x14ac:dyDescent="0.25">
      <c r="A592" s="244"/>
      <c r="B592" s="245"/>
      <c r="C592" s="246"/>
      <c r="D592" s="37"/>
      <c r="E592" s="246"/>
      <c r="F592" s="247"/>
      <c r="G592" s="245"/>
      <c r="H592" s="246"/>
      <c r="I592" s="247"/>
      <c r="J592" s="37"/>
      <c r="K592" s="248"/>
      <c r="L592" s="248"/>
      <c r="M592" s="248"/>
      <c r="N592" s="248"/>
      <c r="O592" s="248"/>
      <c r="P592" s="249"/>
      <c r="Q592" s="250"/>
      <c r="R592" s="37"/>
      <c r="S592" s="37"/>
      <c r="T592" s="204"/>
      <c r="U592" s="37"/>
      <c r="V592" s="37"/>
      <c r="W592" s="37"/>
    </row>
    <row r="593" spans="1:23" ht="15.75" customHeight="1" x14ac:dyDescent="0.25">
      <c r="A593" s="244"/>
      <c r="B593" s="245"/>
      <c r="C593" s="246"/>
      <c r="D593" s="37"/>
      <c r="E593" s="246"/>
      <c r="F593" s="247"/>
      <c r="G593" s="245"/>
      <c r="H593" s="246"/>
      <c r="I593" s="247"/>
      <c r="J593" s="37"/>
      <c r="K593" s="248"/>
      <c r="L593" s="248"/>
      <c r="M593" s="248"/>
      <c r="N593" s="248"/>
      <c r="O593" s="248"/>
      <c r="P593" s="249"/>
      <c r="Q593" s="250"/>
      <c r="R593" s="37"/>
      <c r="S593" s="37"/>
      <c r="T593" s="204"/>
      <c r="U593" s="37"/>
      <c r="V593" s="37"/>
      <c r="W593" s="37"/>
    </row>
    <row r="594" spans="1:23" ht="15.75" customHeight="1" x14ac:dyDescent="0.25">
      <c r="A594" s="244"/>
      <c r="B594" s="245"/>
      <c r="C594" s="246"/>
      <c r="D594" s="37"/>
      <c r="E594" s="246"/>
      <c r="F594" s="247"/>
      <c r="G594" s="245"/>
      <c r="H594" s="246"/>
      <c r="I594" s="247"/>
      <c r="J594" s="37"/>
      <c r="K594" s="248"/>
      <c r="L594" s="248"/>
      <c r="M594" s="248"/>
      <c r="N594" s="248"/>
      <c r="O594" s="248"/>
      <c r="P594" s="249"/>
      <c r="Q594" s="250"/>
      <c r="R594" s="37"/>
      <c r="S594" s="37"/>
      <c r="T594" s="204"/>
      <c r="U594" s="37"/>
      <c r="V594" s="37"/>
      <c r="W594" s="37"/>
    </row>
    <row r="595" spans="1:23" ht="15.75" customHeight="1" x14ac:dyDescent="0.25">
      <c r="A595" s="244"/>
      <c r="B595" s="245"/>
      <c r="C595" s="246"/>
      <c r="D595" s="37"/>
      <c r="E595" s="246"/>
      <c r="F595" s="247"/>
      <c r="G595" s="245"/>
      <c r="H595" s="246"/>
      <c r="I595" s="247"/>
      <c r="J595" s="37"/>
      <c r="K595" s="248"/>
      <c r="L595" s="248"/>
      <c r="M595" s="248"/>
      <c r="N595" s="248"/>
      <c r="O595" s="248"/>
      <c r="P595" s="249"/>
      <c r="Q595" s="250"/>
      <c r="R595" s="37"/>
      <c r="S595" s="37"/>
      <c r="T595" s="204"/>
      <c r="U595" s="37"/>
      <c r="V595" s="37"/>
      <c r="W595" s="37"/>
    </row>
    <row r="596" spans="1:23" ht="15.75" customHeight="1" x14ac:dyDescent="0.25">
      <c r="A596" s="244"/>
      <c r="B596" s="245"/>
      <c r="C596" s="246"/>
      <c r="D596" s="37"/>
      <c r="E596" s="246"/>
      <c r="F596" s="247"/>
      <c r="G596" s="245"/>
      <c r="H596" s="246"/>
      <c r="I596" s="247"/>
      <c r="J596" s="37"/>
      <c r="K596" s="248"/>
      <c r="L596" s="248"/>
      <c r="M596" s="248"/>
      <c r="N596" s="248"/>
      <c r="O596" s="248"/>
      <c r="P596" s="249"/>
      <c r="Q596" s="250"/>
      <c r="R596" s="37"/>
      <c r="S596" s="37"/>
      <c r="T596" s="204"/>
      <c r="U596" s="37"/>
      <c r="V596" s="37"/>
      <c r="W596" s="37"/>
    </row>
    <row r="597" spans="1:23" ht="15.75" customHeight="1" x14ac:dyDescent="0.25">
      <c r="A597" s="244"/>
      <c r="B597" s="245"/>
      <c r="C597" s="246"/>
      <c r="D597" s="37"/>
      <c r="E597" s="246"/>
      <c r="F597" s="247"/>
      <c r="G597" s="245"/>
      <c r="H597" s="246"/>
      <c r="I597" s="247"/>
      <c r="J597" s="37"/>
      <c r="K597" s="248"/>
      <c r="L597" s="248"/>
      <c r="M597" s="248"/>
      <c r="N597" s="248"/>
      <c r="O597" s="248"/>
      <c r="P597" s="249"/>
      <c r="Q597" s="250"/>
      <c r="R597" s="37"/>
      <c r="S597" s="37"/>
      <c r="T597" s="204"/>
      <c r="U597" s="37"/>
      <c r="V597" s="37"/>
      <c r="W597" s="37"/>
    </row>
    <row r="598" spans="1:23" ht="15.75" customHeight="1" x14ac:dyDescent="0.25">
      <c r="A598" s="244"/>
      <c r="B598" s="245"/>
      <c r="C598" s="246"/>
      <c r="D598" s="37"/>
      <c r="E598" s="246"/>
      <c r="F598" s="247"/>
      <c r="G598" s="245"/>
      <c r="H598" s="246"/>
      <c r="I598" s="247"/>
      <c r="J598" s="37"/>
      <c r="K598" s="248"/>
      <c r="L598" s="248"/>
      <c r="M598" s="248"/>
      <c r="N598" s="248"/>
      <c r="O598" s="248"/>
      <c r="P598" s="249"/>
      <c r="Q598" s="250"/>
      <c r="R598" s="37"/>
      <c r="S598" s="37"/>
      <c r="T598" s="204"/>
      <c r="U598" s="37"/>
      <c r="V598" s="37"/>
      <c r="W598" s="37"/>
    </row>
    <row r="599" spans="1:23" ht="15.75" customHeight="1" x14ac:dyDescent="0.25">
      <c r="A599" s="244"/>
      <c r="B599" s="245"/>
      <c r="C599" s="246"/>
      <c r="D599" s="37"/>
      <c r="E599" s="246"/>
      <c r="F599" s="247"/>
      <c r="G599" s="245"/>
      <c r="H599" s="246"/>
      <c r="I599" s="247"/>
      <c r="J599" s="37"/>
      <c r="K599" s="248"/>
      <c r="L599" s="248"/>
      <c r="M599" s="248"/>
      <c r="N599" s="248"/>
      <c r="O599" s="248"/>
      <c r="P599" s="249"/>
      <c r="Q599" s="250"/>
      <c r="R599" s="37"/>
      <c r="S599" s="37"/>
      <c r="T599" s="204"/>
      <c r="U599" s="37"/>
      <c r="V599" s="37"/>
      <c r="W599" s="37"/>
    </row>
    <row r="600" spans="1:23" ht="15.75" customHeight="1" x14ac:dyDescent="0.25">
      <c r="A600" s="244"/>
      <c r="B600" s="245"/>
      <c r="C600" s="246"/>
      <c r="D600" s="37"/>
      <c r="E600" s="246"/>
      <c r="F600" s="247"/>
      <c r="G600" s="245"/>
      <c r="H600" s="246"/>
      <c r="I600" s="247"/>
      <c r="J600" s="37"/>
      <c r="K600" s="248"/>
      <c r="L600" s="248"/>
      <c r="M600" s="248"/>
      <c r="N600" s="248"/>
      <c r="O600" s="248"/>
      <c r="P600" s="249"/>
      <c r="Q600" s="250"/>
      <c r="R600" s="37"/>
      <c r="S600" s="37"/>
      <c r="T600" s="204"/>
      <c r="U600" s="37"/>
      <c r="V600" s="37"/>
      <c r="W600" s="37"/>
    </row>
    <row r="601" spans="1:23" ht="15.75" customHeight="1" x14ac:dyDescent="0.25">
      <c r="A601" s="244"/>
      <c r="B601" s="245"/>
      <c r="C601" s="246"/>
      <c r="D601" s="37"/>
      <c r="E601" s="246"/>
      <c r="F601" s="247"/>
      <c r="G601" s="245"/>
      <c r="H601" s="246"/>
      <c r="I601" s="247"/>
      <c r="J601" s="37"/>
      <c r="K601" s="248"/>
      <c r="L601" s="248"/>
      <c r="M601" s="248"/>
      <c r="N601" s="248"/>
      <c r="O601" s="248"/>
      <c r="P601" s="249"/>
      <c r="Q601" s="250"/>
      <c r="R601" s="37"/>
      <c r="S601" s="37"/>
      <c r="T601" s="204"/>
      <c r="U601" s="37"/>
      <c r="V601" s="37"/>
      <c r="W601" s="37"/>
    </row>
    <row r="602" spans="1:23" ht="15.75" customHeight="1" x14ac:dyDescent="0.25">
      <c r="A602" s="244"/>
      <c r="B602" s="245"/>
      <c r="C602" s="246"/>
      <c r="D602" s="37"/>
      <c r="E602" s="246"/>
      <c r="F602" s="247"/>
      <c r="G602" s="245"/>
      <c r="H602" s="246"/>
      <c r="I602" s="247"/>
      <c r="J602" s="37"/>
      <c r="K602" s="248"/>
      <c r="L602" s="248"/>
      <c r="M602" s="248"/>
      <c r="N602" s="248"/>
      <c r="O602" s="248"/>
      <c r="P602" s="249"/>
      <c r="Q602" s="250"/>
      <c r="R602" s="37"/>
      <c r="S602" s="37"/>
      <c r="T602" s="204"/>
      <c r="U602" s="37"/>
      <c r="V602" s="37"/>
      <c r="W602" s="37"/>
    </row>
    <row r="603" spans="1:23" ht="15.75" customHeight="1" x14ac:dyDescent="0.25">
      <c r="A603" s="244"/>
      <c r="B603" s="245"/>
      <c r="C603" s="246"/>
      <c r="D603" s="37"/>
      <c r="E603" s="246"/>
      <c r="F603" s="247"/>
      <c r="G603" s="245"/>
      <c r="H603" s="246"/>
      <c r="I603" s="247"/>
      <c r="J603" s="37"/>
      <c r="K603" s="248"/>
      <c r="L603" s="248"/>
      <c r="M603" s="248"/>
      <c r="N603" s="248"/>
      <c r="O603" s="248"/>
      <c r="P603" s="249"/>
      <c r="Q603" s="250"/>
      <c r="R603" s="37"/>
      <c r="S603" s="37"/>
      <c r="T603" s="204"/>
      <c r="U603" s="37"/>
      <c r="V603" s="37"/>
      <c r="W603" s="37"/>
    </row>
    <row r="604" spans="1:23" ht="15.75" customHeight="1" x14ac:dyDescent="0.25">
      <c r="A604" s="244"/>
      <c r="B604" s="245"/>
      <c r="C604" s="246"/>
      <c r="D604" s="37"/>
      <c r="E604" s="246"/>
      <c r="F604" s="247"/>
      <c r="G604" s="245"/>
      <c r="H604" s="246"/>
      <c r="I604" s="247"/>
      <c r="J604" s="37"/>
      <c r="K604" s="248"/>
      <c r="L604" s="248"/>
      <c r="M604" s="248"/>
      <c r="N604" s="248"/>
      <c r="O604" s="248"/>
      <c r="P604" s="249"/>
      <c r="Q604" s="250"/>
      <c r="R604" s="37"/>
      <c r="S604" s="37"/>
      <c r="T604" s="204"/>
      <c r="U604" s="37"/>
      <c r="V604" s="37"/>
      <c r="W604" s="37"/>
    </row>
    <row r="605" spans="1:23" ht="15.75" customHeight="1" x14ac:dyDescent="0.25">
      <c r="A605" s="244"/>
      <c r="B605" s="245"/>
      <c r="C605" s="246"/>
      <c r="D605" s="37"/>
      <c r="E605" s="246"/>
      <c r="F605" s="247"/>
      <c r="G605" s="245"/>
      <c r="H605" s="246"/>
      <c r="I605" s="247"/>
      <c r="J605" s="37"/>
      <c r="K605" s="248"/>
      <c r="L605" s="248"/>
      <c r="M605" s="248"/>
      <c r="N605" s="248"/>
      <c r="O605" s="248"/>
      <c r="P605" s="249"/>
      <c r="Q605" s="250"/>
      <c r="R605" s="37"/>
      <c r="S605" s="37"/>
      <c r="T605" s="204"/>
      <c r="U605" s="37"/>
      <c r="V605" s="37"/>
      <c r="W605" s="37"/>
    </row>
    <row r="606" spans="1:23" ht="15.75" customHeight="1" x14ac:dyDescent="0.25">
      <c r="A606" s="244"/>
      <c r="B606" s="245"/>
      <c r="C606" s="246"/>
      <c r="D606" s="37"/>
      <c r="E606" s="246"/>
      <c r="F606" s="247"/>
      <c r="G606" s="245"/>
      <c r="H606" s="246"/>
      <c r="I606" s="247"/>
      <c r="J606" s="37"/>
      <c r="K606" s="248"/>
      <c r="L606" s="248"/>
      <c r="M606" s="248"/>
      <c r="N606" s="248"/>
      <c r="O606" s="248"/>
      <c r="P606" s="249"/>
      <c r="Q606" s="250"/>
      <c r="R606" s="37"/>
      <c r="S606" s="37"/>
      <c r="T606" s="204"/>
      <c r="U606" s="37"/>
      <c r="V606" s="37"/>
      <c r="W606" s="37"/>
    </row>
    <row r="607" spans="1:23" ht="15.75" customHeight="1" x14ac:dyDescent="0.25">
      <c r="A607" s="244"/>
      <c r="B607" s="245"/>
      <c r="C607" s="246"/>
      <c r="D607" s="37"/>
      <c r="E607" s="246"/>
      <c r="F607" s="247"/>
      <c r="G607" s="245"/>
      <c r="H607" s="246"/>
      <c r="I607" s="247"/>
      <c r="J607" s="37"/>
      <c r="K607" s="248"/>
      <c r="L607" s="248"/>
      <c r="M607" s="248"/>
      <c r="N607" s="248"/>
      <c r="O607" s="248"/>
      <c r="P607" s="249"/>
      <c r="Q607" s="250"/>
      <c r="R607" s="37"/>
      <c r="S607" s="37"/>
      <c r="T607" s="204"/>
      <c r="U607" s="37"/>
      <c r="V607" s="37"/>
      <c r="W607" s="37"/>
    </row>
    <row r="608" spans="1:23" ht="15.75" customHeight="1" x14ac:dyDescent="0.25">
      <c r="A608" s="244"/>
      <c r="B608" s="245"/>
      <c r="C608" s="246"/>
      <c r="D608" s="37"/>
      <c r="E608" s="246"/>
      <c r="F608" s="247"/>
      <c r="G608" s="245"/>
      <c r="H608" s="246"/>
      <c r="I608" s="247"/>
      <c r="J608" s="37"/>
      <c r="K608" s="248"/>
      <c r="L608" s="248"/>
      <c r="M608" s="248"/>
      <c r="N608" s="248"/>
      <c r="O608" s="248"/>
      <c r="P608" s="249"/>
      <c r="Q608" s="250"/>
      <c r="R608" s="37"/>
      <c r="S608" s="37"/>
      <c r="T608" s="204"/>
      <c r="U608" s="37"/>
      <c r="V608" s="37"/>
      <c r="W608" s="37"/>
    </row>
    <row r="609" spans="1:23" ht="15.75" customHeight="1" x14ac:dyDescent="0.25">
      <c r="A609" s="244"/>
      <c r="B609" s="245"/>
      <c r="C609" s="246"/>
      <c r="D609" s="37"/>
      <c r="E609" s="246"/>
      <c r="F609" s="247"/>
      <c r="G609" s="245"/>
      <c r="H609" s="246"/>
      <c r="I609" s="247"/>
      <c r="J609" s="37"/>
      <c r="K609" s="248"/>
      <c r="L609" s="248"/>
      <c r="M609" s="248"/>
      <c r="N609" s="248"/>
      <c r="O609" s="248"/>
      <c r="P609" s="249"/>
      <c r="Q609" s="250"/>
      <c r="R609" s="37"/>
      <c r="S609" s="37"/>
      <c r="T609" s="204"/>
      <c r="U609" s="37"/>
      <c r="V609" s="37"/>
      <c r="W609" s="37"/>
    </row>
    <row r="610" spans="1:23" ht="15.75" customHeight="1" x14ac:dyDescent="0.25">
      <c r="A610" s="244"/>
      <c r="B610" s="245"/>
      <c r="C610" s="246"/>
      <c r="D610" s="37"/>
      <c r="E610" s="246"/>
      <c r="F610" s="247"/>
      <c r="G610" s="245"/>
      <c r="H610" s="246"/>
      <c r="I610" s="247"/>
      <c r="J610" s="37"/>
      <c r="K610" s="248"/>
      <c r="L610" s="248"/>
      <c r="M610" s="248"/>
      <c r="N610" s="248"/>
      <c r="O610" s="248"/>
      <c r="P610" s="249"/>
      <c r="Q610" s="250"/>
      <c r="R610" s="37"/>
      <c r="S610" s="37"/>
      <c r="T610" s="204"/>
      <c r="U610" s="37"/>
      <c r="V610" s="37"/>
      <c r="W610" s="37"/>
    </row>
    <row r="611" spans="1:23" ht="15.75" customHeight="1" x14ac:dyDescent="0.25">
      <c r="A611" s="244"/>
      <c r="B611" s="245"/>
      <c r="C611" s="246"/>
      <c r="D611" s="37"/>
      <c r="E611" s="246"/>
      <c r="F611" s="247"/>
      <c r="G611" s="245"/>
      <c r="H611" s="246"/>
      <c r="I611" s="247"/>
      <c r="J611" s="37"/>
      <c r="K611" s="248"/>
      <c r="L611" s="248"/>
      <c r="M611" s="248"/>
      <c r="N611" s="248"/>
      <c r="O611" s="248"/>
      <c r="P611" s="249"/>
      <c r="Q611" s="250"/>
      <c r="R611" s="37"/>
      <c r="S611" s="37"/>
      <c r="T611" s="204"/>
      <c r="U611" s="37"/>
      <c r="V611" s="37"/>
      <c r="W611" s="37"/>
    </row>
    <row r="612" spans="1:23" ht="15.75" customHeight="1" x14ac:dyDescent="0.25">
      <c r="A612" s="244"/>
      <c r="B612" s="245"/>
      <c r="C612" s="246"/>
      <c r="D612" s="37"/>
      <c r="E612" s="246"/>
      <c r="F612" s="247"/>
      <c r="G612" s="245"/>
      <c r="H612" s="246"/>
      <c r="I612" s="247"/>
      <c r="J612" s="37"/>
      <c r="K612" s="248"/>
      <c r="L612" s="248"/>
      <c r="M612" s="248"/>
      <c r="N612" s="248"/>
      <c r="O612" s="248"/>
      <c r="P612" s="249"/>
      <c r="Q612" s="250"/>
      <c r="R612" s="37"/>
      <c r="S612" s="37"/>
      <c r="T612" s="204"/>
      <c r="U612" s="37"/>
      <c r="V612" s="37"/>
      <c r="W612" s="37"/>
    </row>
    <row r="613" spans="1:23" ht="15.75" customHeight="1" x14ac:dyDescent="0.25">
      <c r="A613" s="244"/>
      <c r="B613" s="245"/>
      <c r="C613" s="246"/>
      <c r="D613" s="37"/>
      <c r="E613" s="246"/>
      <c r="F613" s="247"/>
      <c r="G613" s="245"/>
      <c r="H613" s="246"/>
      <c r="I613" s="247"/>
      <c r="J613" s="37"/>
      <c r="K613" s="248"/>
      <c r="L613" s="248"/>
      <c r="M613" s="248"/>
      <c r="N613" s="248"/>
      <c r="O613" s="248"/>
      <c r="P613" s="249"/>
      <c r="Q613" s="250"/>
      <c r="R613" s="37"/>
      <c r="S613" s="37"/>
      <c r="T613" s="204"/>
      <c r="U613" s="37"/>
      <c r="V613" s="37"/>
      <c r="W613" s="37"/>
    </row>
    <row r="614" spans="1:23" ht="15.75" customHeight="1" x14ac:dyDescent="0.25">
      <c r="A614" s="244"/>
      <c r="B614" s="245"/>
      <c r="C614" s="246"/>
      <c r="D614" s="37"/>
      <c r="E614" s="246"/>
      <c r="F614" s="247"/>
      <c r="G614" s="245"/>
      <c r="H614" s="246"/>
      <c r="I614" s="247"/>
      <c r="J614" s="37"/>
      <c r="K614" s="248"/>
      <c r="L614" s="248"/>
      <c r="M614" s="248"/>
      <c r="N614" s="248"/>
      <c r="O614" s="248"/>
      <c r="P614" s="249"/>
      <c r="Q614" s="250"/>
      <c r="R614" s="37"/>
      <c r="S614" s="37"/>
      <c r="T614" s="204"/>
      <c r="U614" s="37"/>
      <c r="V614" s="37"/>
      <c r="W614" s="37"/>
    </row>
    <row r="615" spans="1:23" ht="15.75" customHeight="1" x14ac:dyDescent="0.25">
      <c r="A615" s="244"/>
      <c r="B615" s="245"/>
      <c r="C615" s="246"/>
      <c r="D615" s="37"/>
      <c r="E615" s="246"/>
      <c r="F615" s="247"/>
      <c r="G615" s="245"/>
      <c r="H615" s="246"/>
      <c r="I615" s="247"/>
      <c r="J615" s="37"/>
      <c r="K615" s="248"/>
      <c r="L615" s="248"/>
      <c r="M615" s="248"/>
      <c r="N615" s="248"/>
      <c r="O615" s="248"/>
      <c r="P615" s="249"/>
      <c r="Q615" s="250"/>
      <c r="R615" s="37"/>
      <c r="S615" s="37"/>
      <c r="T615" s="204"/>
      <c r="U615" s="37"/>
      <c r="V615" s="37"/>
      <c r="W615" s="37"/>
    </row>
    <row r="616" spans="1:23" ht="15.75" customHeight="1" x14ac:dyDescent="0.25">
      <c r="A616" s="244"/>
      <c r="B616" s="245"/>
      <c r="C616" s="246"/>
      <c r="D616" s="37"/>
      <c r="E616" s="246"/>
      <c r="F616" s="247"/>
      <c r="G616" s="245"/>
      <c r="H616" s="246"/>
      <c r="I616" s="247"/>
      <c r="J616" s="37"/>
      <c r="K616" s="248"/>
      <c r="L616" s="248"/>
      <c r="M616" s="248"/>
      <c r="N616" s="248"/>
      <c r="O616" s="248"/>
      <c r="P616" s="249"/>
      <c r="Q616" s="250"/>
      <c r="R616" s="37"/>
      <c r="S616" s="37"/>
      <c r="T616" s="204"/>
      <c r="U616" s="37"/>
      <c r="V616" s="37"/>
      <c r="W616" s="37"/>
    </row>
    <row r="617" spans="1:23" ht="15.75" customHeight="1" x14ac:dyDescent="0.25">
      <c r="A617" s="244"/>
      <c r="B617" s="245"/>
      <c r="C617" s="246"/>
      <c r="D617" s="37"/>
      <c r="E617" s="246"/>
      <c r="F617" s="247"/>
      <c r="G617" s="245"/>
      <c r="H617" s="246"/>
      <c r="I617" s="247"/>
      <c r="J617" s="37"/>
      <c r="K617" s="248"/>
      <c r="L617" s="248"/>
      <c r="M617" s="248"/>
      <c r="N617" s="248"/>
      <c r="O617" s="248"/>
      <c r="P617" s="249"/>
      <c r="Q617" s="250"/>
      <c r="R617" s="37"/>
      <c r="S617" s="37"/>
      <c r="T617" s="204"/>
      <c r="U617" s="37"/>
      <c r="V617" s="37"/>
      <c r="W617" s="37"/>
    </row>
    <row r="618" spans="1:23" ht="15.75" customHeight="1" x14ac:dyDescent="0.25">
      <c r="A618" s="244"/>
      <c r="B618" s="245"/>
      <c r="C618" s="246"/>
      <c r="D618" s="37"/>
      <c r="E618" s="246"/>
      <c r="F618" s="247"/>
      <c r="G618" s="245"/>
      <c r="H618" s="246"/>
      <c r="I618" s="247"/>
      <c r="J618" s="37"/>
      <c r="K618" s="248"/>
      <c r="L618" s="248"/>
      <c r="M618" s="248"/>
      <c r="N618" s="248"/>
      <c r="O618" s="248"/>
      <c r="P618" s="249"/>
      <c r="Q618" s="250"/>
      <c r="R618" s="37"/>
      <c r="S618" s="37"/>
      <c r="T618" s="204"/>
      <c r="U618" s="37"/>
      <c r="V618" s="37"/>
      <c r="W618" s="37"/>
    </row>
    <row r="619" spans="1:23" ht="15.75" customHeight="1" x14ac:dyDescent="0.25">
      <c r="A619" s="244"/>
      <c r="B619" s="245"/>
      <c r="C619" s="246"/>
      <c r="D619" s="37"/>
      <c r="E619" s="246"/>
      <c r="F619" s="247"/>
      <c r="G619" s="245"/>
      <c r="H619" s="246"/>
      <c r="I619" s="247"/>
      <c r="J619" s="37"/>
      <c r="K619" s="248"/>
      <c r="L619" s="248"/>
      <c r="M619" s="248"/>
      <c r="N619" s="248"/>
      <c r="O619" s="248"/>
      <c r="P619" s="249"/>
      <c r="Q619" s="250"/>
      <c r="R619" s="37"/>
      <c r="S619" s="37"/>
      <c r="T619" s="204"/>
      <c r="U619" s="37"/>
      <c r="V619" s="37"/>
      <c r="W619" s="37"/>
    </row>
    <row r="620" spans="1:23" ht="15.75" customHeight="1" x14ac:dyDescent="0.25">
      <c r="A620" s="244"/>
      <c r="B620" s="245"/>
      <c r="C620" s="246"/>
      <c r="D620" s="37"/>
      <c r="E620" s="246"/>
      <c r="F620" s="247"/>
      <c r="G620" s="245"/>
      <c r="H620" s="246"/>
      <c r="I620" s="247"/>
      <c r="J620" s="37"/>
      <c r="K620" s="248"/>
      <c r="L620" s="248"/>
      <c r="M620" s="248"/>
      <c r="N620" s="248"/>
      <c r="O620" s="248"/>
      <c r="P620" s="249"/>
      <c r="Q620" s="250"/>
      <c r="R620" s="37"/>
      <c r="S620" s="37"/>
      <c r="T620" s="204"/>
      <c r="U620" s="37"/>
      <c r="V620" s="37"/>
      <c r="W620" s="37"/>
    </row>
    <row r="621" spans="1:23" ht="15.75" customHeight="1" x14ac:dyDescent="0.25">
      <c r="A621" s="244"/>
      <c r="B621" s="245"/>
      <c r="C621" s="246"/>
      <c r="D621" s="37"/>
      <c r="E621" s="246"/>
      <c r="F621" s="247"/>
      <c r="G621" s="245"/>
      <c r="H621" s="246"/>
      <c r="I621" s="247"/>
      <c r="J621" s="37"/>
      <c r="K621" s="248"/>
      <c r="L621" s="248"/>
      <c r="M621" s="248"/>
      <c r="N621" s="248"/>
      <c r="O621" s="248"/>
      <c r="P621" s="249"/>
      <c r="Q621" s="250"/>
      <c r="R621" s="37"/>
      <c r="S621" s="37"/>
      <c r="T621" s="204"/>
      <c r="U621" s="37"/>
      <c r="V621" s="37"/>
      <c r="W621" s="37"/>
    </row>
    <row r="622" spans="1:23" ht="15.75" customHeight="1" x14ac:dyDescent="0.25">
      <c r="A622" s="244"/>
      <c r="B622" s="245"/>
      <c r="C622" s="246"/>
      <c r="D622" s="37"/>
      <c r="E622" s="246"/>
      <c r="F622" s="247"/>
      <c r="G622" s="245"/>
      <c r="H622" s="246"/>
      <c r="I622" s="247"/>
      <c r="J622" s="37"/>
      <c r="K622" s="248"/>
      <c r="L622" s="248"/>
      <c r="M622" s="248"/>
      <c r="N622" s="248"/>
      <c r="O622" s="248"/>
      <c r="P622" s="249"/>
      <c r="Q622" s="250"/>
      <c r="R622" s="37"/>
      <c r="S622" s="37"/>
      <c r="T622" s="204"/>
      <c r="U622" s="37"/>
      <c r="V622" s="37"/>
      <c r="W622" s="37"/>
    </row>
    <row r="623" spans="1:23" ht="15.75" customHeight="1" x14ac:dyDescent="0.25">
      <c r="A623" s="244"/>
      <c r="B623" s="245"/>
      <c r="C623" s="246"/>
      <c r="D623" s="37"/>
      <c r="E623" s="246"/>
      <c r="F623" s="247"/>
      <c r="G623" s="245"/>
      <c r="H623" s="246"/>
      <c r="I623" s="247"/>
      <c r="J623" s="37"/>
      <c r="K623" s="248"/>
      <c r="L623" s="248"/>
      <c r="M623" s="248"/>
      <c r="N623" s="248"/>
      <c r="O623" s="248"/>
      <c r="P623" s="249"/>
      <c r="Q623" s="250"/>
      <c r="R623" s="37"/>
      <c r="S623" s="37"/>
      <c r="T623" s="204"/>
      <c r="U623" s="37"/>
      <c r="V623" s="37"/>
      <c r="W623" s="37"/>
    </row>
    <row r="624" spans="1:23" ht="15.75" customHeight="1" x14ac:dyDescent="0.25">
      <c r="A624" s="244"/>
      <c r="B624" s="245"/>
      <c r="C624" s="246"/>
      <c r="D624" s="37"/>
      <c r="E624" s="246"/>
      <c r="F624" s="247"/>
      <c r="G624" s="245"/>
      <c r="H624" s="246"/>
      <c r="I624" s="247"/>
      <c r="J624" s="37"/>
      <c r="K624" s="248"/>
      <c r="L624" s="248"/>
      <c r="M624" s="248"/>
      <c r="N624" s="248"/>
      <c r="O624" s="248"/>
      <c r="P624" s="249"/>
      <c r="Q624" s="250"/>
      <c r="R624" s="37"/>
      <c r="S624" s="37"/>
      <c r="T624" s="204"/>
      <c r="U624" s="37"/>
      <c r="V624" s="37"/>
      <c r="W624" s="37"/>
    </row>
    <row r="625" spans="1:23" ht="15.75" customHeight="1" x14ac:dyDescent="0.25">
      <c r="A625" s="244"/>
      <c r="B625" s="245"/>
      <c r="C625" s="246"/>
      <c r="D625" s="37"/>
      <c r="E625" s="246"/>
      <c r="F625" s="247"/>
      <c r="G625" s="245"/>
      <c r="H625" s="246"/>
      <c r="I625" s="247"/>
      <c r="J625" s="37"/>
      <c r="K625" s="248"/>
      <c r="L625" s="248"/>
      <c r="M625" s="248"/>
      <c r="N625" s="248"/>
      <c r="O625" s="248"/>
      <c r="P625" s="249"/>
      <c r="Q625" s="250"/>
      <c r="R625" s="37"/>
      <c r="S625" s="37"/>
      <c r="T625" s="204"/>
      <c r="U625" s="37"/>
      <c r="V625" s="37"/>
      <c r="W625" s="37"/>
    </row>
    <row r="626" spans="1:23" ht="15.75" customHeight="1" x14ac:dyDescent="0.25">
      <c r="A626" s="244"/>
      <c r="B626" s="245"/>
      <c r="C626" s="246"/>
      <c r="D626" s="37"/>
      <c r="E626" s="246"/>
      <c r="F626" s="247"/>
      <c r="G626" s="245"/>
      <c r="H626" s="246"/>
      <c r="I626" s="247"/>
      <c r="J626" s="37"/>
      <c r="K626" s="248"/>
      <c r="L626" s="248"/>
      <c r="M626" s="248"/>
      <c r="N626" s="248"/>
      <c r="O626" s="248"/>
      <c r="P626" s="249"/>
      <c r="Q626" s="250"/>
      <c r="R626" s="37"/>
      <c r="S626" s="37"/>
      <c r="T626" s="204"/>
      <c r="U626" s="37"/>
      <c r="V626" s="37"/>
      <c r="W626" s="37"/>
    </row>
    <row r="627" spans="1:23" ht="15.75" customHeight="1" x14ac:dyDescent="0.25">
      <c r="A627" s="244"/>
      <c r="B627" s="245"/>
      <c r="C627" s="246"/>
      <c r="D627" s="37"/>
      <c r="E627" s="246"/>
      <c r="F627" s="247"/>
      <c r="G627" s="245"/>
      <c r="H627" s="246"/>
      <c r="I627" s="247"/>
      <c r="J627" s="37"/>
      <c r="K627" s="248"/>
      <c r="L627" s="248"/>
      <c r="M627" s="248"/>
      <c r="N627" s="248"/>
      <c r="O627" s="248"/>
      <c r="P627" s="249"/>
      <c r="Q627" s="250"/>
      <c r="R627" s="37"/>
      <c r="S627" s="37"/>
      <c r="T627" s="204"/>
      <c r="U627" s="37"/>
      <c r="V627" s="37"/>
      <c r="W627" s="37"/>
    </row>
    <row r="628" spans="1:23" ht="15.75" customHeight="1" x14ac:dyDescent="0.25">
      <c r="A628" s="244"/>
      <c r="B628" s="245"/>
      <c r="C628" s="246"/>
      <c r="D628" s="37"/>
      <c r="E628" s="246"/>
      <c r="F628" s="247"/>
      <c r="G628" s="245"/>
      <c r="H628" s="246"/>
      <c r="I628" s="247"/>
      <c r="J628" s="37"/>
      <c r="K628" s="248"/>
      <c r="L628" s="248"/>
      <c r="M628" s="248"/>
      <c r="N628" s="248"/>
      <c r="O628" s="248"/>
      <c r="P628" s="249"/>
      <c r="Q628" s="250"/>
      <c r="R628" s="37"/>
      <c r="S628" s="37"/>
      <c r="T628" s="204"/>
      <c r="U628" s="37"/>
      <c r="V628" s="37"/>
      <c r="W628" s="37"/>
    </row>
    <row r="629" spans="1:23" ht="15.75" customHeight="1" x14ac:dyDescent="0.25">
      <c r="A629" s="244"/>
      <c r="B629" s="245"/>
      <c r="C629" s="246"/>
      <c r="D629" s="37"/>
      <c r="E629" s="246"/>
      <c r="F629" s="247"/>
      <c r="G629" s="245"/>
      <c r="H629" s="246"/>
      <c r="I629" s="247"/>
      <c r="J629" s="37"/>
      <c r="K629" s="248"/>
      <c r="L629" s="248"/>
      <c r="M629" s="248"/>
      <c r="N629" s="248"/>
      <c r="O629" s="248"/>
      <c r="P629" s="249"/>
      <c r="Q629" s="250"/>
      <c r="R629" s="37"/>
      <c r="S629" s="37"/>
      <c r="T629" s="204"/>
      <c r="U629" s="37"/>
      <c r="V629" s="37"/>
      <c r="W629" s="37"/>
    </row>
    <row r="630" spans="1:23" ht="15.75" customHeight="1" x14ac:dyDescent="0.25">
      <c r="A630" s="244"/>
      <c r="B630" s="245"/>
      <c r="C630" s="246"/>
      <c r="D630" s="37"/>
      <c r="E630" s="246"/>
      <c r="F630" s="247"/>
      <c r="G630" s="245"/>
      <c r="H630" s="246"/>
      <c r="I630" s="247"/>
      <c r="J630" s="37"/>
      <c r="K630" s="248"/>
      <c r="L630" s="248"/>
      <c r="M630" s="248"/>
      <c r="N630" s="248"/>
      <c r="O630" s="248"/>
      <c r="P630" s="249"/>
      <c r="Q630" s="250"/>
      <c r="R630" s="37"/>
      <c r="S630" s="37"/>
      <c r="T630" s="204"/>
      <c r="U630" s="37"/>
      <c r="V630" s="37"/>
      <c r="W630" s="37"/>
    </row>
    <row r="631" spans="1:23" ht="15.75" customHeight="1" x14ac:dyDescent="0.25">
      <c r="A631" s="244"/>
      <c r="B631" s="245"/>
      <c r="C631" s="246"/>
      <c r="D631" s="37"/>
      <c r="E631" s="246"/>
      <c r="F631" s="247"/>
      <c r="G631" s="245"/>
      <c r="H631" s="246"/>
      <c r="I631" s="247"/>
      <c r="J631" s="37"/>
      <c r="K631" s="248"/>
      <c r="L631" s="248"/>
      <c r="M631" s="248"/>
      <c r="N631" s="248"/>
      <c r="O631" s="248"/>
      <c r="P631" s="249"/>
      <c r="Q631" s="250"/>
      <c r="R631" s="37"/>
      <c r="S631" s="37"/>
      <c r="T631" s="204"/>
      <c r="U631" s="37"/>
      <c r="V631" s="37"/>
      <c r="W631" s="37"/>
    </row>
    <row r="632" spans="1:23" ht="15.75" customHeight="1" x14ac:dyDescent="0.25">
      <c r="A632" s="244"/>
      <c r="B632" s="245"/>
      <c r="C632" s="246"/>
      <c r="D632" s="37"/>
      <c r="E632" s="246"/>
      <c r="F632" s="247"/>
      <c r="G632" s="245"/>
      <c r="H632" s="246"/>
      <c r="I632" s="247"/>
      <c r="J632" s="37"/>
      <c r="K632" s="248"/>
      <c r="L632" s="248"/>
      <c r="M632" s="248"/>
      <c r="N632" s="248"/>
      <c r="O632" s="248"/>
      <c r="P632" s="249"/>
      <c r="Q632" s="250"/>
      <c r="R632" s="37"/>
      <c r="S632" s="37"/>
      <c r="T632" s="204"/>
      <c r="U632" s="37"/>
      <c r="V632" s="37"/>
      <c r="W632" s="37"/>
    </row>
    <row r="633" spans="1:23" ht="15.75" customHeight="1" x14ac:dyDescent="0.25">
      <c r="A633" s="244"/>
      <c r="B633" s="245"/>
      <c r="C633" s="246"/>
      <c r="D633" s="37"/>
      <c r="E633" s="246"/>
      <c r="F633" s="247"/>
      <c r="G633" s="245"/>
      <c r="H633" s="246"/>
      <c r="I633" s="247"/>
      <c r="J633" s="37"/>
      <c r="K633" s="248"/>
      <c r="L633" s="248"/>
      <c r="M633" s="248"/>
      <c r="N633" s="248"/>
      <c r="O633" s="248"/>
      <c r="P633" s="249"/>
      <c r="Q633" s="250"/>
      <c r="R633" s="37"/>
      <c r="S633" s="37"/>
      <c r="T633" s="204"/>
      <c r="U633" s="37"/>
      <c r="V633" s="37"/>
      <c r="W633" s="37"/>
    </row>
    <row r="634" spans="1:23" ht="15.75" customHeight="1" x14ac:dyDescent="0.25">
      <c r="A634" s="244"/>
      <c r="B634" s="245"/>
      <c r="C634" s="246"/>
      <c r="D634" s="37"/>
      <c r="E634" s="246"/>
      <c r="F634" s="247"/>
      <c r="G634" s="245"/>
      <c r="H634" s="246"/>
      <c r="I634" s="247"/>
      <c r="J634" s="37"/>
      <c r="K634" s="248"/>
      <c r="L634" s="248"/>
      <c r="M634" s="248"/>
      <c r="N634" s="248"/>
      <c r="O634" s="248"/>
      <c r="P634" s="249"/>
      <c r="Q634" s="250"/>
      <c r="R634" s="37"/>
      <c r="S634" s="37"/>
      <c r="T634" s="204"/>
      <c r="U634" s="37"/>
      <c r="V634" s="37"/>
      <c r="W634" s="37"/>
    </row>
    <row r="635" spans="1:23" ht="15.75" customHeight="1" x14ac:dyDescent="0.25">
      <c r="A635" s="244"/>
      <c r="B635" s="245"/>
      <c r="C635" s="246"/>
      <c r="D635" s="37"/>
      <c r="E635" s="246"/>
      <c r="F635" s="247"/>
      <c r="G635" s="245"/>
      <c r="H635" s="246"/>
      <c r="I635" s="247"/>
      <c r="J635" s="37"/>
      <c r="K635" s="248"/>
      <c r="L635" s="248"/>
      <c r="M635" s="248"/>
      <c r="N635" s="248"/>
      <c r="O635" s="248"/>
      <c r="P635" s="249"/>
      <c r="Q635" s="250"/>
      <c r="R635" s="37"/>
      <c r="S635" s="37"/>
      <c r="T635" s="204"/>
      <c r="U635" s="37"/>
      <c r="V635" s="37"/>
      <c r="W635" s="37"/>
    </row>
    <row r="636" spans="1:23" ht="15.75" customHeight="1" x14ac:dyDescent="0.25">
      <c r="A636" s="244"/>
      <c r="B636" s="245"/>
      <c r="C636" s="246"/>
      <c r="D636" s="37"/>
      <c r="E636" s="246"/>
      <c r="F636" s="247"/>
      <c r="G636" s="245"/>
      <c r="H636" s="246"/>
      <c r="I636" s="247"/>
      <c r="J636" s="37"/>
      <c r="K636" s="248"/>
      <c r="L636" s="248"/>
      <c r="M636" s="248"/>
      <c r="N636" s="248"/>
      <c r="O636" s="248"/>
      <c r="P636" s="249"/>
      <c r="Q636" s="250"/>
      <c r="R636" s="37"/>
      <c r="S636" s="37"/>
      <c r="T636" s="204"/>
      <c r="U636" s="37"/>
      <c r="V636" s="37"/>
      <c r="W636" s="37"/>
    </row>
    <row r="637" spans="1:23" ht="15.75" customHeight="1" x14ac:dyDescent="0.25">
      <c r="A637" s="244"/>
      <c r="B637" s="245"/>
      <c r="C637" s="246"/>
      <c r="D637" s="37"/>
      <c r="E637" s="246"/>
      <c r="F637" s="247"/>
      <c r="G637" s="245"/>
      <c r="H637" s="246"/>
      <c r="I637" s="247"/>
      <c r="J637" s="37"/>
      <c r="K637" s="248"/>
      <c r="L637" s="248"/>
      <c r="M637" s="248"/>
      <c r="N637" s="248"/>
      <c r="O637" s="248"/>
      <c r="P637" s="249"/>
      <c r="Q637" s="250"/>
      <c r="R637" s="37"/>
      <c r="S637" s="37"/>
      <c r="T637" s="204"/>
      <c r="U637" s="37"/>
      <c r="V637" s="37"/>
      <c r="W637" s="37"/>
    </row>
    <row r="638" spans="1:23" ht="15.75" customHeight="1" x14ac:dyDescent="0.25">
      <c r="A638" s="244"/>
      <c r="B638" s="245"/>
      <c r="C638" s="246"/>
      <c r="D638" s="37"/>
      <c r="E638" s="246"/>
      <c r="F638" s="247"/>
      <c r="G638" s="245"/>
      <c r="H638" s="246"/>
      <c r="I638" s="247"/>
      <c r="J638" s="37"/>
      <c r="K638" s="248"/>
      <c r="L638" s="248"/>
      <c r="M638" s="248"/>
      <c r="N638" s="248"/>
      <c r="O638" s="248"/>
      <c r="P638" s="249"/>
      <c r="Q638" s="250"/>
      <c r="R638" s="37"/>
      <c r="S638" s="37"/>
      <c r="T638" s="204"/>
      <c r="U638" s="37"/>
      <c r="V638" s="37"/>
      <c r="W638" s="37"/>
    </row>
    <row r="639" spans="1:23" ht="15.75" customHeight="1" x14ac:dyDescent="0.25">
      <c r="A639" s="244"/>
      <c r="B639" s="245"/>
      <c r="C639" s="246"/>
      <c r="D639" s="37"/>
      <c r="E639" s="246"/>
      <c r="F639" s="247"/>
      <c r="G639" s="245"/>
      <c r="H639" s="246"/>
      <c r="I639" s="247"/>
      <c r="J639" s="37"/>
      <c r="K639" s="248"/>
      <c r="L639" s="248"/>
      <c r="M639" s="248"/>
      <c r="N639" s="248"/>
      <c r="O639" s="248"/>
      <c r="P639" s="249"/>
      <c r="Q639" s="250"/>
      <c r="R639" s="37"/>
      <c r="S639" s="37"/>
      <c r="T639" s="204"/>
      <c r="U639" s="37"/>
      <c r="V639" s="37"/>
      <c r="W639" s="37"/>
    </row>
    <row r="640" spans="1:23" ht="15.75" customHeight="1" x14ac:dyDescent="0.25">
      <c r="A640" s="244"/>
      <c r="B640" s="245"/>
      <c r="C640" s="246"/>
      <c r="D640" s="37"/>
      <c r="E640" s="246"/>
      <c r="F640" s="247"/>
      <c r="G640" s="245"/>
      <c r="H640" s="246"/>
      <c r="I640" s="247"/>
      <c r="J640" s="37"/>
      <c r="K640" s="248"/>
      <c r="L640" s="248"/>
      <c r="M640" s="248"/>
      <c r="N640" s="248"/>
      <c r="O640" s="248"/>
      <c r="P640" s="249"/>
      <c r="Q640" s="250"/>
      <c r="R640" s="37"/>
      <c r="S640" s="37"/>
      <c r="T640" s="204"/>
      <c r="U640" s="37"/>
      <c r="V640" s="37"/>
      <c r="W640" s="37"/>
    </row>
    <row r="641" spans="1:23" ht="15.75" customHeight="1" x14ac:dyDescent="0.25">
      <c r="A641" s="244"/>
      <c r="B641" s="245"/>
      <c r="C641" s="246"/>
      <c r="D641" s="37"/>
      <c r="E641" s="246"/>
      <c r="F641" s="247"/>
      <c r="G641" s="245"/>
      <c r="H641" s="246"/>
      <c r="I641" s="247"/>
      <c r="J641" s="37"/>
      <c r="K641" s="248"/>
      <c r="L641" s="248"/>
      <c r="M641" s="248"/>
      <c r="N641" s="248"/>
      <c r="O641" s="248"/>
      <c r="P641" s="249"/>
      <c r="Q641" s="250"/>
      <c r="R641" s="37"/>
      <c r="S641" s="37"/>
      <c r="T641" s="204"/>
      <c r="U641" s="37"/>
      <c r="V641" s="37"/>
      <c r="W641" s="37"/>
    </row>
    <row r="642" spans="1:23" ht="15.75" customHeight="1" x14ac:dyDescent="0.25">
      <c r="A642" s="244"/>
      <c r="B642" s="245"/>
      <c r="C642" s="246"/>
      <c r="D642" s="37"/>
      <c r="E642" s="246"/>
      <c r="F642" s="247"/>
      <c r="G642" s="245"/>
      <c r="H642" s="246"/>
      <c r="I642" s="247"/>
      <c r="J642" s="37"/>
      <c r="K642" s="248"/>
      <c r="L642" s="248"/>
      <c r="M642" s="248"/>
      <c r="N642" s="248"/>
      <c r="O642" s="248"/>
      <c r="P642" s="249"/>
      <c r="Q642" s="250"/>
      <c r="R642" s="37"/>
      <c r="S642" s="37"/>
      <c r="T642" s="204"/>
      <c r="U642" s="37"/>
      <c r="V642" s="37"/>
      <c r="W642" s="37"/>
    </row>
    <row r="643" spans="1:23" ht="15.75" customHeight="1" x14ac:dyDescent="0.25">
      <c r="A643" s="244"/>
      <c r="B643" s="245"/>
      <c r="C643" s="246"/>
      <c r="D643" s="37"/>
      <c r="E643" s="246"/>
      <c r="F643" s="247"/>
      <c r="G643" s="245"/>
      <c r="H643" s="246"/>
      <c r="I643" s="247"/>
      <c r="J643" s="37"/>
      <c r="K643" s="248"/>
      <c r="L643" s="248"/>
      <c r="M643" s="248"/>
      <c r="N643" s="248"/>
      <c r="O643" s="248"/>
      <c r="P643" s="249"/>
      <c r="Q643" s="250"/>
      <c r="R643" s="37"/>
      <c r="S643" s="37"/>
      <c r="T643" s="204"/>
      <c r="U643" s="37"/>
      <c r="V643" s="37"/>
      <c r="W643" s="37"/>
    </row>
    <row r="644" spans="1:23" ht="15.75" customHeight="1" x14ac:dyDescent="0.25">
      <c r="A644" s="244"/>
      <c r="B644" s="245"/>
      <c r="C644" s="246"/>
      <c r="D644" s="37"/>
      <c r="E644" s="246"/>
      <c r="F644" s="247"/>
      <c r="G644" s="245"/>
      <c r="H644" s="246"/>
      <c r="I644" s="247"/>
      <c r="J644" s="37"/>
      <c r="K644" s="248"/>
      <c r="L644" s="248"/>
      <c r="M644" s="248"/>
      <c r="N644" s="248"/>
      <c r="O644" s="248"/>
      <c r="P644" s="249"/>
      <c r="Q644" s="250"/>
      <c r="R644" s="37"/>
      <c r="S644" s="37"/>
      <c r="T644" s="204"/>
      <c r="U644" s="37"/>
      <c r="V644" s="37"/>
      <c r="W644" s="37"/>
    </row>
    <row r="645" spans="1:23" ht="15.75" customHeight="1" x14ac:dyDescent="0.25">
      <c r="A645" s="244"/>
      <c r="B645" s="245"/>
      <c r="C645" s="246"/>
      <c r="D645" s="37"/>
      <c r="E645" s="246"/>
      <c r="F645" s="247"/>
      <c r="G645" s="245"/>
      <c r="H645" s="246"/>
      <c r="I645" s="247"/>
      <c r="J645" s="37"/>
      <c r="K645" s="248"/>
      <c r="L645" s="248"/>
      <c r="M645" s="248"/>
      <c r="N645" s="248"/>
      <c r="O645" s="248"/>
      <c r="P645" s="249"/>
      <c r="Q645" s="250"/>
      <c r="R645" s="37"/>
      <c r="S645" s="37"/>
      <c r="T645" s="204"/>
      <c r="U645" s="37"/>
      <c r="V645" s="37"/>
      <c r="W645" s="37"/>
    </row>
    <row r="646" spans="1:23" ht="15.75" customHeight="1" x14ac:dyDescent="0.25">
      <c r="A646" s="244"/>
      <c r="B646" s="245"/>
      <c r="C646" s="246"/>
      <c r="D646" s="37"/>
      <c r="E646" s="246"/>
      <c r="F646" s="247"/>
      <c r="G646" s="245"/>
      <c r="H646" s="246"/>
      <c r="I646" s="247"/>
      <c r="J646" s="37"/>
      <c r="K646" s="248"/>
      <c r="L646" s="248"/>
      <c r="M646" s="248"/>
      <c r="N646" s="248"/>
      <c r="O646" s="248"/>
      <c r="P646" s="249"/>
      <c r="Q646" s="250"/>
      <c r="R646" s="37"/>
      <c r="S646" s="37"/>
      <c r="T646" s="204"/>
      <c r="U646" s="37"/>
      <c r="V646" s="37"/>
      <c r="W646" s="37"/>
    </row>
    <row r="647" spans="1:23" ht="15.75" customHeight="1" x14ac:dyDescent="0.25">
      <c r="A647" s="244"/>
      <c r="B647" s="245"/>
      <c r="C647" s="246"/>
      <c r="D647" s="37"/>
      <c r="E647" s="246"/>
      <c r="F647" s="247"/>
      <c r="G647" s="245"/>
      <c r="H647" s="246"/>
      <c r="I647" s="247"/>
      <c r="J647" s="37"/>
      <c r="K647" s="248"/>
      <c r="L647" s="248"/>
      <c r="M647" s="248"/>
      <c r="N647" s="248"/>
      <c r="O647" s="248"/>
      <c r="P647" s="249"/>
      <c r="Q647" s="250"/>
      <c r="R647" s="37"/>
      <c r="S647" s="37"/>
      <c r="T647" s="204"/>
      <c r="U647" s="37"/>
      <c r="V647" s="37"/>
      <c r="W647" s="37"/>
    </row>
    <row r="648" spans="1:23" ht="15.75" customHeight="1" x14ac:dyDescent="0.25">
      <c r="A648" s="244"/>
      <c r="B648" s="245"/>
      <c r="C648" s="246"/>
      <c r="D648" s="37"/>
      <c r="E648" s="246"/>
      <c r="F648" s="247"/>
      <c r="G648" s="245"/>
      <c r="H648" s="246"/>
      <c r="I648" s="247"/>
      <c r="J648" s="37"/>
      <c r="K648" s="248"/>
      <c r="L648" s="248"/>
      <c r="M648" s="248"/>
      <c r="N648" s="248"/>
      <c r="O648" s="248"/>
      <c r="P648" s="249"/>
      <c r="Q648" s="250"/>
      <c r="R648" s="37"/>
      <c r="S648" s="37"/>
      <c r="T648" s="204"/>
      <c r="U648" s="37"/>
      <c r="V648" s="37"/>
      <c r="W648" s="37"/>
    </row>
    <row r="649" spans="1:23" ht="15.75" customHeight="1" x14ac:dyDescent="0.25">
      <c r="A649" s="244"/>
      <c r="B649" s="245"/>
      <c r="C649" s="246"/>
      <c r="D649" s="37"/>
      <c r="E649" s="246"/>
      <c r="F649" s="247"/>
      <c r="G649" s="245"/>
      <c r="H649" s="246"/>
      <c r="I649" s="247"/>
      <c r="J649" s="37"/>
      <c r="K649" s="248"/>
      <c r="L649" s="248"/>
      <c r="M649" s="248"/>
      <c r="N649" s="248"/>
      <c r="O649" s="248"/>
      <c r="P649" s="249"/>
      <c r="Q649" s="250"/>
      <c r="R649" s="37"/>
      <c r="S649" s="37"/>
      <c r="T649" s="204"/>
      <c r="U649" s="37"/>
      <c r="V649" s="37"/>
      <c r="W649" s="37"/>
    </row>
    <row r="650" spans="1:23" ht="15.75" customHeight="1" x14ac:dyDescent="0.25">
      <c r="A650" s="244"/>
      <c r="B650" s="245"/>
      <c r="C650" s="246"/>
      <c r="D650" s="37"/>
      <c r="E650" s="246"/>
      <c r="F650" s="247"/>
      <c r="G650" s="245"/>
      <c r="H650" s="246"/>
      <c r="I650" s="247"/>
      <c r="J650" s="37"/>
      <c r="K650" s="248"/>
      <c r="L650" s="248"/>
      <c r="M650" s="248"/>
      <c r="N650" s="248"/>
      <c r="O650" s="248"/>
      <c r="P650" s="249"/>
      <c r="Q650" s="250"/>
      <c r="R650" s="37"/>
      <c r="S650" s="37"/>
      <c r="T650" s="204"/>
      <c r="U650" s="37"/>
      <c r="V650" s="37"/>
      <c r="W650" s="37"/>
    </row>
    <row r="651" spans="1:23" ht="15.75" customHeight="1" x14ac:dyDescent="0.25">
      <c r="A651" s="244"/>
      <c r="B651" s="245"/>
      <c r="C651" s="246"/>
      <c r="D651" s="37"/>
      <c r="E651" s="246"/>
      <c r="F651" s="247"/>
      <c r="G651" s="245"/>
      <c r="H651" s="246"/>
      <c r="I651" s="247"/>
      <c r="J651" s="37"/>
      <c r="K651" s="248"/>
      <c r="L651" s="248"/>
      <c r="M651" s="248"/>
      <c r="N651" s="248"/>
      <c r="O651" s="248"/>
      <c r="P651" s="249"/>
      <c r="Q651" s="250"/>
      <c r="R651" s="37"/>
      <c r="S651" s="37"/>
      <c r="T651" s="204"/>
      <c r="U651" s="37"/>
      <c r="V651" s="37"/>
      <c r="W651" s="37"/>
    </row>
    <row r="652" spans="1:23" ht="15.75" customHeight="1" x14ac:dyDescent="0.25">
      <c r="A652" s="244"/>
      <c r="B652" s="245"/>
      <c r="C652" s="246"/>
      <c r="D652" s="37"/>
      <c r="E652" s="246"/>
      <c r="F652" s="247"/>
      <c r="G652" s="245"/>
      <c r="H652" s="246"/>
      <c r="I652" s="247"/>
      <c r="J652" s="37"/>
      <c r="K652" s="248"/>
      <c r="L652" s="248"/>
      <c r="M652" s="248"/>
      <c r="N652" s="248"/>
      <c r="O652" s="248"/>
      <c r="P652" s="249"/>
      <c r="Q652" s="250"/>
      <c r="R652" s="37"/>
      <c r="S652" s="37"/>
      <c r="T652" s="204"/>
      <c r="U652" s="37"/>
      <c r="V652" s="37"/>
      <c r="W652" s="37"/>
    </row>
    <row r="653" spans="1:23" ht="15.75" customHeight="1" x14ac:dyDescent="0.25">
      <c r="A653" s="244"/>
      <c r="B653" s="245"/>
      <c r="C653" s="246"/>
      <c r="D653" s="37"/>
      <c r="E653" s="246"/>
      <c r="F653" s="247"/>
      <c r="G653" s="245"/>
      <c r="H653" s="246"/>
      <c r="I653" s="247"/>
      <c r="J653" s="37"/>
      <c r="K653" s="248"/>
      <c r="L653" s="248"/>
      <c r="M653" s="248"/>
      <c r="N653" s="248"/>
      <c r="O653" s="248"/>
      <c r="P653" s="249"/>
      <c r="Q653" s="250"/>
      <c r="R653" s="37"/>
      <c r="S653" s="37"/>
      <c r="T653" s="204"/>
      <c r="U653" s="37"/>
      <c r="V653" s="37"/>
      <c r="W653" s="37"/>
    </row>
    <row r="654" spans="1:23" ht="15.75" customHeight="1" x14ac:dyDescent="0.25">
      <c r="A654" s="244"/>
      <c r="B654" s="245"/>
      <c r="C654" s="246"/>
      <c r="D654" s="37"/>
      <c r="E654" s="246"/>
      <c r="F654" s="247"/>
      <c r="G654" s="245"/>
      <c r="H654" s="246"/>
      <c r="I654" s="247"/>
      <c r="J654" s="37"/>
      <c r="K654" s="248"/>
      <c r="L654" s="248"/>
      <c r="M654" s="248"/>
      <c r="N654" s="248"/>
      <c r="O654" s="248"/>
      <c r="P654" s="249"/>
      <c r="Q654" s="250"/>
      <c r="R654" s="37"/>
      <c r="S654" s="37"/>
      <c r="T654" s="204"/>
      <c r="U654" s="37"/>
      <c r="V654" s="37"/>
      <c r="W654" s="37"/>
    </row>
    <row r="655" spans="1:23" ht="15.75" customHeight="1" x14ac:dyDescent="0.25">
      <c r="A655" s="244"/>
      <c r="B655" s="245"/>
      <c r="C655" s="246"/>
      <c r="D655" s="37"/>
      <c r="E655" s="246"/>
      <c r="F655" s="247"/>
      <c r="G655" s="245"/>
      <c r="H655" s="246"/>
      <c r="I655" s="247"/>
      <c r="J655" s="37"/>
      <c r="K655" s="248"/>
      <c r="L655" s="248"/>
      <c r="M655" s="248"/>
      <c r="N655" s="248"/>
      <c r="O655" s="248"/>
      <c r="P655" s="249"/>
      <c r="Q655" s="250"/>
      <c r="R655" s="37"/>
      <c r="S655" s="37"/>
      <c r="T655" s="204"/>
      <c r="U655" s="37"/>
      <c r="V655" s="37"/>
      <c r="W655" s="37"/>
    </row>
    <row r="656" spans="1:23" ht="15.75" customHeight="1" x14ac:dyDescent="0.25">
      <c r="A656" s="244"/>
      <c r="B656" s="245"/>
      <c r="C656" s="246"/>
      <c r="D656" s="37"/>
      <c r="E656" s="246"/>
      <c r="F656" s="247"/>
      <c r="G656" s="245"/>
      <c r="H656" s="246"/>
      <c r="I656" s="247"/>
      <c r="J656" s="37"/>
      <c r="K656" s="248"/>
      <c r="L656" s="248"/>
      <c r="M656" s="248"/>
      <c r="N656" s="248"/>
      <c r="O656" s="248"/>
      <c r="P656" s="249"/>
      <c r="Q656" s="250"/>
      <c r="R656" s="37"/>
      <c r="S656" s="37"/>
      <c r="T656" s="204"/>
      <c r="U656" s="37"/>
      <c r="V656" s="37"/>
      <c r="W656" s="37"/>
    </row>
    <row r="657" spans="1:23" ht="15.75" customHeight="1" x14ac:dyDescent="0.25">
      <c r="A657" s="244"/>
      <c r="B657" s="245"/>
      <c r="C657" s="246"/>
      <c r="D657" s="37"/>
      <c r="E657" s="246"/>
      <c r="F657" s="247"/>
      <c r="G657" s="245"/>
      <c r="H657" s="246"/>
      <c r="I657" s="247"/>
      <c r="J657" s="37"/>
      <c r="K657" s="248"/>
      <c r="L657" s="248"/>
      <c r="M657" s="248"/>
      <c r="N657" s="248"/>
      <c r="O657" s="248"/>
      <c r="P657" s="249"/>
      <c r="Q657" s="250"/>
      <c r="R657" s="37"/>
      <c r="S657" s="37"/>
      <c r="T657" s="204"/>
      <c r="U657" s="37"/>
      <c r="V657" s="37"/>
      <c r="W657" s="37"/>
    </row>
    <row r="658" spans="1:23" ht="15.75" customHeight="1" x14ac:dyDescent="0.25">
      <c r="A658" s="244"/>
      <c r="B658" s="245"/>
      <c r="C658" s="246"/>
      <c r="D658" s="37"/>
      <c r="E658" s="246"/>
      <c r="F658" s="247"/>
      <c r="G658" s="245"/>
      <c r="H658" s="246"/>
      <c r="I658" s="247"/>
      <c r="J658" s="37"/>
      <c r="K658" s="248"/>
      <c r="L658" s="248"/>
      <c r="M658" s="248"/>
      <c r="N658" s="248"/>
      <c r="O658" s="248"/>
      <c r="P658" s="249"/>
      <c r="Q658" s="250"/>
      <c r="R658" s="37"/>
      <c r="S658" s="37"/>
      <c r="T658" s="204"/>
      <c r="U658" s="37"/>
      <c r="V658" s="37"/>
      <c r="W658" s="37"/>
    </row>
    <row r="659" spans="1:23" ht="15.75" customHeight="1" x14ac:dyDescent="0.25">
      <c r="A659" s="244"/>
      <c r="B659" s="245"/>
      <c r="C659" s="246"/>
      <c r="D659" s="37"/>
      <c r="E659" s="246"/>
      <c r="F659" s="247"/>
      <c r="G659" s="245"/>
      <c r="H659" s="246"/>
      <c r="I659" s="247"/>
      <c r="J659" s="37"/>
      <c r="K659" s="248"/>
      <c r="L659" s="248"/>
      <c r="M659" s="248"/>
      <c r="N659" s="248"/>
      <c r="O659" s="248"/>
      <c r="P659" s="249"/>
      <c r="Q659" s="250"/>
      <c r="R659" s="37"/>
      <c r="S659" s="37"/>
      <c r="T659" s="204"/>
      <c r="U659" s="37"/>
      <c r="V659" s="37"/>
      <c r="W659" s="37"/>
    </row>
    <row r="660" spans="1:23" ht="15.75" customHeight="1" x14ac:dyDescent="0.25">
      <c r="A660" s="244"/>
      <c r="B660" s="245"/>
      <c r="C660" s="246"/>
      <c r="D660" s="37"/>
      <c r="E660" s="246"/>
      <c r="F660" s="247"/>
      <c r="G660" s="245"/>
      <c r="H660" s="246"/>
      <c r="I660" s="247"/>
      <c r="J660" s="37"/>
      <c r="K660" s="248"/>
      <c r="L660" s="248"/>
      <c r="M660" s="248"/>
      <c r="N660" s="248"/>
      <c r="O660" s="248"/>
      <c r="P660" s="249"/>
      <c r="Q660" s="250"/>
      <c r="R660" s="37"/>
      <c r="S660" s="37"/>
      <c r="T660" s="204"/>
      <c r="U660" s="37"/>
      <c r="V660" s="37"/>
      <c r="W660" s="37"/>
    </row>
    <row r="661" spans="1:23" ht="15.75" customHeight="1" x14ac:dyDescent="0.25">
      <c r="A661" s="244"/>
      <c r="B661" s="245"/>
      <c r="C661" s="246"/>
      <c r="D661" s="37"/>
      <c r="E661" s="246"/>
      <c r="F661" s="247"/>
      <c r="G661" s="245"/>
      <c r="H661" s="246"/>
      <c r="I661" s="247"/>
      <c r="J661" s="37"/>
      <c r="K661" s="248"/>
      <c r="L661" s="248"/>
      <c r="M661" s="248"/>
      <c r="N661" s="248"/>
      <c r="O661" s="248"/>
      <c r="P661" s="249"/>
      <c r="Q661" s="250"/>
      <c r="R661" s="37"/>
      <c r="S661" s="37"/>
      <c r="T661" s="204"/>
      <c r="U661" s="37"/>
      <c r="V661" s="37"/>
      <c r="W661" s="37"/>
    </row>
    <row r="662" spans="1:23" ht="15.75" customHeight="1" x14ac:dyDescent="0.25">
      <c r="A662" s="244"/>
      <c r="B662" s="245"/>
      <c r="C662" s="246"/>
      <c r="D662" s="37"/>
      <c r="E662" s="246"/>
      <c r="F662" s="247"/>
      <c r="G662" s="245"/>
      <c r="H662" s="246"/>
      <c r="I662" s="247"/>
      <c r="J662" s="37"/>
      <c r="K662" s="248"/>
      <c r="L662" s="248"/>
      <c r="M662" s="248"/>
      <c r="N662" s="248"/>
      <c r="O662" s="248"/>
      <c r="P662" s="249"/>
      <c r="Q662" s="250"/>
      <c r="R662" s="37"/>
      <c r="S662" s="37"/>
      <c r="T662" s="204"/>
      <c r="U662" s="37"/>
      <c r="V662" s="37"/>
      <c r="W662" s="37"/>
    </row>
    <row r="663" spans="1:23" ht="15.75" customHeight="1" x14ac:dyDescent="0.25">
      <c r="A663" s="244"/>
      <c r="B663" s="245"/>
      <c r="C663" s="246"/>
      <c r="D663" s="37"/>
      <c r="E663" s="246"/>
      <c r="F663" s="247"/>
      <c r="G663" s="245"/>
      <c r="H663" s="246"/>
      <c r="I663" s="247"/>
      <c r="J663" s="37"/>
      <c r="K663" s="248"/>
      <c r="L663" s="248"/>
      <c r="M663" s="248"/>
      <c r="N663" s="248"/>
      <c r="O663" s="248"/>
      <c r="P663" s="249"/>
      <c r="Q663" s="250"/>
      <c r="R663" s="37"/>
      <c r="S663" s="37"/>
      <c r="T663" s="204"/>
      <c r="U663" s="37"/>
      <c r="V663" s="37"/>
      <c r="W663" s="37"/>
    </row>
    <row r="664" spans="1:23" ht="15.75" customHeight="1" x14ac:dyDescent="0.25">
      <c r="A664" s="244"/>
      <c r="B664" s="245"/>
      <c r="C664" s="246"/>
      <c r="D664" s="37"/>
      <c r="E664" s="246"/>
      <c r="F664" s="247"/>
      <c r="G664" s="245"/>
      <c r="H664" s="246"/>
      <c r="I664" s="247"/>
      <c r="J664" s="37"/>
      <c r="K664" s="248"/>
      <c r="L664" s="248"/>
      <c r="M664" s="248"/>
      <c r="N664" s="248"/>
      <c r="O664" s="248"/>
      <c r="P664" s="249"/>
      <c r="Q664" s="250"/>
      <c r="R664" s="37"/>
      <c r="S664" s="37"/>
      <c r="T664" s="204"/>
      <c r="U664" s="37"/>
      <c r="V664" s="37"/>
      <c r="W664" s="37"/>
    </row>
    <row r="665" spans="1:23" ht="15.75" customHeight="1" x14ac:dyDescent="0.25">
      <c r="A665" s="244"/>
      <c r="B665" s="245"/>
      <c r="C665" s="246"/>
      <c r="D665" s="37"/>
      <c r="E665" s="246"/>
      <c r="F665" s="247"/>
      <c r="G665" s="245"/>
      <c r="H665" s="246"/>
      <c r="I665" s="247"/>
      <c r="J665" s="37"/>
      <c r="K665" s="248"/>
      <c r="L665" s="248"/>
      <c r="M665" s="248"/>
      <c r="N665" s="248"/>
      <c r="O665" s="248"/>
      <c r="P665" s="249"/>
      <c r="Q665" s="250"/>
      <c r="R665" s="37"/>
      <c r="S665" s="37"/>
      <c r="T665" s="204"/>
      <c r="U665" s="37"/>
      <c r="V665" s="37"/>
      <c r="W665" s="37"/>
    </row>
    <row r="666" spans="1:23" ht="15.75" customHeight="1" x14ac:dyDescent="0.25">
      <c r="A666" s="244"/>
      <c r="B666" s="245"/>
      <c r="C666" s="246"/>
      <c r="D666" s="37"/>
      <c r="E666" s="246"/>
      <c r="F666" s="247"/>
      <c r="G666" s="245"/>
      <c r="H666" s="246"/>
      <c r="I666" s="247"/>
      <c r="J666" s="37"/>
      <c r="K666" s="248"/>
      <c r="L666" s="248"/>
      <c r="M666" s="248"/>
      <c r="N666" s="248"/>
      <c r="O666" s="248"/>
      <c r="P666" s="249"/>
      <c r="Q666" s="250"/>
      <c r="R666" s="37"/>
      <c r="S666" s="37"/>
      <c r="T666" s="204"/>
      <c r="U666" s="37"/>
      <c r="V666" s="37"/>
      <c r="W666" s="37"/>
    </row>
    <row r="667" spans="1:23" ht="15.75" customHeight="1" x14ac:dyDescent="0.25">
      <c r="A667" s="244"/>
      <c r="B667" s="245"/>
      <c r="C667" s="246"/>
      <c r="D667" s="37"/>
      <c r="E667" s="246"/>
      <c r="F667" s="247"/>
      <c r="G667" s="245"/>
      <c r="H667" s="246"/>
      <c r="I667" s="247"/>
      <c r="J667" s="37"/>
      <c r="K667" s="248"/>
      <c r="L667" s="248"/>
      <c r="M667" s="248"/>
      <c r="N667" s="248"/>
      <c r="O667" s="248"/>
      <c r="P667" s="249"/>
      <c r="Q667" s="250"/>
      <c r="R667" s="37"/>
      <c r="S667" s="37"/>
      <c r="T667" s="204"/>
      <c r="U667" s="37"/>
      <c r="V667" s="37"/>
      <c r="W667" s="37"/>
    </row>
    <row r="668" spans="1:23" ht="15.75" customHeight="1" x14ac:dyDescent="0.25">
      <c r="A668" s="244"/>
      <c r="B668" s="245"/>
      <c r="C668" s="246"/>
      <c r="D668" s="37"/>
      <c r="E668" s="246"/>
      <c r="F668" s="247"/>
      <c r="G668" s="245"/>
      <c r="H668" s="246"/>
      <c r="I668" s="247"/>
      <c r="J668" s="37"/>
      <c r="K668" s="248"/>
      <c r="L668" s="248"/>
      <c r="M668" s="248"/>
      <c r="N668" s="248"/>
      <c r="O668" s="248"/>
      <c r="P668" s="249"/>
      <c r="Q668" s="250"/>
      <c r="R668" s="37"/>
      <c r="S668" s="37"/>
      <c r="T668" s="204"/>
      <c r="U668" s="37"/>
      <c r="V668" s="37"/>
      <c r="W668" s="37"/>
    </row>
    <row r="669" spans="1:23" ht="15.75" customHeight="1" x14ac:dyDescent="0.25">
      <c r="A669" s="244"/>
      <c r="B669" s="245"/>
      <c r="C669" s="246"/>
      <c r="D669" s="37"/>
      <c r="E669" s="246"/>
      <c r="F669" s="247"/>
      <c r="G669" s="245"/>
      <c r="H669" s="246"/>
      <c r="I669" s="247"/>
      <c r="J669" s="37"/>
      <c r="K669" s="248"/>
      <c r="L669" s="248"/>
      <c r="M669" s="248"/>
      <c r="N669" s="248"/>
      <c r="O669" s="248"/>
      <c r="P669" s="249"/>
      <c r="Q669" s="250"/>
      <c r="R669" s="37"/>
      <c r="S669" s="37"/>
      <c r="T669" s="204"/>
      <c r="U669" s="37"/>
      <c r="V669" s="37"/>
      <c r="W669" s="37"/>
    </row>
    <row r="670" spans="1:23" ht="15.75" customHeight="1" x14ac:dyDescent="0.25">
      <c r="A670" s="244"/>
      <c r="B670" s="245"/>
      <c r="C670" s="246"/>
      <c r="D670" s="37"/>
      <c r="E670" s="246"/>
      <c r="F670" s="247"/>
      <c r="G670" s="245"/>
      <c r="H670" s="246"/>
      <c r="I670" s="247"/>
      <c r="J670" s="37"/>
      <c r="K670" s="248"/>
      <c r="L670" s="248"/>
      <c r="M670" s="248"/>
      <c r="N670" s="248"/>
      <c r="O670" s="248"/>
      <c r="P670" s="249"/>
      <c r="Q670" s="250"/>
      <c r="R670" s="37"/>
      <c r="S670" s="37"/>
      <c r="T670" s="204"/>
      <c r="U670" s="37"/>
      <c r="V670" s="37"/>
      <c r="W670" s="37"/>
    </row>
    <row r="671" spans="1:23" ht="15.75" customHeight="1" x14ac:dyDescent="0.25">
      <c r="A671" s="244"/>
      <c r="B671" s="245"/>
      <c r="C671" s="246"/>
      <c r="D671" s="37"/>
      <c r="E671" s="246"/>
      <c r="F671" s="247"/>
      <c r="G671" s="245"/>
      <c r="H671" s="246"/>
      <c r="I671" s="247"/>
      <c r="J671" s="37"/>
      <c r="K671" s="248"/>
      <c r="L671" s="248"/>
      <c r="M671" s="248"/>
      <c r="N671" s="248"/>
      <c r="O671" s="248"/>
      <c r="P671" s="249"/>
      <c r="Q671" s="250"/>
      <c r="R671" s="37"/>
      <c r="S671" s="37"/>
      <c r="T671" s="204"/>
      <c r="U671" s="37"/>
      <c r="V671" s="37"/>
      <c r="W671" s="37"/>
    </row>
    <row r="672" spans="1:23" ht="15.75" customHeight="1" x14ac:dyDescent="0.25">
      <c r="A672" s="244"/>
      <c r="B672" s="245"/>
      <c r="C672" s="246"/>
      <c r="D672" s="37"/>
      <c r="E672" s="246"/>
      <c r="F672" s="247"/>
      <c r="G672" s="245"/>
      <c r="H672" s="246"/>
      <c r="I672" s="247"/>
      <c r="J672" s="37"/>
      <c r="K672" s="248"/>
      <c r="L672" s="248"/>
      <c r="M672" s="248"/>
      <c r="N672" s="248"/>
      <c r="O672" s="248"/>
      <c r="P672" s="249"/>
      <c r="Q672" s="250"/>
      <c r="R672" s="37"/>
      <c r="S672" s="37"/>
      <c r="T672" s="204"/>
      <c r="U672" s="37"/>
      <c r="V672" s="37"/>
      <c r="W672" s="37"/>
    </row>
    <row r="673" spans="1:23" ht="15.75" customHeight="1" x14ac:dyDescent="0.25">
      <c r="A673" s="244"/>
      <c r="B673" s="245"/>
      <c r="C673" s="246"/>
      <c r="D673" s="37"/>
      <c r="E673" s="246"/>
      <c r="F673" s="247"/>
      <c r="G673" s="245"/>
      <c r="H673" s="246"/>
      <c r="I673" s="247"/>
      <c r="J673" s="37"/>
      <c r="K673" s="248"/>
      <c r="L673" s="248"/>
      <c r="M673" s="248"/>
      <c r="N673" s="248"/>
      <c r="O673" s="248"/>
      <c r="P673" s="249"/>
      <c r="Q673" s="250"/>
      <c r="R673" s="37"/>
      <c r="S673" s="37"/>
      <c r="T673" s="204"/>
      <c r="U673" s="37"/>
      <c r="V673" s="37"/>
      <c r="W673" s="37"/>
    </row>
    <row r="674" spans="1:23" ht="15.75" customHeight="1" x14ac:dyDescent="0.25">
      <c r="A674" s="244"/>
      <c r="B674" s="245"/>
      <c r="C674" s="246"/>
      <c r="D674" s="37"/>
      <c r="E674" s="246"/>
      <c r="F674" s="247"/>
      <c r="G674" s="245"/>
      <c r="H674" s="246"/>
      <c r="I674" s="247"/>
      <c r="J674" s="37"/>
      <c r="K674" s="248"/>
      <c r="L674" s="248"/>
      <c r="M674" s="248"/>
      <c r="N674" s="248"/>
      <c r="O674" s="248"/>
      <c r="P674" s="249"/>
      <c r="Q674" s="250"/>
      <c r="R674" s="37"/>
      <c r="S674" s="37"/>
      <c r="T674" s="204"/>
      <c r="U674" s="37"/>
      <c r="V674" s="37"/>
      <c r="W674" s="37"/>
    </row>
    <row r="675" spans="1:23" ht="15.75" customHeight="1" x14ac:dyDescent="0.25">
      <c r="A675" s="244"/>
      <c r="B675" s="245"/>
      <c r="C675" s="246"/>
      <c r="D675" s="37"/>
      <c r="E675" s="246"/>
      <c r="F675" s="247"/>
      <c r="G675" s="245"/>
      <c r="H675" s="246"/>
      <c r="I675" s="247"/>
      <c r="J675" s="37"/>
      <c r="K675" s="248"/>
      <c r="L675" s="248"/>
      <c r="M675" s="248"/>
      <c r="N675" s="248"/>
      <c r="O675" s="248"/>
      <c r="P675" s="249"/>
      <c r="Q675" s="250"/>
      <c r="R675" s="37"/>
      <c r="S675" s="37"/>
      <c r="T675" s="204"/>
      <c r="U675" s="37"/>
      <c r="V675" s="37"/>
      <c r="W675" s="37"/>
    </row>
    <row r="676" spans="1:23" ht="15.75" customHeight="1" x14ac:dyDescent="0.25">
      <c r="A676" s="244"/>
      <c r="B676" s="245"/>
      <c r="C676" s="246"/>
      <c r="D676" s="37"/>
      <c r="E676" s="246"/>
      <c r="F676" s="247"/>
      <c r="G676" s="245"/>
      <c r="H676" s="246"/>
      <c r="I676" s="247"/>
      <c r="J676" s="37"/>
      <c r="K676" s="248"/>
      <c r="L676" s="248"/>
      <c r="M676" s="248"/>
      <c r="N676" s="248"/>
      <c r="O676" s="248"/>
      <c r="P676" s="249"/>
      <c r="Q676" s="250"/>
      <c r="R676" s="37"/>
      <c r="S676" s="37"/>
      <c r="T676" s="204"/>
      <c r="U676" s="37"/>
      <c r="V676" s="37"/>
      <c r="W676" s="37"/>
    </row>
    <row r="677" spans="1:23" ht="15.75" customHeight="1" x14ac:dyDescent="0.25">
      <c r="A677" s="244"/>
      <c r="B677" s="245"/>
      <c r="C677" s="246"/>
      <c r="D677" s="37"/>
      <c r="E677" s="246"/>
      <c r="F677" s="247"/>
      <c r="G677" s="245"/>
      <c r="H677" s="246"/>
      <c r="I677" s="247"/>
      <c r="J677" s="37"/>
      <c r="K677" s="248"/>
      <c r="L677" s="248"/>
      <c r="M677" s="248"/>
      <c r="N677" s="248"/>
      <c r="O677" s="248"/>
      <c r="P677" s="249"/>
      <c r="Q677" s="250"/>
      <c r="R677" s="37"/>
      <c r="S677" s="37"/>
      <c r="T677" s="204"/>
      <c r="U677" s="37"/>
      <c r="V677" s="37"/>
      <c r="W677" s="37"/>
    </row>
    <row r="678" spans="1:23" ht="15.75" customHeight="1" x14ac:dyDescent="0.25">
      <c r="A678" s="244"/>
      <c r="B678" s="245"/>
      <c r="C678" s="246"/>
      <c r="D678" s="37"/>
      <c r="E678" s="246"/>
      <c r="F678" s="247"/>
      <c r="G678" s="245"/>
      <c r="H678" s="246"/>
      <c r="I678" s="247"/>
      <c r="J678" s="37"/>
      <c r="K678" s="248"/>
      <c r="L678" s="248"/>
      <c r="M678" s="248"/>
      <c r="N678" s="248"/>
      <c r="O678" s="248"/>
      <c r="P678" s="249"/>
      <c r="Q678" s="250"/>
      <c r="R678" s="37"/>
      <c r="S678" s="37"/>
      <c r="T678" s="204"/>
      <c r="U678" s="37"/>
      <c r="V678" s="37"/>
      <c r="W678" s="37"/>
    </row>
    <row r="679" spans="1:23" ht="15.75" customHeight="1" x14ac:dyDescent="0.25">
      <c r="A679" s="244"/>
      <c r="B679" s="245"/>
      <c r="C679" s="246"/>
      <c r="D679" s="37"/>
      <c r="E679" s="246"/>
      <c r="F679" s="247"/>
      <c r="G679" s="245"/>
      <c r="H679" s="246"/>
      <c r="I679" s="247"/>
      <c r="J679" s="37"/>
      <c r="K679" s="248"/>
      <c r="L679" s="248"/>
      <c r="M679" s="248"/>
      <c r="N679" s="248"/>
      <c r="O679" s="248"/>
      <c r="P679" s="249"/>
      <c r="Q679" s="250"/>
      <c r="R679" s="37"/>
      <c r="S679" s="37"/>
      <c r="T679" s="204"/>
      <c r="U679" s="37"/>
      <c r="V679" s="37"/>
      <c r="W679" s="37"/>
    </row>
    <row r="680" spans="1:23" ht="15.75" customHeight="1" x14ac:dyDescent="0.25">
      <c r="A680" s="244"/>
      <c r="B680" s="245"/>
      <c r="C680" s="246"/>
      <c r="D680" s="37"/>
      <c r="E680" s="246"/>
      <c r="F680" s="247"/>
      <c r="G680" s="245"/>
      <c r="H680" s="246"/>
      <c r="I680" s="247"/>
      <c r="J680" s="37"/>
      <c r="K680" s="248"/>
      <c r="L680" s="248"/>
      <c r="M680" s="248"/>
      <c r="N680" s="248"/>
      <c r="O680" s="248"/>
      <c r="P680" s="249"/>
      <c r="Q680" s="250"/>
      <c r="R680" s="37"/>
      <c r="S680" s="37"/>
      <c r="T680" s="204"/>
      <c r="U680" s="37"/>
      <c r="V680" s="37"/>
      <c r="W680" s="37"/>
    </row>
    <row r="681" spans="1:23" ht="15.75" customHeight="1" x14ac:dyDescent="0.25">
      <c r="A681" s="244"/>
      <c r="B681" s="245"/>
      <c r="C681" s="246"/>
      <c r="D681" s="37"/>
      <c r="E681" s="246"/>
      <c r="F681" s="247"/>
      <c r="G681" s="245"/>
      <c r="H681" s="246"/>
      <c r="I681" s="247"/>
      <c r="J681" s="37"/>
      <c r="K681" s="248"/>
      <c r="L681" s="248"/>
      <c r="M681" s="248"/>
      <c r="N681" s="248"/>
      <c r="O681" s="248"/>
      <c r="P681" s="249"/>
      <c r="Q681" s="250"/>
      <c r="R681" s="37"/>
      <c r="S681" s="37"/>
      <c r="T681" s="204"/>
      <c r="U681" s="37"/>
      <c r="V681" s="37"/>
      <c r="W681" s="37"/>
    </row>
    <row r="682" spans="1:23" ht="15.75" customHeight="1" x14ac:dyDescent="0.25">
      <c r="A682" s="244"/>
      <c r="B682" s="245"/>
      <c r="C682" s="246"/>
      <c r="D682" s="37"/>
      <c r="E682" s="246"/>
      <c r="F682" s="247"/>
      <c r="G682" s="245"/>
      <c r="H682" s="246"/>
      <c r="I682" s="247"/>
      <c r="J682" s="37"/>
      <c r="K682" s="248"/>
      <c r="L682" s="248"/>
      <c r="M682" s="248"/>
      <c r="N682" s="248"/>
      <c r="O682" s="248"/>
      <c r="P682" s="249"/>
      <c r="Q682" s="250"/>
      <c r="R682" s="37"/>
      <c r="S682" s="37"/>
      <c r="T682" s="204"/>
      <c r="U682" s="37"/>
      <c r="V682" s="37"/>
      <c r="W682" s="37"/>
    </row>
    <row r="683" spans="1:23" ht="15.75" customHeight="1" x14ac:dyDescent="0.25">
      <c r="A683" s="244"/>
      <c r="B683" s="245"/>
      <c r="C683" s="246"/>
      <c r="D683" s="37"/>
      <c r="E683" s="246"/>
      <c r="F683" s="247"/>
      <c r="G683" s="245"/>
      <c r="H683" s="246"/>
      <c r="I683" s="247"/>
      <c r="J683" s="37"/>
      <c r="K683" s="248"/>
      <c r="L683" s="248"/>
      <c r="M683" s="248"/>
      <c r="N683" s="248"/>
      <c r="O683" s="248"/>
      <c r="P683" s="249"/>
      <c r="Q683" s="250"/>
      <c r="R683" s="37"/>
      <c r="S683" s="37"/>
      <c r="T683" s="204"/>
      <c r="U683" s="37"/>
      <c r="V683" s="37"/>
      <c r="W683" s="37"/>
    </row>
    <row r="684" spans="1:23" ht="15.75" customHeight="1" x14ac:dyDescent="0.25">
      <c r="A684" s="244"/>
      <c r="B684" s="245"/>
      <c r="C684" s="246"/>
      <c r="D684" s="37"/>
      <c r="E684" s="246"/>
      <c r="F684" s="247"/>
      <c r="G684" s="245"/>
      <c r="H684" s="246"/>
      <c r="I684" s="247"/>
      <c r="J684" s="37"/>
      <c r="K684" s="248"/>
      <c r="L684" s="248"/>
      <c r="M684" s="248"/>
      <c r="N684" s="248"/>
      <c r="O684" s="248"/>
      <c r="P684" s="249"/>
      <c r="Q684" s="250"/>
      <c r="R684" s="37"/>
      <c r="S684" s="37"/>
      <c r="T684" s="204"/>
      <c r="U684" s="37"/>
      <c r="V684" s="37"/>
      <c r="W684" s="37"/>
    </row>
    <row r="685" spans="1:23" ht="15.75" customHeight="1" x14ac:dyDescent="0.25">
      <c r="A685" s="244"/>
      <c r="B685" s="245"/>
      <c r="C685" s="246"/>
      <c r="D685" s="37"/>
      <c r="E685" s="246"/>
      <c r="F685" s="247"/>
      <c r="G685" s="245"/>
      <c r="H685" s="246"/>
      <c r="I685" s="247"/>
      <c r="J685" s="37"/>
      <c r="K685" s="248"/>
      <c r="L685" s="248"/>
      <c r="M685" s="248"/>
      <c r="N685" s="248"/>
      <c r="O685" s="248"/>
      <c r="P685" s="249"/>
      <c r="Q685" s="250"/>
      <c r="R685" s="37"/>
      <c r="S685" s="37"/>
      <c r="T685" s="204"/>
      <c r="U685" s="37"/>
      <c r="V685" s="37"/>
      <c r="W685" s="37"/>
    </row>
    <row r="686" spans="1:23" ht="15.75" customHeight="1" x14ac:dyDescent="0.25">
      <c r="A686" s="244"/>
      <c r="B686" s="245"/>
      <c r="C686" s="246"/>
      <c r="D686" s="37"/>
      <c r="E686" s="246"/>
      <c r="F686" s="247"/>
      <c r="G686" s="245"/>
      <c r="H686" s="246"/>
      <c r="I686" s="247"/>
      <c r="J686" s="37"/>
      <c r="K686" s="248"/>
      <c r="L686" s="248"/>
      <c r="M686" s="248"/>
      <c r="N686" s="248"/>
      <c r="O686" s="248"/>
      <c r="P686" s="249"/>
      <c r="Q686" s="250"/>
      <c r="R686" s="37"/>
      <c r="S686" s="37"/>
      <c r="T686" s="204"/>
      <c r="U686" s="37"/>
      <c r="V686" s="37"/>
      <c r="W686" s="37"/>
    </row>
    <row r="687" spans="1:23" ht="15.75" customHeight="1" x14ac:dyDescent="0.25">
      <c r="A687" s="244"/>
      <c r="B687" s="245"/>
      <c r="C687" s="246"/>
      <c r="D687" s="37"/>
      <c r="E687" s="246"/>
      <c r="F687" s="247"/>
      <c r="G687" s="245"/>
      <c r="H687" s="246"/>
      <c r="I687" s="247"/>
      <c r="J687" s="37"/>
      <c r="K687" s="248"/>
      <c r="L687" s="248"/>
      <c r="M687" s="248"/>
      <c r="N687" s="248"/>
      <c r="O687" s="248"/>
      <c r="P687" s="249"/>
      <c r="Q687" s="250"/>
      <c r="R687" s="37"/>
      <c r="S687" s="37"/>
      <c r="T687" s="204"/>
      <c r="U687" s="37"/>
      <c r="V687" s="37"/>
      <c r="W687" s="37"/>
    </row>
    <row r="688" spans="1:23" ht="15.75" customHeight="1" x14ac:dyDescent="0.25">
      <c r="A688" s="244"/>
      <c r="B688" s="245"/>
      <c r="C688" s="246"/>
      <c r="D688" s="37"/>
      <c r="E688" s="246"/>
      <c r="F688" s="247"/>
      <c r="G688" s="245"/>
      <c r="H688" s="246"/>
      <c r="I688" s="247"/>
      <c r="J688" s="37"/>
      <c r="K688" s="248"/>
      <c r="L688" s="248"/>
      <c r="M688" s="248"/>
      <c r="N688" s="248"/>
      <c r="O688" s="248"/>
      <c r="P688" s="249"/>
      <c r="Q688" s="250"/>
      <c r="R688" s="37"/>
      <c r="S688" s="37"/>
      <c r="T688" s="204"/>
      <c r="U688" s="37"/>
      <c r="V688" s="37"/>
      <c r="W688" s="37"/>
    </row>
    <row r="689" spans="1:23" ht="15.75" customHeight="1" x14ac:dyDescent="0.25">
      <c r="A689" s="244"/>
      <c r="B689" s="245"/>
      <c r="C689" s="246"/>
      <c r="D689" s="37"/>
      <c r="E689" s="246"/>
      <c r="F689" s="247"/>
      <c r="G689" s="245"/>
      <c r="H689" s="246"/>
      <c r="I689" s="247"/>
      <c r="J689" s="37"/>
      <c r="K689" s="248"/>
      <c r="L689" s="248"/>
      <c r="M689" s="248"/>
      <c r="N689" s="248"/>
      <c r="O689" s="248"/>
      <c r="P689" s="249"/>
      <c r="Q689" s="250"/>
      <c r="R689" s="37"/>
      <c r="S689" s="37"/>
      <c r="T689" s="204"/>
      <c r="U689" s="37"/>
      <c r="V689" s="37"/>
      <c r="W689" s="37"/>
    </row>
    <row r="690" spans="1:23" ht="15.75" customHeight="1" x14ac:dyDescent="0.25">
      <c r="A690" s="244"/>
      <c r="B690" s="245"/>
      <c r="C690" s="246"/>
      <c r="D690" s="37"/>
      <c r="E690" s="246"/>
      <c r="F690" s="247"/>
      <c r="G690" s="245"/>
      <c r="H690" s="246"/>
      <c r="I690" s="247"/>
      <c r="J690" s="37"/>
      <c r="K690" s="248"/>
      <c r="L690" s="248"/>
      <c r="M690" s="248"/>
      <c r="N690" s="248"/>
      <c r="O690" s="248"/>
      <c r="P690" s="249"/>
      <c r="Q690" s="250"/>
      <c r="R690" s="37"/>
      <c r="S690" s="37"/>
      <c r="T690" s="204"/>
      <c r="U690" s="37"/>
      <c r="V690" s="37"/>
      <c r="W690" s="37"/>
    </row>
    <row r="691" spans="1:23" ht="15.75" customHeight="1" x14ac:dyDescent="0.25">
      <c r="A691" s="244"/>
      <c r="B691" s="245"/>
      <c r="C691" s="246"/>
      <c r="D691" s="37"/>
      <c r="E691" s="246"/>
      <c r="F691" s="247"/>
      <c r="G691" s="245"/>
      <c r="H691" s="246"/>
      <c r="I691" s="247"/>
      <c r="J691" s="37"/>
      <c r="K691" s="248"/>
      <c r="L691" s="248"/>
      <c r="M691" s="248"/>
      <c r="N691" s="248"/>
      <c r="O691" s="248"/>
      <c r="P691" s="249"/>
      <c r="Q691" s="250"/>
      <c r="R691" s="37"/>
      <c r="S691" s="37"/>
      <c r="T691" s="204"/>
      <c r="U691" s="37"/>
      <c r="V691" s="37"/>
      <c r="W691" s="37"/>
    </row>
    <row r="692" spans="1:23" ht="15.75" customHeight="1" x14ac:dyDescent="0.25">
      <c r="A692" s="244"/>
      <c r="B692" s="245"/>
      <c r="C692" s="246"/>
      <c r="D692" s="37"/>
      <c r="E692" s="246"/>
      <c r="F692" s="247"/>
      <c r="G692" s="245"/>
      <c r="H692" s="246"/>
      <c r="I692" s="247"/>
      <c r="J692" s="37"/>
      <c r="K692" s="248"/>
      <c r="L692" s="248"/>
      <c r="M692" s="248"/>
      <c r="N692" s="248"/>
      <c r="O692" s="248"/>
      <c r="P692" s="249"/>
      <c r="Q692" s="250"/>
      <c r="R692" s="37"/>
      <c r="S692" s="37"/>
      <c r="T692" s="204"/>
      <c r="U692" s="37"/>
      <c r="V692" s="37"/>
      <c r="W692" s="37"/>
    </row>
    <row r="693" spans="1:23" ht="15.75" customHeight="1" x14ac:dyDescent="0.25">
      <c r="A693" s="244"/>
      <c r="B693" s="245"/>
      <c r="C693" s="246"/>
      <c r="D693" s="37"/>
      <c r="E693" s="246"/>
      <c r="F693" s="247"/>
      <c r="G693" s="245"/>
      <c r="H693" s="246"/>
      <c r="I693" s="247"/>
      <c r="J693" s="37"/>
      <c r="K693" s="248"/>
      <c r="L693" s="248"/>
      <c r="M693" s="248"/>
      <c r="N693" s="248"/>
      <c r="O693" s="248"/>
      <c r="P693" s="249"/>
      <c r="Q693" s="250"/>
      <c r="R693" s="37"/>
      <c r="S693" s="37"/>
      <c r="T693" s="204"/>
      <c r="U693" s="37"/>
      <c r="V693" s="37"/>
      <c r="W693" s="37"/>
    </row>
    <row r="694" spans="1:23" ht="15.75" customHeight="1" x14ac:dyDescent="0.25">
      <c r="A694" s="244"/>
      <c r="B694" s="245"/>
      <c r="C694" s="246"/>
      <c r="D694" s="37"/>
      <c r="E694" s="246"/>
      <c r="F694" s="247"/>
      <c r="G694" s="245"/>
      <c r="H694" s="246"/>
      <c r="I694" s="247"/>
      <c r="J694" s="37"/>
      <c r="K694" s="248"/>
      <c r="L694" s="248"/>
      <c r="M694" s="248"/>
      <c r="N694" s="248"/>
      <c r="O694" s="248"/>
      <c r="P694" s="249"/>
      <c r="Q694" s="250"/>
      <c r="R694" s="37"/>
      <c r="S694" s="37"/>
      <c r="T694" s="204"/>
      <c r="U694" s="37"/>
      <c r="V694" s="37"/>
      <c r="W694" s="37"/>
    </row>
    <row r="695" spans="1:23" ht="15.75" customHeight="1" x14ac:dyDescent="0.25">
      <c r="A695" s="244"/>
      <c r="B695" s="245"/>
      <c r="C695" s="246"/>
      <c r="D695" s="37"/>
      <c r="E695" s="246"/>
      <c r="F695" s="247"/>
      <c r="G695" s="245"/>
      <c r="H695" s="246"/>
      <c r="I695" s="247"/>
      <c r="J695" s="37"/>
      <c r="K695" s="248"/>
      <c r="L695" s="248"/>
      <c r="M695" s="248"/>
      <c r="N695" s="248"/>
      <c r="O695" s="248"/>
      <c r="P695" s="249"/>
      <c r="Q695" s="250"/>
      <c r="R695" s="37"/>
      <c r="S695" s="37"/>
      <c r="T695" s="204"/>
      <c r="U695" s="37"/>
      <c r="V695" s="37"/>
      <c r="W695" s="37"/>
    </row>
    <row r="696" spans="1:23" ht="15.75" customHeight="1" x14ac:dyDescent="0.25">
      <c r="A696" s="244"/>
      <c r="B696" s="245"/>
      <c r="C696" s="246"/>
      <c r="D696" s="37"/>
      <c r="E696" s="246"/>
      <c r="F696" s="247"/>
      <c r="G696" s="245"/>
      <c r="H696" s="246"/>
      <c r="I696" s="247"/>
      <c r="J696" s="37"/>
      <c r="K696" s="248"/>
      <c r="L696" s="248"/>
      <c r="M696" s="248"/>
      <c r="N696" s="248"/>
      <c r="O696" s="248"/>
      <c r="P696" s="249"/>
      <c r="Q696" s="250"/>
      <c r="R696" s="37"/>
      <c r="S696" s="37"/>
      <c r="T696" s="204"/>
      <c r="U696" s="37"/>
      <c r="V696" s="37"/>
      <c r="W696" s="37"/>
    </row>
    <row r="697" spans="1:23" ht="15.75" customHeight="1" x14ac:dyDescent="0.25">
      <c r="A697" s="244"/>
      <c r="B697" s="245"/>
      <c r="C697" s="246"/>
      <c r="D697" s="37"/>
      <c r="E697" s="246"/>
      <c r="F697" s="247"/>
      <c r="G697" s="245"/>
      <c r="H697" s="246"/>
      <c r="I697" s="247"/>
      <c r="J697" s="37"/>
      <c r="K697" s="248"/>
      <c r="L697" s="248"/>
      <c r="M697" s="248"/>
      <c r="N697" s="248"/>
      <c r="O697" s="248"/>
      <c r="P697" s="249"/>
      <c r="Q697" s="250"/>
      <c r="R697" s="37"/>
      <c r="S697" s="37"/>
      <c r="T697" s="204"/>
      <c r="U697" s="37"/>
      <c r="V697" s="37"/>
      <c r="W697" s="37"/>
    </row>
    <row r="698" spans="1:23" ht="15.75" customHeight="1" x14ac:dyDescent="0.25">
      <c r="A698" s="244"/>
      <c r="B698" s="245"/>
      <c r="C698" s="246"/>
      <c r="D698" s="37"/>
      <c r="E698" s="246"/>
      <c r="F698" s="247"/>
      <c r="G698" s="245"/>
      <c r="H698" s="246"/>
      <c r="I698" s="247"/>
      <c r="J698" s="37"/>
      <c r="K698" s="248"/>
      <c r="L698" s="248"/>
      <c r="M698" s="248"/>
      <c r="N698" s="248"/>
      <c r="O698" s="248"/>
      <c r="P698" s="249"/>
      <c r="Q698" s="250"/>
      <c r="R698" s="37"/>
      <c r="S698" s="37"/>
      <c r="T698" s="204"/>
      <c r="U698" s="37"/>
      <c r="V698" s="37"/>
      <c r="W698" s="37"/>
    </row>
    <row r="699" spans="1:23" ht="15.75" customHeight="1" x14ac:dyDescent="0.25">
      <c r="A699" s="244"/>
      <c r="B699" s="245"/>
      <c r="C699" s="246"/>
      <c r="D699" s="37"/>
      <c r="E699" s="246"/>
      <c r="F699" s="247"/>
      <c r="G699" s="245"/>
      <c r="H699" s="246"/>
      <c r="I699" s="247"/>
      <c r="J699" s="37"/>
      <c r="K699" s="248"/>
      <c r="L699" s="248"/>
      <c r="M699" s="248"/>
      <c r="N699" s="248"/>
      <c r="O699" s="248"/>
      <c r="P699" s="249"/>
      <c r="Q699" s="250"/>
      <c r="R699" s="37"/>
      <c r="S699" s="37"/>
      <c r="T699" s="204"/>
      <c r="U699" s="37"/>
      <c r="V699" s="37"/>
      <c r="W699" s="37"/>
    </row>
    <row r="700" spans="1:23" ht="15.75" customHeight="1" x14ac:dyDescent="0.25">
      <c r="A700" s="244"/>
      <c r="B700" s="245"/>
      <c r="C700" s="246"/>
      <c r="D700" s="37"/>
      <c r="E700" s="246"/>
      <c r="F700" s="247"/>
      <c r="G700" s="245"/>
      <c r="H700" s="246"/>
      <c r="I700" s="247"/>
      <c r="J700" s="37"/>
      <c r="K700" s="248"/>
      <c r="L700" s="248"/>
      <c r="M700" s="248"/>
      <c r="N700" s="248"/>
      <c r="O700" s="248"/>
      <c r="P700" s="249"/>
      <c r="Q700" s="250"/>
      <c r="R700" s="37"/>
      <c r="S700" s="37"/>
      <c r="T700" s="204"/>
      <c r="U700" s="37"/>
      <c r="V700" s="37"/>
      <c r="W700" s="37"/>
    </row>
    <row r="701" spans="1:23" ht="15.75" customHeight="1" x14ac:dyDescent="0.25">
      <c r="A701" s="244"/>
      <c r="B701" s="245"/>
      <c r="C701" s="246"/>
      <c r="D701" s="37"/>
      <c r="E701" s="246"/>
      <c r="F701" s="247"/>
      <c r="G701" s="245"/>
      <c r="H701" s="246"/>
      <c r="I701" s="247"/>
      <c r="J701" s="37"/>
      <c r="K701" s="248"/>
      <c r="L701" s="248"/>
      <c r="M701" s="248"/>
      <c r="N701" s="248"/>
      <c r="O701" s="248"/>
      <c r="P701" s="249"/>
      <c r="Q701" s="250"/>
      <c r="R701" s="37"/>
      <c r="S701" s="37"/>
      <c r="T701" s="204"/>
      <c r="U701" s="37"/>
      <c r="V701" s="37"/>
      <c r="W701" s="37"/>
    </row>
    <row r="702" spans="1:23" ht="15.75" customHeight="1" x14ac:dyDescent="0.25">
      <c r="A702" s="244"/>
      <c r="B702" s="245"/>
      <c r="C702" s="246"/>
      <c r="D702" s="37"/>
      <c r="E702" s="246"/>
      <c r="F702" s="247"/>
      <c r="G702" s="245"/>
      <c r="H702" s="246"/>
      <c r="I702" s="247"/>
      <c r="J702" s="37"/>
      <c r="K702" s="248"/>
      <c r="L702" s="248"/>
      <c r="M702" s="248"/>
      <c r="N702" s="248"/>
      <c r="O702" s="248"/>
      <c r="P702" s="249"/>
      <c r="Q702" s="250"/>
      <c r="R702" s="37"/>
      <c r="S702" s="37"/>
      <c r="T702" s="204"/>
      <c r="U702" s="37"/>
      <c r="V702" s="37"/>
      <c r="W702" s="37"/>
    </row>
    <row r="703" spans="1:23" ht="15.75" customHeight="1" x14ac:dyDescent="0.25">
      <c r="A703" s="244"/>
      <c r="B703" s="245"/>
      <c r="C703" s="246"/>
      <c r="D703" s="37"/>
      <c r="E703" s="246"/>
      <c r="F703" s="247"/>
      <c r="G703" s="245"/>
      <c r="H703" s="246"/>
      <c r="I703" s="247"/>
      <c r="J703" s="37"/>
      <c r="K703" s="248"/>
      <c r="L703" s="248"/>
      <c r="M703" s="248"/>
      <c r="N703" s="248"/>
      <c r="O703" s="248"/>
      <c r="P703" s="249"/>
      <c r="Q703" s="250"/>
      <c r="R703" s="37"/>
      <c r="S703" s="37"/>
      <c r="T703" s="204"/>
      <c r="U703" s="37"/>
      <c r="V703" s="37"/>
      <c r="W703" s="37"/>
    </row>
    <row r="704" spans="1:23" ht="15.75" customHeight="1" x14ac:dyDescent="0.25">
      <c r="A704" s="244"/>
      <c r="B704" s="245"/>
      <c r="C704" s="246"/>
      <c r="D704" s="37"/>
      <c r="E704" s="246"/>
      <c r="F704" s="247"/>
      <c r="G704" s="245"/>
      <c r="H704" s="246"/>
      <c r="I704" s="247"/>
      <c r="J704" s="37"/>
      <c r="K704" s="248"/>
      <c r="L704" s="248"/>
      <c r="M704" s="248"/>
      <c r="N704" s="248"/>
      <c r="O704" s="248"/>
      <c r="P704" s="249"/>
      <c r="Q704" s="250"/>
      <c r="R704" s="37"/>
      <c r="S704" s="37"/>
      <c r="T704" s="204"/>
      <c r="U704" s="37"/>
      <c r="V704" s="37"/>
      <c r="W704" s="37"/>
    </row>
    <row r="705" spans="1:23" ht="15.75" customHeight="1" x14ac:dyDescent="0.25">
      <c r="A705" s="244"/>
      <c r="B705" s="245"/>
      <c r="C705" s="246"/>
      <c r="D705" s="37"/>
      <c r="E705" s="246"/>
      <c r="F705" s="247"/>
      <c r="G705" s="245"/>
      <c r="H705" s="246"/>
      <c r="I705" s="247"/>
      <c r="J705" s="37"/>
      <c r="K705" s="248"/>
      <c r="L705" s="248"/>
      <c r="M705" s="248"/>
      <c r="N705" s="248"/>
      <c r="O705" s="248"/>
      <c r="P705" s="249"/>
      <c r="Q705" s="250"/>
      <c r="R705" s="37"/>
      <c r="S705" s="37"/>
      <c r="T705" s="204"/>
      <c r="U705" s="37"/>
      <c r="V705" s="37"/>
      <c r="W705" s="37"/>
    </row>
    <row r="706" spans="1:23" ht="15.75" customHeight="1" x14ac:dyDescent="0.25">
      <c r="A706" s="244"/>
      <c r="B706" s="245"/>
      <c r="C706" s="246"/>
      <c r="D706" s="37"/>
      <c r="E706" s="246"/>
      <c r="F706" s="247"/>
      <c r="G706" s="245"/>
      <c r="H706" s="246"/>
      <c r="I706" s="247"/>
      <c r="J706" s="37"/>
      <c r="K706" s="248"/>
      <c r="L706" s="248"/>
      <c r="M706" s="248"/>
      <c r="N706" s="248"/>
      <c r="O706" s="248"/>
      <c r="P706" s="249"/>
      <c r="Q706" s="250"/>
      <c r="R706" s="37"/>
      <c r="S706" s="37"/>
      <c r="T706" s="204"/>
      <c r="U706" s="37"/>
      <c r="V706" s="37"/>
      <c r="W706" s="37"/>
    </row>
    <row r="707" spans="1:23" ht="15.75" customHeight="1" x14ac:dyDescent="0.25">
      <c r="A707" s="244"/>
      <c r="B707" s="245"/>
      <c r="C707" s="246"/>
      <c r="D707" s="37"/>
      <c r="E707" s="246"/>
      <c r="F707" s="247"/>
      <c r="G707" s="245"/>
      <c r="H707" s="246"/>
      <c r="I707" s="247"/>
      <c r="J707" s="37"/>
      <c r="K707" s="248"/>
      <c r="L707" s="248"/>
      <c r="M707" s="248"/>
      <c r="N707" s="248"/>
      <c r="O707" s="248"/>
      <c r="P707" s="249"/>
      <c r="Q707" s="250"/>
      <c r="R707" s="37"/>
      <c r="S707" s="37"/>
      <c r="T707" s="204"/>
      <c r="U707" s="37"/>
      <c r="V707" s="37"/>
      <c r="W707" s="37"/>
    </row>
    <row r="708" spans="1:23" ht="15.75" customHeight="1" x14ac:dyDescent="0.25">
      <c r="A708" s="244"/>
      <c r="B708" s="245"/>
      <c r="C708" s="246"/>
      <c r="D708" s="37"/>
      <c r="E708" s="246"/>
      <c r="F708" s="247"/>
      <c r="G708" s="245"/>
      <c r="H708" s="246"/>
      <c r="I708" s="247"/>
      <c r="J708" s="37"/>
      <c r="K708" s="248"/>
      <c r="L708" s="248"/>
      <c r="M708" s="248"/>
      <c r="N708" s="248"/>
      <c r="O708" s="248"/>
      <c r="P708" s="249"/>
      <c r="Q708" s="250"/>
      <c r="R708" s="37"/>
      <c r="S708" s="37"/>
      <c r="T708" s="204"/>
      <c r="U708" s="37"/>
      <c r="V708" s="37"/>
      <c r="W708" s="37"/>
    </row>
    <row r="709" spans="1:23" ht="15.75" customHeight="1" x14ac:dyDescent="0.25">
      <c r="A709" s="244"/>
      <c r="B709" s="245"/>
      <c r="C709" s="246"/>
      <c r="D709" s="37"/>
      <c r="E709" s="246"/>
      <c r="F709" s="247"/>
      <c r="G709" s="245"/>
      <c r="H709" s="246"/>
      <c r="I709" s="247"/>
      <c r="J709" s="37"/>
      <c r="K709" s="248"/>
      <c r="L709" s="248"/>
      <c r="M709" s="248"/>
      <c r="N709" s="248"/>
      <c r="O709" s="248"/>
      <c r="P709" s="249"/>
      <c r="Q709" s="250"/>
      <c r="R709" s="37"/>
      <c r="S709" s="37"/>
      <c r="T709" s="204"/>
      <c r="U709" s="37"/>
      <c r="V709" s="37"/>
      <c r="W709" s="37"/>
    </row>
    <row r="710" spans="1:23" ht="15.75" customHeight="1" x14ac:dyDescent="0.25">
      <c r="A710" s="244"/>
      <c r="B710" s="245"/>
      <c r="C710" s="246"/>
      <c r="D710" s="37"/>
      <c r="E710" s="246"/>
      <c r="F710" s="247"/>
      <c r="G710" s="245"/>
      <c r="H710" s="246"/>
      <c r="I710" s="247"/>
      <c r="J710" s="37"/>
      <c r="K710" s="248"/>
      <c r="L710" s="248"/>
      <c r="M710" s="248"/>
      <c r="N710" s="248"/>
      <c r="O710" s="248"/>
      <c r="P710" s="249"/>
      <c r="Q710" s="250"/>
      <c r="R710" s="37"/>
      <c r="S710" s="37"/>
      <c r="T710" s="204"/>
      <c r="U710" s="37"/>
      <c r="V710" s="37"/>
      <c r="W710" s="37"/>
    </row>
    <row r="711" spans="1:23" ht="15.75" customHeight="1" x14ac:dyDescent="0.25">
      <c r="A711" s="244"/>
      <c r="B711" s="245"/>
      <c r="C711" s="246"/>
      <c r="D711" s="37"/>
      <c r="E711" s="246"/>
      <c r="F711" s="247"/>
      <c r="G711" s="245"/>
      <c r="H711" s="246"/>
      <c r="I711" s="247"/>
      <c r="J711" s="37"/>
      <c r="K711" s="248"/>
      <c r="L711" s="248"/>
      <c r="M711" s="248"/>
      <c r="N711" s="248"/>
      <c r="O711" s="248"/>
      <c r="P711" s="249"/>
      <c r="Q711" s="250"/>
      <c r="R711" s="37"/>
      <c r="S711" s="37"/>
      <c r="T711" s="204"/>
      <c r="U711" s="37"/>
      <c r="V711" s="37"/>
      <c r="W711" s="37"/>
    </row>
    <row r="712" spans="1:23" ht="15.75" customHeight="1" x14ac:dyDescent="0.25">
      <c r="A712" s="244"/>
      <c r="B712" s="245"/>
      <c r="C712" s="246"/>
      <c r="D712" s="37"/>
      <c r="E712" s="246"/>
      <c r="F712" s="247"/>
      <c r="G712" s="245"/>
      <c r="H712" s="246"/>
      <c r="I712" s="247"/>
      <c r="J712" s="37"/>
      <c r="K712" s="248"/>
      <c r="L712" s="248"/>
      <c r="M712" s="248"/>
      <c r="N712" s="248"/>
      <c r="O712" s="248"/>
      <c r="P712" s="249"/>
      <c r="Q712" s="250"/>
      <c r="R712" s="37"/>
      <c r="S712" s="37"/>
      <c r="T712" s="204"/>
      <c r="U712" s="37"/>
      <c r="V712" s="37"/>
      <c r="W712" s="37"/>
    </row>
    <row r="713" spans="1:23" ht="15.75" customHeight="1" x14ac:dyDescent="0.25">
      <c r="A713" s="244"/>
      <c r="B713" s="245"/>
      <c r="C713" s="246"/>
      <c r="D713" s="37"/>
      <c r="E713" s="246"/>
      <c r="F713" s="247"/>
      <c r="G713" s="245"/>
      <c r="H713" s="246"/>
      <c r="I713" s="247"/>
      <c r="J713" s="37"/>
      <c r="K713" s="248"/>
      <c r="L713" s="248"/>
      <c r="M713" s="248"/>
      <c r="N713" s="248"/>
      <c r="O713" s="248"/>
      <c r="P713" s="249"/>
      <c r="Q713" s="250"/>
      <c r="R713" s="37"/>
      <c r="S713" s="37"/>
      <c r="T713" s="204"/>
      <c r="U713" s="37"/>
      <c r="V713" s="37"/>
      <c r="W713" s="37"/>
    </row>
    <row r="714" spans="1:23" ht="15.75" customHeight="1" x14ac:dyDescent="0.25">
      <c r="A714" s="244"/>
      <c r="B714" s="245"/>
      <c r="C714" s="246"/>
      <c r="D714" s="37"/>
      <c r="E714" s="246"/>
      <c r="F714" s="247"/>
      <c r="G714" s="245"/>
      <c r="H714" s="246"/>
      <c r="I714" s="247"/>
      <c r="J714" s="37"/>
      <c r="K714" s="248"/>
      <c r="L714" s="248"/>
      <c r="M714" s="248"/>
      <c r="N714" s="248"/>
      <c r="O714" s="248"/>
      <c r="P714" s="249"/>
      <c r="Q714" s="250"/>
      <c r="R714" s="37"/>
      <c r="S714" s="37"/>
      <c r="T714" s="204"/>
      <c r="U714" s="37"/>
      <c r="V714" s="37"/>
      <c r="W714" s="37"/>
    </row>
    <row r="715" spans="1:23" ht="15.75" customHeight="1" x14ac:dyDescent="0.25">
      <c r="A715" s="244"/>
      <c r="B715" s="245"/>
      <c r="C715" s="246"/>
      <c r="D715" s="37"/>
      <c r="E715" s="246"/>
      <c r="F715" s="247"/>
      <c r="G715" s="245"/>
      <c r="H715" s="246"/>
      <c r="I715" s="247"/>
      <c r="J715" s="37"/>
      <c r="K715" s="248"/>
      <c r="L715" s="248"/>
      <c r="M715" s="248"/>
      <c r="N715" s="248"/>
      <c r="O715" s="248"/>
      <c r="P715" s="249"/>
      <c r="Q715" s="250"/>
      <c r="R715" s="37"/>
      <c r="S715" s="37"/>
      <c r="T715" s="204"/>
      <c r="U715" s="37"/>
      <c r="V715" s="37"/>
      <c r="W715" s="37"/>
    </row>
    <row r="716" spans="1:23" ht="15.75" customHeight="1" x14ac:dyDescent="0.25">
      <c r="A716" s="244"/>
      <c r="B716" s="245"/>
      <c r="C716" s="246"/>
      <c r="D716" s="37"/>
      <c r="E716" s="246"/>
      <c r="F716" s="247"/>
      <c r="G716" s="245"/>
      <c r="H716" s="246"/>
      <c r="I716" s="247"/>
      <c r="J716" s="37"/>
      <c r="K716" s="248"/>
      <c r="L716" s="248"/>
      <c r="M716" s="248"/>
      <c r="N716" s="248"/>
      <c r="O716" s="248"/>
      <c r="P716" s="249"/>
      <c r="Q716" s="250"/>
      <c r="R716" s="37"/>
      <c r="S716" s="37"/>
      <c r="T716" s="204"/>
      <c r="U716" s="37"/>
      <c r="V716" s="37"/>
      <c r="W716" s="37"/>
    </row>
    <row r="717" spans="1:23" ht="15.75" customHeight="1" x14ac:dyDescent="0.25">
      <c r="A717" s="244"/>
      <c r="B717" s="245"/>
      <c r="C717" s="246"/>
      <c r="D717" s="37"/>
      <c r="E717" s="246"/>
      <c r="F717" s="247"/>
      <c r="G717" s="245"/>
      <c r="H717" s="246"/>
      <c r="I717" s="247"/>
      <c r="J717" s="37"/>
      <c r="K717" s="248"/>
      <c r="L717" s="248"/>
      <c r="M717" s="248"/>
      <c r="N717" s="248"/>
      <c r="O717" s="248"/>
      <c r="P717" s="249"/>
      <c r="Q717" s="250"/>
      <c r="R717" s="37"/>
      <c r="S717" s="37"/>
      <c r="T717" s="204"/>
      <c r="U717" s="37"/>
      <c r="V717" s="37"/>
      <c r="W717" s="37"/>
    </row>
    <row r="718" spans="1:23" ht="15.75" customHeight="1" x14ac:dyDescent="0.25">
      <c r="A718" s="244"/>
      <c r="B718" s="245"/>
      <c r="C718" s="246"/>
      <c r="D718" s="37"/>
      <c r="E718" s="246"/>
      <c r="F718" s="247"/>
      <c r="G718" s="245"/>
      <c r="H718" s="246"/>
      <c r="I718" s="247"/>
      <c r="J718" s="37"/>
      <c r="K718" s="248"/>
      <c r="L718" s="248"/>
      <c r="M718" s="248"/>
      <c r="N718" s="248"/>
      <c r="O718" s="248"/>
      <c r="P718" s="249"/>
      <c r="Q718" s="250"/>
      <c r="R718" s="37"/>
      <c r="S718" s="37"/>
      <c r="T718" s="204"/>
      <c r="U718" s="37"/>
      <c r="V718" s="37"/>
      <c r="W718" s="37"/>
    </row>
    <row r="719" spans="1:23" ht="15.75" customHeight="1" x14ac:dyDescent="0.25">
      <c r="A719" s="244"/>
      <c r="B719" s="245"/>
      <c r="C719" s="246"/>
      <c r="D719" s="37"/>
      <c r="E719" s="246"/>
      <c r="F719" s="247"/>
      <c r="G719" s="245"/>
      <c r="H719" s="246"/>
      <c r="I719" s="247"/>
      <c r="J719" s="37"/>
      <c r="K719" s="248"/>
      <c r="L719" s="248"/>
      <c r="M719" s="248"/>
      <c r="N719" s="248"/>
      <c r="O719" s="248"/>
      <c r="P719" s="249"/>
      <c r="Q719" s="250"/>
      <c r="R719" s="37"/>
      <c r="S719" s="37"/>
      <c r="T719" s="204"/>
      <c r="U719" s="37"/>
      <c r="V719" s="37"/>
      <c r="W719" s="37"/>
    </row>
    <row r="720" spans="1:23" ht="15.75" customHeight="1" x14ac:dyDescent="0.25">
      <c r="A720" s="244"/>
      <c r="B720" s="245"/>
      <c r="C720" s="246"/>
      <c r="D720" s="37"/>
      <c r="E720" s="246"/>
      <c r="F720" s="247"/>
      <c r="G720" s="245"/>
      <c r="H720" s="246"/>
      <c r="I720" s="247"/>
      <c r="J720" s="37"/>
      <c r="K720" s="248"/>
      <c r="L720" s="248"/>
      <c r="M720" s="248"/>
      <c r="N720" s="248"/>
      <c r="O720" s="248"/>
      <c r="P720" s="249"/>
      <c r="Q720" s="250"/>
      <c r="R720" s="37"/>
      <c r="S720" s="37"/>
      <c r="T720" s="204"/>
      <c r="U720" s="37"/>
      <c r="V720" s="37"/>
      <c r="W720" s="37"/>
    </row>
    <row r="721" spans="1:23" ht="15.75" customHeight="1" x14ac:dyDescent="0.25">
      <c r="A721" s="244"/>
      <c r="B721" s="245"/>
      <c r="C721" s="246"/>
      <c r="D721" s="37"/>
      <c r="E721" s="246"/>
      <c r="F721" s="247"/>
      <c r="G721" s="245"/>
      <c r="H721" s="246"/>
      <c r="I721" s="247"/>
      <c r="J721" s="37"/>
      <c r="K721" s="248"/>
      <c r="L721" s="248"/>
      <c r="M721" s="248"/>
      <c r="N721" s="248"/>
      <c r="O721" s="248"/>
      <c r="P721" s="249"/>
      <c r="Q721" s="250"/>
      <c r="R721" s="37"/>
      <c r="S721" s="37"/>
      <c r="T721" s="204"/>
      <c r="U721" s="37"/>
      <c r="V721" s="37"/>
      <c r="W721" s="37"/>
    </row>
    <row r="722" spans="1:23" ht="15.75" customHeight="1" x14ac:dyDescent="0.25">
      <c r="A722" s="244"/>
      <c r="B722" s="245"/>
      <c r="C722" s="246"/>
      <c r="D722" s="37"/>
      <c r="E722" s="246"/>
      <c r="F722" s="247"/>
      <c r="G722" s="245"/>
      <c r="H722" s="246"/>
      <c r="I722" s="247"/>
      <c r="J722" s="37"/>
      <c r="K722" s="248"/>
      <c r="L722" s="248"/>
      <c r="M722" s="248"/>
      <c r="N722" s="248"/>
      <c r="O722" s="248"/>
      <c r="P722" s="249"/>
      <c r="Q722" s="250"/>
      <c r="R722" s="37"/>
      <c r="S722" s="37"/>
      <c r="T722" s="204"/>
      <c r="U722" s="37"/>
      <c r="V722" s="37"/>
      <c r="W722" s="37"/>
    </row>
    <row r="723" spans="1:23" ht="15.75" customHeight="1" x14ac:dyDescent="0.25">
      <c r="A723" s="244"/>
      <c r="B723" s="245"/>
      <c r="C723" s="246"/>
      <c r="D723" s="37"/>
      <c r="E723" s="246"/>
      <c r="F723" s="247"/>
      <c r="G723" s="245"/>
      <c r="H723" s="246"/>
      <c r="I723" s="247"/>
      <c r="J723" s="37"/>
      <c r="K723" s="248"/>
      <c r="L723" s="248"/>
      <c r="M723" s="248"/>
      <c r="N723" s="248"/>
      <c r="O723" s="248"/>
      <c r="P723" s="249"/>
      <c r="Q723" s="250"/>
      <c r="R723" s="37"/>
      <c r="S723" s="37"/>
      <c r="T723" s="204"/>
      <c r="U723" s="37"/>
      <c r="V723" s="37"/>
      <c r="W723" s="37"/>
    </row>
    <row r="724" spans="1:23" ht="15.75" customHeight="1" x14ac:dyDescent="0.25">
      <c r="A724" s="244"/>
      <c r="B724" s="245"/>
      <c r="C724" s="246"/>
      <c r="D724" s="37"/>
      <c r="E724" s="246"/>
      <c r="F724" s="247"/>
      <c r="G724" s="245"/>
      <c r="H724" s="246"/>
      <c r="I724" s="247"/>
      <c r="J724" s="37"/>
      <c r="K724" s="248"/>
      <c r="L724" s="248"/>
      <c r="M724" s="248"/>
      <c r="N724" s="248"/>
      <c r="O724" s="248"/>
      <c r="P724" s="249"/>
      <c r="Q724" s="250"/>
      <c r="R724" s="37"/>
      <c r="S724" s="37"/>
      <c r="T724" s="204"/>
      <c r="U724" s="37"/>
      <c r="V724" s="37"/>
      <c r="W724" s="37"/>
    </row>
    <row r="725" spans="1:23" ht="15.75" customHeight="1" x14ac:dyDescent="0.25">
      <c r="A725" s="244"/>
      <c r="B725" s="245"/>
      <c r="C725" s="246"/>
      <c r="D725" s="37"/>
      <c r="E725" s="246"/>
      <c r="F725" s="247"/>
      <c r="G725" s="245"/>
      <c r="H725" s="246"/>
      <c r="I725" s="247"/>
      <c r="J725" s="37"/>
      <c r="K725" s="248"/>
      <c r="L725" s="248"/>
      <c r="M725" s="248"/>
      <c r="N725" s="248"/>
      <c r="O725" s="248"/>
      <c r="P725" s="249"/>
      <c r="Q725" s="250"/>
      <c r="R725" s="37"/>
      <c r="S725" s="37"/>
      <c r="T725" s="204"/>
      <c r="U725" s="37"/>
      <c r="V725" s="37"/>
      <c r="W725" s="37"/>
    </row>
    <row r="726" spans="1:23" ht="15.75" customHeight="1" x14ac:dyDescent="0.25">
      <c r="A726" s="244"/>
      <c r="B726" s="245"/>
      <c r="C726" s="246"/>
      <c r="D726" s="37"/>
      <c r="E726" s="246"/>
      <c r="F726" s="247"/>
      <c r="G726" s="245"/>
      <c r="H726" s="246"/>
      <c r="I726" s="247"/>
      <c r="J726" s="37"/>
      <c r="K726" s="248"/>
      <c r="L726" s="248"/>
      <c r="M726" s="248"/>
      <c r="N726" s="248"/>
      <c r="O726" s="248"/>
      <c r="P726" s="249"/>
      <c r="Q726" s="250"/>
      <c r="R726" s="37"/>
      <c r="S726" s="37"/>
      <c r="T726" s="204"/>
      <c r="U726" s="37"/>
      <c r="V726" s="37"/>
      <c r="W726" s="37"/>
    </row>
    <row r="727" spans="1:23" ht="15.75" customHeight="1" x14ac:dyDescent="0.25">
      <c r="A727" s="244"/>
      <c r="B727" s="245"/>
      <c r="C727" s="246"/>
      <c r="D727" s="37"/>
      <c r="E727" s="246"/>
      <c r="F727" s="247"/>
      <c r="G727" s="245"/>
      <c r="H727" s="246"/>
      <c r="I727" s="247"/>
      <c r="J727" s="37"/>
      <c r="K727" s="248"/>
      <c r="L727" s="248"/>
      <c r="M727" s="248"/>
      <c r="N727" s="248"/>
      <c r="O727" s="248"/>
      <c r="P727" s="249"/>
      <c r="Q727" s="250"/>
      <c r="R727" s="37"/>
      <c r="S727" s="37"/>
      <c r="T727" s="204"/>
      <c r="U727" s="37"/>
      <c r="V727" s="37"/>
      <c r="W727" s="37"/>
    </row>
    <row r="728" spans="1:23" ht="15.75" customHeight="1" x14ac:dyDescent="0.25">
      <c r="A728" s="244"/>
      <c r="B728" s="245"/>
      <c r="C728" s="246"/>
      <c r="D728" s="37"/>
      <c r="E728" s="246"/>
      <c r="F728" s="247"/>
      <c r="G728" s="245"/>
      <c r="H728" s="246"/>
      <c r="I728" s="247"/>
      <c r="J728" s="37"/>
      <c r="K728" s="248"/>
      <c r="L728" s="248"/>
      <c r="M728" s="248"/>
      <c r="N728" s="248"/>
      <c r="O728" s="248"/>
      <c r="P728" s="249"/>
      <c r="Q728" s="250"/>
      <c r="R728" s="37"/>
      <c r="S728" s="37"/>
      <c r="T728" s="204"/>
      <c r="U728" s="37"/>
      <c r="V728" s="37"/>
      <c r="W728" s="37"/>
    </row>
    <row r="729" spans="1:23" ht="15.75" customHeight="1" x14ac:dyDescent="0.25">
      <c r="A729" s="244"/>
      <c r="B729" s="245"/>
      <c r="C729" s="246"/>
      <c r="D729" s="37"/>
      <c r="E729" s="246"/>
      <c r="F729" s="247"/>
      <c r="G729" s="245"/>
      <c r="H729" s="246"/>
      <c r="I729" s="247"/>
      <c r="J729" s="37"/>
      <c r="K729" s="248"/>
      <c r="L729" s="248"/>
      <c r="M729" s="248"/>
      <c r="N729" s="248"/>
      <c r="O729" s="248"/>
      <c r="P729" s="249"/>
      <c r="Q729" s="250"/>
      <c r="R729" s="37"/>
      <c r="S729" s="37"/>
      <c r="T729" s="204"/>
      <c r="U729" s="37"/>
      <c r="V729" s="37"/>
      <c r="W729" s="37"/>
    </row>
    <row r="730" spans="1:23" ht="15.75" customHeight="1" x14ac:dyDescent="0.25">
      <c r="A730" s="244"/>
      <c r="B730" s="245"/>
      <c r="C730" s="246"/>
      <c r="D730" s="37"/>
      <c r="E730" s="246"/>
      <c r="F730" s="247"/>
      <c r="G730" s="245"/>
      <c r="H730" s="246"/>
      <c r="I730" s="247"/>
      <c r="J730" s="37"/>
      <c r="K730" s="248"/>
      <c r="L730" s="248"/>
      <c r="M730" s="248"/>
      <c r="N730" s="248"/>
      <c r="O730" s="248"/>
      <c r="P730" s="249"/>
      <c r="Q730" s="250"/>
      <c r="R730" s="37"/>
      <c r="S730" s="37"/>
      <c r="T730" s="204"/>
      <c r="U730" s="37"/>
      <c r="V730" s="37"/>
      <c r="W730" s="37"/>
    </row>
    <row r="731" spans="1:23" ht="15.75" customHeight="1" x14ac:dyDescent="0.25">
      <c r="A731" s="244"/>
      <c r="B731" s="245"/>
      <c r="C731" s="246"/>
      <c r="D731" s="37"/>
      <c r="E731" s="246"/>
      <c r="F731" s="247"/>
      <c r="G731" s="245"/>
      <c r="H731" s="246"/>
      <c r="I731" s="247"/>
      <c r="J731" s="37"/>
      <c r="K731" s="248"/>
      <c r="L731" s="248"/>
      <c r="M731" s="248"/>
      <c r="N731" s="248"/>
      <c r="O731" s="248"/>
      <c r="P731" s="249"/>
      <c r="Q731" s="250"/>
      <c r="R731" s="37"/>
      <c r="S731" s="37"/>
      <c r="T731" s="204"/>
      <c r="U731" s="37"/>
      <c r="V731" s="37"/>
      <c r="W731" s="37"/>
    </row>
    <row r="732" spans="1:23" ht="15.75" customHeight="1" x14ac:dyDescent="0.25">
      <c r="A732" s="244"/>
      <c r="B732" s="245"/>
      <c r="C732" s="246"/>
      <c r="D732" s="37"/>
      <c r="E732" s="246"/>
      <c r="F732" s="247"/>
      <c r="G732" s="245"/>
      <c r="H732" s="246"/>
      <c r="I732" s="247"/>
      <c r="J732" s="37"/>
      <c r="K732" s="248"/>
      <c r="L732" s="248"/>
      <c r="M732" s="248"/>
      <c r="N732" s="248"/>
      <c r="O732" s="248"/>
      <c r="P732" s="249"/>
      <c r="Q732" s="250"/>
      <c r="R732" s="37"/>
      <c r="S732" s="37"/>
      <c r="T732" s="204"/>
      <c r="U732" s="37"/>
      <c r="V732" s="37"/>
      <c r="W732" s="37"/>
    </row>
    <row r="733" spans="1:23" ht="15.75" customHeight="1" x14ac:dyDescent="0.25">
      <c r="A733" s="244"/>
      <c r="B733" s="245"/>
      <c r="C733" s="246"/>
      <c r="D733" s="37"/>
      <c r="E733" s="246"/>
      <c r="F733" s="247"/>
      <c r="G733" s="245"/>
      <c r="H733" s="246"/>
      <c r="I733" s="247"/>
      <c r="J733" s="37"/>
      <c r="K733" s="248"/>
      <c r="L733" s="248"/>
      <c r="M733" s="248"/>
      <c r="N733" s="248"/>
      <c r="O733" s="248"/>
      <c r="P733" s="249"/>
      <c r="Q733" s="250"/>
      <c r="R733" s="37"/>
      <c r="S733" s="37"/>
      <c r="T733" s="204"/>
      <c r="U733" s="37"/>
      <c r="V733" s="37"/>
      <c r="W733" s="37"/>
    </row>
    <row r="734" spans="1:23" ht="15.75" customHeight="1" x14ac:dyDescent="0.25">
      <c r="A734" s="244"/>
      <c r="B734" s="245"/>
      <c r="C734" s="246"/>
      <c r="D734" s="37"/>
      <c r="E734" s="246"/>
      <c r="F734" s="247"/>
      <c r="G734" s="245"/>
      <c r="H734" s="246"/>
      <c r="I734" s="247"/>
      <c r="J734" s="37"/>
      <c r="K734" s="248"/>
      <c r="L734" s="248"/>
      <c r="M734" s="248"/>
      <c r="N734" s="248"/>
      <c r="O734" s="248"/>
      <c r="P734" s="249"/>
      <c r="Q734" s="250"/>
      <c r="R734" s="37"/>
      <c r="S734" s="37"/>
      <c r="T734" s="204"/>
      <c r="U734" s="37"/>
      <c r="V734" s="37"/>
      <c r="W734" s="37"/>
    </row>
    <row r="735" spans="1:23" ht="15.75" customHeight="1" x14ac:dyDescent="0.25">
      <c r="A735" s="244"/>
      <c r="B735" s="245"/>
      <c r="C735" s="246"/>
      <c r="D735" s="37"/>
      <c r="E735" s="246"/>
      <c r="F735" s="247"/>
      <c r="G735" s="245"/>
      <c r="H735" s="246"/>
      <c r="I735" s="247"/>
      <c r="J735" s="37"/>
      <c r="K735" s="248"/>
      <c r="L735" s="248"/>
      <c r="M735" s="248"/>
      <c r="N735" s="248"/>
      <c r="O735" s="248"/>
      <c r="P735" s="249"/>
      <c r="Q735" s="250"/>
      <c r="R735" s="37"/>
      <c r="S735" s="37"/>
      <c r="T735" s="204"/>
      <c r="U735" s="37"/>
      <c r="V735" s="37"/>
      <c r="W735" s="37"/>
    </row>
    <row r="736" spans="1:23" ht="15.75" customHeight="1" x14ac:dyDescent="0.25">
      <c r="A736" s="244"/>
      <c r="B736" s="245"/>
      <c r="C736" s="246"/>
      <c r="D736" s="37"/>
      <c r="E736" s="246"/>
      <c r="F736" s="247"/>
      <c r="G736" s="245"/>
      <c r="H736" s="246"/>
      <c r="I736" s="247"/>
      <c r="J736" s="37"/>
      <c r="K736" s="248"/>
      <c r="L736" s="248"/>
      <c r="M736" s="248"/>
      <c r="N736" s="248"/>
      <c r="O736" s="248"/>
      <c r="P736" s="249"/>
      <c r="Q736" s="250"/>
      <c r="R736" s="37"/>
      <c r="S736" s="37"/>
      <c r="T736" s="204"/>
      <c r="U736" s="37"/>
      <c r="V736" s="37"/>
      <c r="W736" s="37"/>
    </row>
    <row r="737" spans="1:23" ht="15.75" customHeight="1" x14ac:dyDescent="0.25">
      <c r="A737" s="244"/>
      <c r="B737" s="245"/>
      <c r="C737" s="246"/>
      <c r="D737" s="37"/>
      <c r="E737" s="246"/>
      <c r="F737" s="247"/>
      <c r="G737" s="245"/>
      <c r="H737" s="246"/>
      <c r="I737" s="247"/>
      <c r="J737" s="37"/>
      <c r="K737" s="248"/>
      <c r="L737" s="248"/>
      <c r="M737" s="248"/>
      <c r="N737" s="248"/>
      <c r="O737" s="248"/>
      <c r="P737" s="249"/>
      <c r="Q737" s="250"/>
      <c r="R737" s="37"/>
      <c r="S737" s="37"/>
      <c r="T737" s="204"/>
      <c r="U737" s="37"/>
      <c r="V737" s="37"/>
      <c r="W737" s="37"/>
    </row>
    <row r="738" spans="1:23" ht="15.75" customHeight="1" x14ac:dyDescent="0.25">
      <c r="A738" s="244"/>
      <c r="B738" s="245"/>
      <c r="C738" s="246"/>
      <c r="D738" s="37"/>
      <c r="E738" s="246"/>
      <c r="F738" s="247"/>
      <c r="G738" s="245"/>
      <c r="H738" s="246"/>
      <c r="I738" s="247"/>
      <c r="J738" s="37"/>
      <c r="K738" s="248"/>
      <c r="L738" s="248"/>
      <c r="M738" s="248"/>
      <c r="N738" s="248"/>
      <c r="O738" s="248"/>
      <c r="P738" s="249"/>
      <c r="Q738" s="250"/>
      <c r="R738" s="37"/>
      <c r="S738" s="37"/>
      <c r="T738" s="204"/>
      <c r="U738" s="37"/>
      <c r="V738" s="37"/>
      <c r="W738" s="37"/>
    </row>
    <row r="739" spans="1:23" ht="15.75" customHeight="1" x14ac:dyDescent="0.25">
      <c r="A739" s="244"/>
      <c r="B739" s="245"/>
      <c r="C739" s="246"/>
      <c r="D739" s="37"/>
      <c r="E739" s="246"/>
      <c r="F739" s="247"/>
      <c r="G739" s="245"/>
      <c r="H739" s="246"/>
      <c r="I739" s="247"/>
      <c r="J739" s="37"/>
      <c r="K739" s="248"/>
      <c r="L739" s="248"/>
      <c r="M739" s="248"/>
      <c r="N739" s="248"/>
      <c r="O739" s="248"/>
      <c r="P739" s="249"/>
      <c r="Q739" s="250"/>
      <c r="R739" s="37"/>
      <c r="S739" s="37"/>
      <c r="T739" s="204"/>
      <c r="U739" s="37"/>
      <c r="V739" s="37"/>
      <c r="W739" s="37"/>
    </row>
    <row r="740" spans="1:23" ht="15.75" customHeight="1" x14ac:dyDescent="0.25">
      <c r="A740" s="244"/>
      <c r="B740" s="245"/>
      <c r="C740" s="246"/>
      <c r="D740" s="37"/>
      <c r="E740" s="246"/>
      <c r="F740" s="247"/>
      <c r="G740" s="245"/>
      <c r="H740" s="246"/>
      <c r="I740" s="247"/>
      <c r="J740" s="37"/>
      <c r="K740" s="248"/>
      <c r="L740" s="248"/>
      <c r="M740" s="248"/>
      <c r="N740" s="248"/>
      <c r="O740" s="248"/>
      <c r="P740" s="249"/>
      <c r="Q740" s="250"/>
      <c r="R740" s="37"/>
      <c r="S740" s="37"/>
      <c r="T740" s="204"/>
      <c r="U740" s="37"/>
      <c r="V740" s="37"/>
      <c r="W740" s="37"/>
    </row>
    <row r="741" spans="1:23" ht="15.75" customHeight="1" x14ac:dyDescent="0.25">
      <c r="A741" s="244"/>
      <c r="B741" s="245"/>
      <c r="C741" s="246"/>
      <c r="D741" s="37"/>
      <c r="E741" s="246"/>
      <c r="F741" s="247"/>
      <c r="G741" s="245"/>
      <c r="H741" s="246"/>
      <c r="I741" s="247"/>
      <c r="J741" s="37"/>
      <c r="K741" s="248"/>
      <c r="L741" s="248"/>
      <c r="M741" s="248"/>
      <c r="N741" s="248"/>
      <c r="O741" s="248"/>
      <c r="P741" s="249"/>
      <c r="Q741" s="250"/>
      <c r="R741" s="37"/>
      <c r="S741" s="37"/>
      <c r="T741" s="204"/>
      <c r="U741" s="37"/>
      <c r="V741" s="37"/>
      <c r="W741" s="37"/>
    </row>
    <row r="742" spans="1:23" ht="15.75" customHeight="1" x14ac:dyDescent="0.25">
      <c r="A742" s="244"/>
      <c r="B742" s="245"/>
      <c r="C742" s="246"/>
      <c r="D742" s="37"/>
      <c r="E742" s="246"/>
      <c r="F742" s="247"/>
      <c r="G742" s="245"/>
      <c r="H742" s="246"/>
      <c r="I742" s="247"/>
      <c r="J742" s="37"/>
      <c r="K742" s="248"/>
      <c r="L742" s="248"/>
      <c r="M742" s="248"/>
      <c r="N742" s="248"/>
      <c r="O742" s="248"/>
      <c r="P742" s="249"/>
      <c r="Q742" s="250"/>
      <c r="R742" s="37"/>
      <c r="S742" s="37"/>
      <c r="T742" s="204"/>
      <c r="U742" s="37"/>
      <c r="V742" s="37"/>
      <c r="W742" s="37"/>
    </row>
    <row r="743" spans="1:23" ht="15.75" customHeight="1" x14ac:dyDescent="0.25">
      <c r="A743" s="244"/>
      <c r="B743" s="245"/>
      <c r="C743" s="246"/>
      <c r="D743" s="37"/>
      <c r="E743" s="246"/>
      <c r="F743" s="247"/>
      <c r="G743" s="245"/>
      <c r="H743" s="246"/>
      <c r="I743" s="247"/>
      <c r="J743" s="37"/>
      <c r="K743" s="248"/>
      <c r="L743" s="248"/>
      <c r="M743" s="248"/>
      <c r="N743" s="248"/>
      <c r="O743" s="248"/>
      <c r="P743" s="249"/>
      <c r="Q743" s="250"/>
      <c r="R743" s="37"/>
      <c r="S743" s="37"/>
      <c r="T743" s="204"/>
      <c r="U743" s="37"/>
      <c r="V743" s="37"/>
      <c r="W743" s="37"/>
    </row>
    <row r="744" spans="1:23" ht="15.75" customHeight="1" x14ac:dyDescent="0.25">
      <c r="A744" s="244"/>
      <c r="B744" s="245"/>
      <c r="C744" s="246"/>
      <c r="D744" s="37"/>
      <c r="E744" s="246"/>
      <c r="F744" s="247"/>
      <c r="G744" s="245"/>
      <c r="H744" s="246"/>
      <c r="I744" s="247"/>
      <c r="J744" s="37"/>
      <c r="K744" s="248"/>
      <c r="L744" s="248"/>
      <c r="M744" s="248"/>
      <c r="N744" s="248"/>
      <c r="O744" s="248"/>
      <c r="P744" s="249"/>
      <c r="Q744" s="250"/>
      <c r="R744" s="37"/>
      <c r="S744" s="37"/>
      <c r="T744" s="204"/>
      <c r="U744" s="37"/>
      <c r="V744" s="37"/>
      <c r="W744" s="37"/>
    </row>
    <row r="745" spans="1:23" ht="15.75" customHeight="1" x14ac:dyDescent="0.25">
      <c r="A745" s="244"/>
      <c r="B745" s="245"/>
      <c r="C745" s="246"/>
      <c r="D745" s="37"/>
      <c r="E745" s="246"/>
      <c r="F745" s="247"/>
      <c r="G745" s="245"/>
      <c r="H745" s="246"/>
      <c r="I745" s="247"/>
      <c r="J745" s="37"/>
      <c r="K745" s="248"/>
      <c r="L745" s="248"/>
      <c r="M745" s="248"/>
      <c r="N745" s="248"/>
      <c r="O745" s="248"/>
      <c r="P745" s="249"/>
      <c r="Q745" s="250"/>
      <c r="R745" s="37"/>
      <c r="S745" s="37"/>
      <c r="T745" s="204"/>
      <c r="U745" s="37"/>
      <c r="V745" s="37"/>
      <c r="W745" s="37"/>
    </row>
    <row r="746" spans="1:23" ht="15.75" customHeight="1" x14ac:dyDescent="0.25">
      <c r="A746" s="244"/>
      <c r="B746" s="245"/>
      <c r="C746" s="246"/>
      <c r="D746" s="37"/>
      <c r="E746" s="246"/>
      <c r="F746" s="247"/>
      <c r="G746" s="245"/>
      <c r="H746" s="246"/>
      <c r="I746" s="247"/>
      <c r="J746" s="37"/>
      <c r="K746" s="248"/>
      <c r="L746" s="248"/>
      <c r="M746" s="248"/>
      <c r="N746" s="248"/>
      <c r="O746" s="248"/>
      <c r="P746" s="249"/>
      <c r="Q746" s="250"/>
      <c r="R746" s="37"/>
      <c r="S746" s="37"/>
      <c r="T746" s="204"/>
      <c r="U746" s="37"/>
      <c r="V746" s="37"/>
      <c r="W746" s="37"/>
    </row>
    <row r="747" spans="1:23" ht="15.75" customHeight="1" x14ac:dyDescent="0.25">
      <c r="A747" s="244"/>
      <c r="B747" s="245"/>
      <c r="C747" s="246"/>
      <c r="D747" s="37"/>
      <c r="E747" s="246"/>
      <c r="F747" s="247"/>
      <c r="G747" s="245"/>
      <c r="H747" s="246"/>
      <c r="I747" s="247"/>
      <c r="J747" s="37"/>
      <c r="K747" s="248"/>
      <c r="L747" s="248"/>
      <c r="M747" s="248"/>
      <c r="N747" s="248"/>
      <c r="O747" s="248"/>
      <c r="P747" s="249"/>
      <c r="Q747" s="250"/>
      <c r="R747" s="37"/>
      <c r="S747" s="37"/>
      <c r="T747" s="204"/>
      <c r="U747" s="37"/>
      <c r="V747" s="37"/>
      <c r="W747" s="37"/>
    </row>
    <row r="748" spans="1:23" ht="15.75" customHeight="1" x14ac:dyDescent="0.25">
      <c r="A748" s="244"/>
      <c r="B748" s="245"/>
      <c r="C748" s="246"/>
      <c r="D748" s="37"/>
      <c r="E748" s="246"/>
      <c r="F748" s="247"/>
      <c r="G748" s="245"/>
      <c r="H748" s="246"/>
      <c r="I748" s="247"/>
      <c r="J748" s="37"/>
      <c r="K748" s="248"/>
      <c r="L748" s="248"/>
      <c r="M748" s="248"/>
      <c r="N748" s="248"/>
      <c r="O748" s="248"/>
      <c r="P748" s="249"/>
      <c r="Q748" s="250"/>
      <c r="R748" s="37"/>
      <c r="S748" s="37"/>
      <c r="T748" s="204"/>
      <c r="U748" s="37"/>
      <c r="V748" s="37"/>
      <c r="W748" s="37"/>
    </row>
    <row r="749" spans="1:23" ht="15.75" customHeight="1" x14ac:dyDescent="0.25">
      <c r="A749" s="244"/>
      <c r="B749" s="245"/>
      <c r="C749" s="246"/>
      <c r="D749" s="37"/>
      <c r="E749" s="246"/>
      <c r="F749" s="247"/>
      <c r="G749" s="245"/>
      <c r="H749" s="246"/>
      <c r="I749" s="247"/>
      <c r="J749" s="37"/>
      <c r="K749" s="248"/>
      <c r="L749" s="248"/>
      <c r="M749" s="248"/>
      <c r="N749" s="248"/>
      <c r="O749" s="248"/>
      <c r="P749" s="249"/>
      <c r="Q749" s="250"/>
      <c r="R749" s="37"/>
      <c r="S749" s="37"/>
      <c r="T749" s="204"/>
      <c r="U749" s="37"/>
      <c r="V749" s="37"/>
      <c r="W749" s="37"/>
    </row>
    <row r="750" spans="1:23" ht="15.75" customHeight="1" x14ac:dyDescent="0.25">
      <c r="A750" s="244"/>
      <c r="B750" s="245"/>
      <c r="C750" s="246"/>
      <c r="D750" s="37"/>
      <c r="E750" s="246"/>
      <c r="F750" s="247"/>
      <c r="G750" s="245"/>
      <c r="H750" s="246"/>
      <c r="I750" s="247"/>
      <c r="J750" s="37"/>
      <c r="K750" s="248"/>
      <c r="L750" s="248"/>
      <c r="M750" s="248"/>
      <c r="N750" s="248"/>
      <c r="O750" s="248"/>
      <c r="P750" s="249"/>
      <c r="Q750" s="250"/>
      <c r="R750" s="37"/>
      <c r="S750" s="37"/>
      <c r="T750" s="204"/>
      <c r="U750" s="37"/>
      <c r="V750" s="37"/>
      <c r="W750" s="37"/>
    </row>
    <row r="751" spans="1:23" ht="15.75" customHeight="1" x14ac:dyDescent="0.25">
      <c r="A751" s="244"/>
      <c r="B751" s="245"/>
      <c r="C751" s="246"/>
      <c r="D751" s="37"/>
      <c r="E751" s="246"/>
      <c r="F751" s="247"/>
      <c r="G751" s="245"/>
      <c r="H751" s="246"/>
      <c r="I751" s="247"/>
      <c r="J751" s="37"/>
      <c r="K751" s="248"/>
      <c r="L751" s="248"/>
      <c r="M751" s="248"/>
      <c r="N751" s="248"/>
      <c r="O751" s="248"/>
      <c r="P751" s="249"/>
      <c r="Q751" s="250"/>
      <c r="R751" s="37"/>
      <c r="S751" s="37"/>
      <c r="T751" s="204"/>
      <c r="U751" s="37"/>
      <c r="V751" s="37"/>
      <c r="W751" s="37"/>
    </row>
    <row r="752" spans="1:23" ht="15.75" customHeight="1" x14ac:dyDescent="0.25">
      <c r="A752" s="244"/>
      <c r="B752" s="245"/>
      <c r="C752" s="246"/>
      <c r="D752" s="37"/>
      <c r="E752" s="246"/>
      <c r="F752" s="247"/>
      <c r="G752" s="245"/>
      <c r="H752" s="246"/>
      <c r="I752" s="247"/>
      <c r="J752" s="37"/>
      <c r="K752" s="248"/>
      <c r="L752" s="248"/>
      <c r="M752" s="248"/>
      <c r="N752" s="248"/>
      <c r="O752" s="248"/>
      <c r="P752" s="249"/>
      <c r="Q752" s="250"/>
      <c r="R752" s="37"/>
      <c r="S752" s="37"/>
      <c r="T752" s="204"/>
      <c r="U752" s="37"/>
      <c r="V752" s="37"/>
      <c r="W752" s="37"/>
    </row>
    <row r="753" spans="1:23" ht="15.75" customHeight="1" x14ac:dyDescent="0.25">
      <c r="A753" s="244"/>
      <c r="B753" s="245"/>
      <c r="C753" s="246"/>
      <c r="D753" s="37"/>
      <c r="E753" s="246"/>
      <c r="F753" s="247"/>
      <c r="G753" s="245"/>
      <c r="H753" s="246"/>
      <c r="I753" s="247"/>
      <c r="J753" s="37"/>
      <c r="K753" s="248"/>
      <c r="L753" s="248"/>
      <c r="M753" s="248"/>
      <c r="N753" s="248"/>
      <c r="O753" s="248"/>
      <c r="P753" s="249"/>
      <c r="Q753" s="250"/>
      <c r="R753" s="37"/>
      <c r="S753" s="37"/>
      <c r="T753" s="204"/>
      <c r="U753" s="37"/>
      <c r="V753" s="37"/>
      <c r="W753" s="37"/>
    </row>
    <row r="754" spans="1:23" ht="15.75" customHeight="1" x14ac:dyDescent="0.25">
      <c r="A754" s="244"/>
      <c r="B754" s="245"/>
      <c r="C754" s="246"/>
      <c r="D754" s="37"/>
      <c r="E754" s="246"/>
      <c r="F754" s="247"/>
      <c r="G754" s="245"/>
      <c r="H754" s="246"/>
      <c r="I754" s="247"/>
      <c r="J754" s="37"/>
      <c r="K754" s="248"/>
      <c r="L754" s="248"/>
      <c r="M754" s="248"/>
      <c r="N754" s="248"/>
      <c r="O754" s="248"/>
      <c r="P754" s="249"/>
      <c r="Q754" s="250"/>
      <c r="R754" s="37"/>
      <c r="S754" s="37"/>
      <c r="T754" s="204"/>
      <c r="U754" s="37"/>
      <c r="V754" s="37"/>
      <c r="W754" s="37"/>
    </row>
    <row r="755" spans="1:23" ht="15.75" customHeight="1" x14ac:dyDescent="0.25">
      <c r="A755" s="244"/>
      <c r="B755" s="245"/>
      <c r="C755" s="246"/>
      <c r="D755" s="37"/>
      <c r="E755" s="246"/>
      <c r="F755" s="247"/>
      <c r="G755" s="245"/>
      <c r="H755" s="246"/>
      <c r="I755" s="247"/>
      <c r="J755" s="37"/>
      <c r="K755" s="248"/>
      <c r="L755" s="248"/>
      <c r="M755" s="248"/>
      <c r="N755" s="248"/>
      <c r="O755" s="248"/>
      <c r="P755" s="249"/>
      <c r="Q755" s="250"/>
      <c r="R755" s="37"/>
      <c r="S755" s="37"/>
      <c r="T755" s="204"/>
      <c r="U755" s="37"/>
      <c r="V755" s="37"/>
      <c r="W755" s="37"/>
    </row>
    <row r="756" spans="1:23" ht="15.75" customHeight="1" x14ac:dyDescent="0.25">
      <c r="A756" s="244"/>
      <c r="B756" s="245"/>
      <c r="C756" s="246"/>
      <c r="D756" s="37"/>
      <c r="E756" s="246"/>
      <c r="F756" s="247"/>
      <c r="G756" s="245"/>
      <c r="H756" s="246"/>
      <c r="I756" s="247"/>
      <c r="J756" s="37"/>
      <c r="K756" s="248"/>
      <c r="L756" s="248"/>
      <c r="M756" s="248"/>
      <c r="N756" s="248"/>
      <c r="O756" s="248"/>
      <c r="P756" s="249"/>
      <c r="Q756" s="250"/>
      <c r="R756" s="37"/>
      <c r="S756" s="37"/>
      <c r="T756" s="204"/>
      <c r="U756" s="37"/>
      <c r="V756" s="37"/>
      <c r="W756" s="37"/>
    </row>
    <row r="757" spans="1:23" ht="15.75" customHeight="1" x14ac:dyDescent="0.25">
      <c r="A757" s="244"/>
      <c r="B757" s="245"/>
      <c r="C757" s="246"/>
      <c r="D757" s="37"/>
      <c r="E757" s="246"/>
      <c r="F757" s="247"/>
      <c r="G757" s="245"/>
      <c r="H757" s="246"/>
      <c r="I757" s="247"/>
      <c r="J757" s="37"/>
      <c r="K757" s="248"/>
      <c r="L757" s="248"/>
      <c r="M757" s="248"/>
      <c r="N757" s="248"/>
      <c r="O757" s="248"/>
      <c r="P757" s="249"/>
      <c r="Q757" s="250"/>
      <c r="R757" s="37"/>
      <c r="S757" s="37"/>
      <c r="T757" s="204"/>
      <c r="U757" s="37"/>
      <c r="V757" s="37"/>
      <c r="W757" s="37"/>
    </row>
    <row r="758" spans="1:23" ht="15.75" customHeight="1" x14ac:dyDescent="0.25">
      <c r="A758" s="244"/>
      <c r="B758" s="245"/>
      <c r="C758" s="246"/>
      <c r="D758" s="37"/>
      <c r="E758" s="246"/>
      <c r="F758" s="247"/>
      <c r="G758" s="245"/>
      <c r="H758" s="246"/>
      <c r="I758" s="247"/>
      <c r="J758" s="37"/>
      <c r="K758" s="248"/>
      <c r="L758" s="248"/>
      <c r="M758" s="248"/>
      <c r="N758" s="248"/>
      <c r="O758" s="248"/>
      <c r="P758" s="249"/>
      <c r="Q758" s="250"/>
      <c r="R758" s="37"/>
      <c r="S758" s="37"/>
      <c r="T758" s="204"/>
      <c r="U758" s="37"/>
      <c r="V758" s="37"/>
      <c r="W758" s="37"/>
    </row>
    <row r="759" spans="1:23" ht="15.75" customHeight="1" x14ac:dyDescent="0.25">
      <c r="A759" s="244"/>
      <c r="B759" s="245"/>
      <c r="C759" s="246"/>
      <c r="D759" s="37"/>
      <c r="E759" s="246"/>
      <c r="F759" s="247"/>
      <c r="G759" s="245"/>
      <c r="H759" s="246"/>
      <c r="I759" s="247"/>
      <c r="J759" s="37"/>
      <c r="K759" s="248"/>
      <c r="L759" s="248"/>
      <c r="M759" s="248"/>
      <c r="N759" s="248"/>
      <c r="O759" s="248"/>
      <c r="P759" s="249"/>
      <c r="Q759" s="250"/>
      <c r="R759" s="37"/>
      <c r="S759" s="37"/>
      <c r="T759" s="204"/>
      <c r="U759" s="37"/>
      <c r="V759" s="37"/>
      <c r="W759" s="37"/>
    </row>
    <row r="760" spans="1:23" ht="15.75" customHeight="1" x14ac:dyDescent="0.25">
      <c r="A760" s="244"/>
      <c r="B760" s="245"/>
      <c r="C760" s="246"/>
      <c r="D760" s="37"/>
      <c r="E760" s="246"/>
      <c r="F760" s="247"/>
      <c r="G760" s="245"/>
      <c r="H760" s="246"/>
      <c r="I760" s="247"/>
      <c r="J760" s="37"/>
      <c r="K760" s="248"/>
      <c r="L760" s="248"/>
      <c r="M760" s="248"/>
      <c r="N760" s="248"/>
      <c r="O760" s="248"/>
      <c r="P760" s="249"/>
      <c r="Q760" s="250"/>
      <c r="R760" s="37"/>
      <c r="S760" s="37"/>
      <c r="T760" s="204"/>
      <c r="U760" s="37"/>
      <c r="V760" s="37"/>
      <c r="W760" s="37"/>
    </row>
    <row r="761" spans="1:23" ht="15.75" customHeight="1" x14ac:dyDescent="0.25">
      <c r="A761" s="244"/>
      <c r="B761" s="245"/>
      <c r="C761" s="246"/>
      <c r="D761" s="37"/>
      <c r="E761" s="246"/>
      <c r="F761" s="247"/>
      <c r="G761" s="245"/>
      <c r="H761" s="246"/>
      <c r="I761" s="247"/>
      <c r="J761" s="37"/>
      <c r="K761" s="248"/>
      <c r="L761" s="248"/>
      <c r="M761" s="248"/>
      <c r="N761" s="248"/>
      <c r="O761" s="248"/>
      <c r="P761" s="249"/>
      <c r="Q761" s="250"/>
      <c r="R761" s="37"/>
      <c r="S761" s="37"/>
      <c r="T761" s="204"/>
      <c r="U761" s="37"/>
      <c r="V761" s="37"/>
      <c r="W761" s="37"/>
    </row>
    <row r="762" spans="1:23" ht="15.75" customHeight="1" x14ac:dyDescent="0.25">
      <c r="A762" s="244"/>
      <c r="B762" s="245"/>
      <c r="C762" s="246"/>
      <c r="D762" s="37"/>
      <c r="E762" s="246"/>
      <c r="F762" s="247"/>
      <c r="G762" s="245"/>
      <c r="H762" s="246"/>
      <c r="I762" s="247"/>
      <c r="J762" s="37"/>
      <c r="K762" s="248"/>
      <c r="L762" s="248"/>
      <c r="M762" s="248"/>
      <c r="N762" s="248"/>
      <c r="O762" s="248"/>
      <c r="P762" s="249"/>
      <c r="Q762" s="250"/>
      <c r="R762" s="37"/>
      <c r="S762" s="37"/>
      <c r="T762" s="204"/>
      <c r="U762" s="37"/>
      <c r="V762" s="37"/>
      <c r="W762" s="37"/>
    </row>
    <row r="763" spans="1:23" ht="15.75" customHeight="1" x14ac:dyDescent="0.25">
      <c r="A763" s="244"/>
      <c r="B763" s="245"/>
      <c r="C763" s="246"/>
      <c r="D763" s="37"/>
      <c r="E763" s="246"/>
      <c r="F763" s="247"/>
      <c r="G763" s="245"/>
      <c r="H763" s="246"/>
      <c r="I763" s="247"/>
      <c r="J763" s="37"/>
      <c r="K763" s="248"/>
      <c r="L763" s="248"/>
      <c r="M763" s="248"/>
      <c r="N763" s="248"/>
      <c r="O763" s="248"/>
      <c r="P763" s="249"/>
      <c r="Q763" s="250"/>
      <c r="R763" s="37"/>
      <c r="S763" s="37"/>
      <c r="T763" s="204"/>
      <c r="U763" s="37"/>
      <c r="V763" s="37"/>
      <c r="W763" s="37"/>
    </row>
    <row r="764" spans="1:23" ht="15.75" customHeight="1" x14ac:dyDescent="0.25">
      <c r="A764" s="244"/>
      <c r="B764" s="245"/>
      <c r="C764" s="246"/>
      <c r="D764" s="37"/>
      <c r="E764" s="246"/>
      <c r="F764" s="247"/>
      <c r="G764" s="245"/>
      <c r="H764" s="246"/>
      <c r="I764" s="247"/>
      <c r="J764" s="37"/>
      <c r="K764" s="248"/>
      <c r="L764" s="248"/>
      <c r="M764" s="248"/>
      <c r="N764" s="248"/>
      <c r="O764" s="248"/>
      <c r="P764" s="249"/>
      <c r="Q764" s="250"/>
      <c r="R764" s="37"/>
      <c r="S764" s="37"/>
      <c r="T764" s="204"/>
      <c r="U764" s="37"/>
      <c r="V764" s="37"/>
      <c r="W764" s="37"/>
    </row>
    <row r="765" spans="1:23" ht="15.75" customHeight="1" x14ac:dyDescent="0.25">
      <c r="A765" s="244"/>
      <c r="B765" s="245"/>
      <c r="C765" s="246"/>
      <c r="D765" s="37"/>
      <c r="E765" s="246"/>
      <c r="F765" s="247"/>
      <c r="G765" s="245"/>
      <c r="H765" s="246"/>
      <c r="I765" s="247"/>
      <c r="J765" s="37"/>
      <c r="K765" s="248"/>
      <c r="L765" s="248"/>
      <c r="M765" s="248"/>
      <c r="N765" s="248"/>
      <c r="O765" s="248"/>
      <c r="P765" s="249"/>
      <c r="Q765" s="250"/>
      <c r="R765" s="37"/>
      <c r="S765" s="37"/>
      <c r="T765" s="204"/>
      <c r="U765" s="37"/>
      <c r="V765" s="37"/>
      <c r="W765" s="37"/>
    </row>
    <row r="766" spans="1:23" ht="15.75" customHeight="1" x14ac:dyDescent="0.25">
      <c r="A766" s="244"/>
      <c r="B766" s="245"/>
      <c r="C766" s="246"/>
      <c r="D766" s="37"/>
      <c r="E766" s="246"/>
      <c r="F766" s="247"/>
      <c r="G766" s="245"/>
      <c r="H766" s="246"/>
      <c r="I766" s="247"/>
      <c r="J766" s="37"/>
      <c r="K766" s="248"/>
      <c r="L766" s="248"/>
      <c r="M766" s="248"/>
      <c r="N766" s="248"/>
      <c r="O766" s="248"/>
      <c r="P766" s="249"/>
      <c r="Q766" s="250"/>
      <c r="R766" s="37"/>
      <c r="S766" s="37"/>
      <c r="T766" s="204"/>
      <c r="U766" s="37"/>
      <c r="V766" s="37"/>
      <c r="W766" s="37"/>
    </row>
    <row r="767" spans="1:23" ht="15.75" customHeight="1" x14ac:dyDescent="0.25">
      <c r="A767" s="244"/>
      <c r="B767" s="245"/>
      <c r="C767" s="246"/>
      <c r="D767" s="37"/>
      <c r="E767" s="246"/>
      <c r="F767" s="247"/>
      <c r="G767" s="245"/>
      <c r="H767" s="246"/>
      <c r="I767" s="247"/>
      <c r="J767" s="37"/>
      <c r="K767" s="248"/>
      <c r="L767" s="248"/>
      <c r="M767" s="248"/>
      <c r="N767" s="248"/>
      <c r="O767" s="248"/>
      <c r="P767" s="249"/>
      <c r="Q767" s="250"/>
      <c r="R767" s="37"/>
      <c r="S767" s="37"/>
      <c r="T767" s="204"/>
      <c r="U767" s="37"/>
      <c r="V767" s="37"/>
      <c r="W767" s="37"/>
    </row>
    <row r="768" spans="1:23" ht="15.75" customHeight="1" x14ac:dyDescent="0.25">
      <c r="A768" s="244"/>
      <c r="B768" s="245"/>
      <c r="C768" s="246"/>
      <c r="D768" s="37"/>
      <c r="E768" s="246"/>
      <c r="F768" s="247"/>
      <c r="G768" s="245"/>
      <c r="H768" s="246"/>
      <c r="I768" s="247"/>
      <c r="J768" s="37"/>
      <c r="K768" s="248"/>
      <c r="L768" s="248"/>
      <c r="M768" s="248"/>
      <c r="N768" s="248"/>
      <c r="O768" s="248"/>
      <c r="P768" s="249"/>
      <c r="Q768" s="250"/>
      <c r="R768" s="37"/>
      <c r="S768" s="37"/>
      <c r="T768" s="204"/>
      <c r="U768" s="37"/>
      <c r="V768" s="37"/>
      <c r="W768" s="37"/>
    </row>
    <row r="769" spans="1:23" ht="15.75" customHeight="1" x14ac:dyDescent="0.25">
      <c r="A769" s="244"/>
      <c r="B769" s="245"/>
      <c r="C769" s="246"/>
      <c r="D769" s="37"/>
      <c r="E769" s="246"/>
      <c r="F769" s="247"/>
      <c r="G769" s="245"/>
      <c r="H769" s="246"/>
      <c r="I769" s="247"/>
      <c r="J769" s="37"/>
      <c r="K769" s="248"/>
      <c r="L769" s="248"/>
      <c r="M769" s="248"/>
      <c r="N769" s="248"/>
      <c r="O769" s="248"/>
      <c r="P769" s="249"/>
      <c r="Q769" s="250"/>
      <c r="R769" s="37"/>
      <c r="S769" s="37"/>
      <c r="T769" s="204"/>
      <c r="U769" s="37"/>
      <c r="V769" s="37"/>
      <c r="W769" s="37"/>
    </row>
    <row r="770" spans="1:23" ht="15.75" customHeight="1" x14ac:dyDescent="0.25">
      <c r="A770" s="244"/>
      <c r="B770" s="245"/>
      <c r="C770" s="246"/>
      <c r="D770" s="37"/>
      <c r="E770" s="246"/>
      <c r="F770" s="247"/>
      <c r="G770" s="245"/>
      <c r="H770" s="246"/>
      <c r="I770" s="247"/>
      <c r="J770" s="37"/>
      <c r="K770" s="248"/>
      <c r="L770" s="248"/>
      <c r="M770" s="248"/>
      <c r="N770" s="248"/>
      <c r="O770" s="248"/>
      <c r="P770" s="249"/>
      <c r="Q770" s="250"/>
      <c r="R770" s="37"/>
      <c r="S770" s="37"/>
      <c r="T770" s="204"/>
      <c r="U770" s="37"/>
      <c r="V770" s="37"/>
      <c r="W770" s="37"/>
    </row>
    <row r="771" spans="1:23" ht="15.75" customHeight="1" x14ac:dyDescent="0.25">
      <c r="A771" s="244"/>
      <c r="B771" s="245"/>
      <c r="C771" s="246"/>
      <c r="D771" s="37"/>
      <c r="E771" s="246"/>
      <c r="F771" s="247"/>
      <c r="G771" s="245"/>
      <c r="H771" s="246"/>
      <c r="I771" s="247"/>
      <c r="J771" s="37"/>
      <c r="K771" s="248"/>
      <c r="L771" s="248"/>
      <c r="M771" s="248"/>
      <c r="N771" s="248"/>
      <c r="O771" s="248"/>
      <c r="P771" s="249"/>
      <c r="Q771" s="250"/>
      <c r="R771" s="37"/>
      <c r="S771" s="37"/>
      <c r="T771" s="204"/>
      <c r="U771" s="37"/>
      <c r="V771" s="37"/>
      <c r="W771" s="37"/>
    </row>
    <row r="772" spans="1:23" ht="15.75" customHeight="1" x14ac:dyDescent="0.25">
      <c r="A772" s="244"/>
      <c r="B772" s="245"/>
      <c r="C772" s="246"/>
      <c r="D772" s="37"/>
      <c r="E772" s="246"/>
      <c r="F772" s="247"/>
      <c r="G772" s="245"/>
      <c r="H772" s="246"/>
      <c r="I772" s="247"/>
      <c r="J772" s="37"/>
      <c r="K772" s="248"/>
      <c r="L772" s="248"/>
      <c r="M772" s="248"/>
      <c r="N772" s="248"/>
      <c r="O772" s="248"/>
      <c r="P772" s="249"/>
      <c r="Q772" s="250"/>
      <c r="R772" s="37"/>
      <c r="S772" s="37"/>
      <c r="T772" s="204"/>
      <c r="U772" s="37"/>
      <c r="V772" s="37"/>
      <c r="W772" s="37"/>
    </row>
    <row r="773" spans="1:23" ht="15.75" customHeight="1" x14ac:dyDescent="0.25">
      <c r="A773" s="244"/>
      <c r="B773" s="245"/>
      <c r="C773" s="246"/>
      <c r="D773" s="37"/>
      <c r="E773" s="246"/>
      <c r="F773" s="247"/>
      <c r="G773" s="245"/>
      <c r="H773" s="246"/>
      <c r="I773" s="247"/>
      <c r="J773" s="37"/>
      <c r="K773" s="248"/>
      <c r="L773" s="248"/>
      <c r="M773" s="248"/>
      <c r="N773" s="248"/>
      <c r="O773" s="248"/>
      <c r="P773" s="249"/>
      <c r="Q773" s="250"/>
      <c r="R773" s="37"/>
      <c r="S773" s="37"/>
      <c r="T773" s="204"/>
      <c r="U773" s="37"/>
      <c r="V773" s="37"/>
      <c r="W773" s="37"/>
    </row>
    <row r="774" spans="1:23" ht="15.75" customHeight="1" x14ac:dyDescent="0.25">
      <c r="A774" s="244"/>
      <c r="B774" s="245"/>
      <c r="C774" s="246"/>
      <c r="D774" s="37"/>
      <c r="E774" s="246"/>
      <c r="F774" s="247"/>
      <c r="G774" s="245"/>
      <c r="H774" s="246"/>
      <c r="I774" s="247"/>
      <c r="J774" s="37"/>
      <c r="K774" s="248"/>
      <c r="L774" s="248"/>
      <c r="M774" s="248"/>
      <c r="N774" s="248"/>
      <c r="O774" s="248"/>
      <c r="P774" s="249"/>
      <c r="Q774" s="250"/>
      <c r="R774" s="37"/>
      <c r="S774" s="37"/>
      <c r="T774" s="204"/>
      <c r="U774" s="37"/>
      <c r="V774" s="37"/>
      <c r="W774" s="37"/>
    </row>
    <row r="775" spans="1:23" ht="15.75" customHeight="1" x14ac:dyDescent="0.25">
      <c r="A775" s="244"/>
      <c r="B775" s="245"/>
      <c r="C775" s="246"/>
      <c r="D775" s="37"/>
      <c r="E775" s="246"/>
      <c r="F775" s="247"/>
      <c r="G775" s="245"/>
      <c r="H775" s="246"/>
      <c r="I775" s="247"/>
      <c r="J775" s="37"/>
      <c r="K775" s="248"/>
      <c r="L775" s="248"/>
      <c r="M775" s="248"/>
      <c r="N775" s="248"/>
      <c r="O775" s="248"/>
      <c r="P775" s="249"/>
      <c r="Q775" s="250"/>
      <c r="R775" s="37"/>
      <c r="S775" s="37"/>
      <c r="T775" s="204"/>
      <c r="U775" s="37"/>
      <c r="V775" s="37"/>
      <c r="W775" s="37"/>
    </row>
    <row r="776" spans="1:23" ht="15.75" customHeight="1" x14ac:dyDescent="0.25">
      <c r="A776" s="244"/>
      <c r="B776" s="245"/>
      <c r="C776" s="246"/>
      <c r="D776" s="37"/>
      <c r="E776" s="246"/>
      <c r="F776" s="247"/>
      <c r="G776" s="245"/>
      <c r="H776" s="246"/>
      <c r="I776" s="247"/>
      <c r="J776" s="37"/>
      <c r="K776" s="248"/>
      <c r="L776" s="248"/>
      <c r="M776" s="248"/>
      <c r="N776" s="248"/>
      <c r="O776" s="248"/>
      <c r="P776" s="249"/>
      <c r="Q776" s="250"/>
      <c r="R776" s="37"/>
      <c r="S776" s="37"/>
      <c r="T776" s="204"/>
      <c r="U776" s="37"/>
      <c r="V776" s="37"/>
      <c r="W776" s="37"/>
    </row>
    <row r="777" spans="1:23" ht="15.75" customHeight="1" x14ac:dyDescent="0.25">
      <c r="A777" s="244"/>
      <c r="B777" s="245"/>
      <c r="C777" s="246"/>
      <c r="D777" s="37"/>
      <c r="E777" s="246"/>
      <c r="F777" s="247"/>
      <c r="G777" s="245"/>
      <c r="H777" s="246"/>
      <c r="I777" s="247"/>
      <c r="J777" s="37"/>
      <c r="K777" s="248"/>
      <c r="L777" s="248"/>
      <c r="M777" s="248"/>
      <c r="N777" s="248"/>
      <c r="O777" s="248"/>
      <c r="P777" s="249"/>
      <c r="Q777" s="250"/>
      <c r="R777" s="37"/>
      <c r="S777" s="37"/>
      <c r="T777" s="204"/>
      <c r="U777" s="37"/>
      <c r="V777" s="37"/>
      <c r="W777" s="37"/>
    </row>
    <row r="778" spans="1:23" ht="15.75" customHeight="1" x14ac:dyDescent="0.25">
      <c r="A778" s="244"/>
      <c r="B778" s="245"/>
      <c r="C778" s="246"/>
      <c r="D778" s="37"/>
      <c r="E778" s="246"/>
      <c r="F778" s="247"/>
      <c r="G778" s="245"/>
      <c r="H778" s="246"/>
      <c r="I778" s="247"/>
      <c r="J778" s="37"/>
      <c r="K778" s="248"/>
      <c r="L778" s="248"/>
      <c r="M778" s="248"/>
      <c r="N778" s="248"/>
      <c r="O778" s="248"/>
      <c r="P778" s="249"/>
      <c r="Q778" s="250"/>
      <c r="R778" s="37"/>
      <c r="S778" s="37"/>
      <c r="T778" s="204"/>
      <c r="U778" s="37"/>
      <c r="V778" s="37"/>
      <c r="W778" s="37"/>
    </row>
    <row r="779" spans="1:23" ht="15.75" customHeight="1" x14ac:dyDescent="0.25">
      <c r="A779" s="244"/>
      <c r="B779" s="245"/>
      <c r="C779" s="246"/>
      <c r="D779" s="37"/>
      <c r="E779" s="246"/>
      <c r="F779" s="247"/>
      <c r="G779" s="245"/>
      <c r="H779" s="246"/>
      <c r="I779" s="247"/>
      <c r="J779" s="37"/>
      <c r="K779" s="248"/>
      <c r="L779" s="248"/>
      <c r="M779" s="248"/>
      <c r="N779" s="248"/>
      <c r="O779" s="248"/>
      <c r="P779" s="249"/>
      <c r="Q779" s="250"/>
      <c r="R779" s="37"/>
      <c r="S779" s="37"/>
      <c r="T779" s="204"/>
      <c r="U779" s="37"/>
      <c r="V779" s="37"/>
      <c r="W779" s="37"/>
    </row>
    <row r="780" spans="1:23" ht="15.75" customHeight="1" x14ac:dyDescent="0.25">
      <c r="A780" s="244"/>
      <c r="B780" s="245"/>
      <c r="C780" s="246"/>
      <c r="D780" s="37"/>
      <c r="E780" s="246"/>
      <c r="F780" s="247"/>
      <c r="G780" s="245"/>
      <c r="H780" s="246"/>
      <c r="I780" s="247"/>
      <c r="J780" s="37"/>
      <c r="K780" s="248"/>
      <c r="L780" s="248"/>
      <c r="M780" s="248"/>
      <c r="N780" s="248"/>
      <c r="O780" s="248"/>
      <c r="P780" s="249"/>
      <c r="Q780" s="250"/>
      <c r="R780" s="37"/>
      <c r="S780" s="37"/>
      <c r="T780" s="204"/>
      <c r="U780" s="37"/>
      <c r="V780" s="37"/>
      <c r="W780" s="37"/>
    </row>
    <row r="781" spans="1:23" ht="15.75" customHeight="1" x14ac:dyDescent="0.25">
      <c r="A781" s="244"/>
      <c r="B781" s="245"/>
      <c r="C781" s="246"/>
      <c r="D781" s="37"/>
      <c r="E781" s="246"/>
      <c r="F781" s="247"/>
      <c r="G781" s="245"/>
      <c r="H781" s="246"/>
      <c r="I781" s="247"/>
      <c r="J781" s="37"/>
      <c r="K781" s="248"/>
      <c r="L781" s="248"/>
      <c r="M781" s="248"/>
      <c r="N781" s="248"/>
      <c r="O781" s="248"/>
      <c r="P781" s="249"/>
      <c r="Q781" s="250"/>
      <c r="R781" s="37"/>
      <c r="S781" s="37"/>
      <c r="T781" s="204"/>
      <c r="U781" s="37"/>
      <c r="V781" s="37"/>
      <c r="W781" s="37"/>
    </row>
    <row r="782" spans="1:23" ht="15.75" customHeight="1" x14ac:dyDescent="0.25">
      <c r="A782" s="244"/>
      <c r="B782" s="245"/>
      <c r="C782" s="246"/>
      <c r="D782" s="37"/>
      <c r="E782" s="246"/>
      <c r="F782" s="247"/>
      <c r="G782" s="245"/>
      <c r="H782" s="246"/>
      <c r="I782" s="247"/>
      <c r="J782" s="37"/>
      <c r="K782" s="248"/>
      <c r="L782" s="248"/>
      <c r="M782" s="248"/>
      <c r="N782" s="248"/>
      <c r="O782" s="248"/>
      <c r="P782" s="249"/>
      <c r="Q782" s="250"/>
      <c r="R782" s="37"/>
      <c r="S782" s="37"/>
      <c r="T782" s="204"/>
      <c r="U782" s="37"/>
      <c r="V782" s="37"/>
      <c r="W782" s="37"/>
    </row>
    <row r="783" spans="1:23" ht="15.75" customHeight="1" x14ac:dyDescent="0.25">
      <c r="A783" s="244"/>
      <c r="B783" s="245"/>
      <c r="C783" s="246"/>
      <c r="D783" s="37"/>
      <c r="E783" s="246"/>
      <c r="F783" s="247"/>
      <c r="G783" s="245"/>
      <c r="H783" s="246"/>
      <c r="I783" s="247"/>
      <c r="J783" s="37"/>
      <c r="K783" s="248"/>
      <c r="L783" s="248"/>
      <c r="M783" s="248"/>
      <c r="N783" s="248"/>
      <c r="O783" s="248"/>
      <c r="P783" s="249"/>
      <c r="Q783" s="250"/>
      <c r="R783" s="37"/>
      <c r="S783" s="37"/>
      <c r="T783" s="204"/>
      <c r="U783" s="37"/>
      <c r="V783" s="37"/>
      <c r="W783" s="37"/>
    </row>
    <row r="784" spans="1:23" ht="15.75" customHeight="1" x14ac:dyDescent="0.25">
      <c r="A784" s="244"/>
      <c r="B784" s="245"/>
      <c r="C784" s="246"/>
      <c r="D784" s="37"/>
      <c r="E784" s="246"/>
      <c r="F784" s="247"/>
      <c r="G784" s="245"/>
      <c r="H784" s="246"/>
      <c r="I784" s="247"/>
      <c r="J784" s="37"/>
      <c r="K784" s="248"/>
      <c r="L784" s="248"/>
      <c r="M784" s="248"/>
      <c r="N784" s="248"/>
      <c r="O784" s="248"/>
      <c r="P784" s="249"/>
      <c r="Q784" s="250"/>
      <c r="R784" s="37"/>
      <c r="S784" s="37"/>
      <c r="T784" s="204"/>
      <c r="U784" s="37"/>
      <c r="V784" s="37"/>
      <c r="W784" s="37"/>
    </row>
    <row r="785" spans="1:23" ht="15.75" customHeight="1" x14ac:dyDescent="0.25">
      <c r="A785" s="244"/>
      <c r="B785" s="245"/>
      <c r="C785" s="246"/>
      <c r="D785" s="37"/>
      <c r="E785" s="246"/>
      <c r="F785" s="247"/>
      <c r="G785" s="245"/>
      <c r="H785" s="246"/>
      <c r="I785" s="247"/>
      <c r="J785" s="37"/>
      <c r="K785" s="248"/>
      <c r="L785" s="248"/>
      <c r="M785" s="248"/>
      <c r="N785" s="248"/>
      <c r="O785" s="248"/>
      <c r="P785" s="249"/>
      <c r="Q785" s="250"/>
      <c r="R785" s="37"/>
      <c r="S785" s="37"/>
      <c r="T785" s="204"/>
      <c r="U785" s="37"/>
      <c r="V785" s="37"/>
      <c r="W785" s="37"/>
    </row>
    <row r="786" spans="1:23" ht="15.75" customHeight="1" x14ac:dyDescent="0.25">
      <c r="A786" s="244"/>
      <c r="B786" s="245"/>
      <c r="C786" s="246"/>
      <c r="D786" s="37"/>
      <c r="E786" s="246"/>
      <c r="F786" s="247"/>
      <c r="G786" s="245"/>
      <c r="H786" s="246"/>
      <c r="I786" s="247"/>
      <c r="J786" s="37"/>
      <c r="K786" s="248"/>
      <c r="L786" s="248"/>
      <c r="M786" s="248"/>
      <c r="N786" s="248"/>
      <c r="O786" s="248"/>
      <c r="P786" s="249"/>
      <c r="Q786" s="250"/>
      <c r="R786" s="37"/>
      <c r="S786" s="37"/>
      <c r="T786" s="204"/>
      <c r="U786" s="37"/>
      <c r="V786" s="37"/>
      <c r="W786" s="37"/>
    </row>
    <row r="787" spans="1:23" ht="15.75" customHeight="1" x14ac:dyDescent="0.25">
      <c r="A787" s="244"/>
      <c r="B787" s="245"/>
      <c r="C787" s="246"/>
      <c r="D787" s="37"/>
      <c r="E787" s="246"/>
      <c r="F787" s="247"/>
      <c r="G787" s="245"/>
      <c r="H787" s="246"/>
      <c r="I787" s="247"/>
      <c r="J787" s="37"/>
      <c r="K787" s="248"/>
      <c r="L787" s="248"/>
      <c r="M787" s="248"/>
      <c r="N787" s="248"/>
      <c r="O787" s="248"/>
      <c r="P787" s="249"/>
      <c r="Q787" s="250"/>
      <c r="R787" s="37"/>
      <c r="S787" s="37"/>
      <c r="T787" s="204"/>
      <c r="U787" s="37"/>
      <c r="V787" s="37"/>
      <c r="W787" s="37"/>
    </row>
    <row r="788" spans="1:23" ht="15.75" customHeight="1" x14ac:dyDescent="0.25">
      <c r="A788" s="244"/>
      <c r="B788" s="245"/>
      <c r="C788" s="246"/>
      <c r="D788" s="37"/>
      <c r="E788" s="246"/>
      <c r="F788" s="247"/>
      <c r="G788" s="245"/>
      <c r="H788" s="246"/>
      <c r="I788" s="247"/>
      <c r="J788" s="37"/>
      <c r="K788" s="248"/>
      <c r="L788" s="248"/>
      <c r="M788" s="248"/>
      <c r="N788" s="248"/>
      <c r="O788" s="248"/>
      <c r="P788" s="249"/>
      <c r="Q788" s="250"/>
      <c r="R788" s="37"/>
      <c r="S788" s="37"/>
      <c r="T788" s="204"/>
      <c r="U788" s="37"/>
      <c r="V788" s="37"/>
      <c r="W788" s="37"/>
    </row>
    <row r="789" spans="1:23" ht="15.75" customHeight="1" x14ac:dyDescent="0.25">
      <c r="A789" s="244"/>
      <c r="B789" s="245"/>
      <c r="C789" s="246"/>
      <c r="D789" s="37"/>
      <c r="E789" s="246"/>
      <c r="F789" s="247"/>
      <c r="G789" s="245"/>
      <c r="H789" s="246"/>
      <c r="I789" s="247"/>
      <c r="J789" s="37"/>
      <c r="K789" s="248"/>
      <c r="L789" s="248"/>
      <c r="M789" s="248"/>
      <c r="N789" s="248"/>
      <c r="O789" s="248"/>
      <c r="P789" s="249"/>
      <c r="Q789" s="250"/>
      <c r="R789" s="37"/>
      <c r="S789" s="37"/>
      <c r="T789" s="204"/>
      <c r="U789" s="37"/>
      <c r="V789" s="37"/>
      <c r="W789" s="37"/>
    </row>
    <row r="790" spans="1:23" ht="15.75" customHeight="1" x14ac:dyDescent="0.25">
      <c r="A790" s="244"/>
      <c r="B790" s="245"/>
      <c r="C790" s="246"/>
      <c r="D790" s="37"/>
      <c r="E790" s="246"/>
      <c r="F790" s="247"/>
      <c r="G790" s="245"/>
      <c r="H790" s="246"/>
      <c r="I790" s="247"/>
      <c r="J790" s="37"/>
      <c r="K790" s="248"/>
      <c r="L790" s="248"/>
      <c r="M790" s="248"/>
      <c r="N790" s="248"/>
      <c r="O790" s="248"/>
      <c r="P790" s="249"/>
      <c r="Q790" s="250"/>
      <c r="R790" s="37"/>
      <c r="S790" s="37"/>
      <c r="T790" s="204"/>
      <c r="U790" s="37"/>
      <c r="V790" s="37"/>
      <c r="W790" s="37"/>
    </row>
    <row r="791" spans="1:23" ht="15.75" customHeight="1" x14ac:dyDescent="0.25">
      <c r="A791" s="244"/>
      <c r="B791" s="245"/>
      <c r="C791" s="246"/>
      <c r="D791" s="37"/>
      <c r="E791" s="246"/>
      <c r="F791" s="247"/>
      <c r="G791" s="245"/>
      <c r="H791" s="246"/>
      <c r="I791" s="247"/>
      <c r="J791" s="37"/>
      <c r="K791" s="248"/>
      <c r="L791" s="248"/>
      <c r="M791" s="248"/>
      <c r="N791" s="248"/>
      <c r="O791" s="248"/>
      <c r="P791" s="249"/>
      <c r="Q791" s="250"/>
      <c r="R791" s="37"/>
      <c r="S791" s="37"/>
      <c r="T791" s="204"/>
      <c r="U791" s="37"/>
      <c r="V791" s="37"/>
      <c r="W791" s="37"/>
    </row>
    <row r="792" spans="1:23" ht="15.75" customHeight="1" x14ac:dyDescent="0.25">
      <c r="A792" s="244"/>
      <c r="B792" s="245"/>
      <c r="C792" s="246"/>
      <c r="D792" s="37"/>
      <c r="E792" s="246"/>
      <c r="F792" s="247"/>
      <c r="G792" s="245"/>
      <c r="H792" s="246"/>
      <c r="I792" s="247"/>
      <c r="J792" s="37"/>
      <c r="K792" s="248"/>
      <c r="L792" s="248"/>
      <c r="M792" s="248"/>
      <c r="N792" s="248"/>
      <c r="O792" s="248"/>
      <c r="P792" s="249"/>
      <c r="Q792" s="250"/>
      <c r="R792" s="37"/>
      <c r="S792" s="37"/>
      <c r="T792" s="204"/>
      <c r="U792" s="37"/>
      <c r="V792" s="37"/>
      <c r="W792" s="37"/>
    </row>
    <row r="793" spans="1:23" ht="15.75" customHeight="1" x14ac:dyDescent="0.25">
      <c r="A793" s="244"/>
      <c r="B793" s="245"/>
      <c r="C793" s="246"/>
      <c r="D793" s="37"/>
      <c r="E793" s="246"/>
      <c r="F793" s="247"/>
      <c r="G793" s="245"/>
      <c r="H793" s="246"/>
      <c r="I793" s="247"/>
      <c r="J793" s="37"/>
      <c r="K793" s="248"/>
      <c r="L793" s="248"/>
      <c r="M793" s="248"/>
      <c r="N793" s="248"/>
      <c r="O793" s="248"/>
      <c r="P793" s="249"/>
      <c r="Q793" s="250"/>
      <c r="R793" s="37"/>
      <c r="S793" s="37"/>
      <c r="T793" s="204"/>
      <c r="U793" s="37"/>
      <c r="V793" s="37"/>
      <c r="W793" s="37"/>
    </row>
    <row r="794" spans="1:23" ht="15.75" customHeight="1" x14ac:dyDescent="0.25">
      <c r="A794" s="244"/>
      <c r="B794" s="245"/>
      <c r="C794" s="246"/>
      <c r="D794" s="37"/>
      <c r="E794" s="246"/>
      <c r="F794" s="247"/>
      <c r="G794" s="245"/>
      <c r="H794" s="246"/>
      <c r="I794" s="247"/>
      <c r="J794" s="37"/>
      <c r="K794" s="248"/>
      <c r="L794" s="248"/>
      <c r="M794" s="248"/>
      <c r="N794" s="248"/>
      <c r="O794" s="248"/>
      <c r="P794" s="249"/>
      <c r="Q794" s="250"/>
      <c r="R794" s="37"/>
      <c r="S794" s="37"/>
      <c r="T794" s="204"/>
      <c r="U794" s="37"/>
      <c r="V794" s="37"/>
      <c r="W794" s="37"/>
    </row>
    <row r="795" spans="1:23" ht="15.75" customHeight="1" x14ac:dyDescent="0.25">
      <c r="A795" s="244"/>
      <c r="B795" s="245"/>
      <c r="C795" s="246"/>
      <c r="D795" s="37"/>
      <c r="E795" s="246"/>
      <c r="F795" s="247"/>
      <c r="G795" s="245"/>
      <c r="H795" s="246"/>
      <c r="I795" s="247"/>
      <c r="J795" s="37"/>
      <c r="K795" s="248"/>
      <c r="L795" s="248"/>
      <c r="M795" s="248"/>
      <c r="N795" s="248"/>
      <c r="O795" s="248"/>
      <c r="P795" s="249"/>
      <c r="Q795" s="250"/>
      <c r="R795" s="37"/>
      <c r="S795" s="37"/>
      <c r="T795" s="204"/>
      <c r="U795" s="37"/>
      <c r="V795" s="37"/>
      <c r="W795" s="37"/>
    </row>
    <row r="796" spans="1:23" ht="15.75" customHeight="1" x14ac:dyDescent="0.25">
      <c r="A796" s="244"/>
      <c r="B796" s="245"/>
      <c r="C796" s="246"/>
      <c r="D796" s="37"/>
      <c r="E796" s="246"/>
      <c r="F796" s="247"/>
      <c r="G796" s="245"/>
      <c r="H796" s="246"/>
      <c r="I796" s="247"/>
      <c r="J796" s="37"/>
      <c r="K796" s="248"/>
      <c r="L796" s="248"/>
      <c r="M796" s="248"/>
      <c r="N796" s="248"/>
      <c r="O796" s="248"/>
      <c r="P796" s="249"/>
      <c r="Q796" s="250"/>
      <c r="R796" s="37"/>
      <c r="S796" s="37"/>
      <c r="T796" s="204"/>
      <c r="U796" s="37"/>
      <c r="V796" s="37"/>
      <c r="W796" s="37"/>
    </row>
    <row r="797" spans="1:23" ht="15.75" customHeight="1" x14ac:dyDescent="0.25">
      <c r="A797" s="244"/>
      <c r="B797" s="245"/>
      <c r="C797" s="246"/>
      <c r="D797" s="37"/>
      <c r="E797" s="246"/>
      <c r="F797" s="247"/>
      <c r="G797" s="245"/>
      <c r="H797" s="246"/>
      <c r="I797" s="247"/>
      <c r="J797" s="37"/>
      <c r="K797" s="248"/>
      <c r="L797" s="248"/>
      <c r="M797" s="248"/>
      <c r="N797" s="248"/>
      <c r="O797" s="248"/>
      <c r="P797" s="249"/>
      <c r="Q797" s="250"/>
      <c r="R797" s="37"/>
      <c r="S797" s="37"/>
      <c r="T797" s="204"/>
      <c r="U797" s="37"/>
      <c r="V797" s="37"/>
      <c r="W797" s="37"/>
    </row>
    <row r="798" spans="1:23" ht="15.75" customHeight="1" x14ac:dyDescent="0.25">
      <c r="A798" s="244"/>
      <c r="B798" s="245"/>
      <c r="C798" s="246"/>
      <c r="D798" s="37"/>
      <c r="E798" s="246"/>
      <c r="F798" s="247"/>
      <c r="G798" s="245"/>
      <c r="H798" s="246"/>
      <c r="I798" s="247"/>
      <c r="J798" s="37"/>
      <c r="K798" s="248"/>
      <c r="L798" s="248"/>
      <c r="M798" s="248"/>
      <c r="N798" s="248"/>
      <c r="O798" s="248"/>
      <c r="P798" s="249"/>
      <c r="Q798" s="250"/>
      <c r="R798" s="37"/>
      <c r="S798" s="37"/>
      <c r="T798" s="204"/>
      <c r="U798" s="37"/>
      <c r="V798" s="37"/>
      <c r="W798" s="37"/>
    </row>
    <row r="799" spans="1:23" ht="15.75" customHeight="1" x14ac:dyDescent="0.25">
      <c r="A799" s="244"/>
      <c r="B799" s="245"/>
      <c r="C799" s="246"/>
      <c r="D799" s="37"/>
      <c r="E799" s="246"/>
      <c r="F799" s="247"/>
      <c r="G799" s="245"/>
      <c r="H799" s="246"/>
      <c r="I799" s="247"/>
      <c r="J799" s="37"/>
      <c r="K799" s="248"/>
      <c r="L799" s="248"/>
      <c r="M799" s="248"/>
      <c r="N799" s="248"/>
      <c r="O799" s="248"/>
      <c r="P799" s="249"/>
      <c r="Q799" s="250"/>
      <c r="R799" s="37"/>
      <c r="S799" s="37"/>
      <c r="T799" s="204"/>
      <c r="U799" s="37"/>
      <c r="V799" s="37"/>
      <c r="W799" s="37"/>
    </row>
    <row r="800" spans="1:23" ht="15.75" customHeight="1" x14ac:dyDescent="0.25">
      <c r="A800" s="244"/>
      <c r="B800" s="245"/>
      <c r="C800" s="246"/>
      <c r="D800" s="37"/>
      <c r="E800" s="246"/>
      <c r="F800" s="247"/>
      <c r="G800" s="245"/>
      <c r="H800" s="246"/>
      <c r="I800" s="247"/>
      <c r="J800" s="37"/>
      <c r="K800" s="248"/>
      <c r="L800" s="248"/>
      <c r="M800" s="248"/>
      <c r="N800" s="248"/>
      <c r="O800" s="248"/>
      <c r="P800" s="249"/>
      <c r="Q800" s="250"/>
      <c r="R800" s="37"/>
      <c r="S800" s="37"/>
      <c r="T800" s="204"/>
      <c r="U800" s="37"/>
      <c r="V800" s="37"/>
      <c r="W800" s="37"/>
    </row>
    <row r="801" spans="1:23" ht="15.75" customHeight="1" x14ac:dyDescent="0.25">
      <c r="A801" s="244"/>
      <c r="B801" s="245"/>
      <c r="C801" s="246"/>
      <c r="D801" s="37"/>
      <c r="E801" s="246"/>
      <c r="F801" s="247"/>
      <c r="G801" s="245"/>
      <c r="H801" s="246"/>
      <c r="I801" s="247"/>
      <c r="J801" s="37"/>
      <c r="K801" s="248"/>
      <c r="L801" s="248"/>
      <c r="M801" s="248"/>
      <c r="N801" s="248"/>
      <c r="O801" s="248"/>
      <c r="P801" s="249"/>
      <c r="Q801" s="250"/>
      <c r="R801" s="37"/>
      <c r="S801" s="37"/>
      <c r="T801" s="204"/>
      <c r="U801" s="37"/>
      <c r="V801" s="37"/>
      <c r="W801" s="37"/>
    </row>
    <row r="802" spans="1:23" ht="15.75" customHeight="1" x14ac:dyDescent="0.25">
      <c r="A802" s="244"/>
      <c r="B802" s="245"/>
      <c r="C802" s="246"/>
      <c r="D802" s="37"/>
      <c r="E802" s="246"/>
      <c r="F802" s="247"/>
      <c r="G802" s="245"/>
      <c r="H802" s="246"/>
      <c r="I802" s="247"/>
      <c r="J802" s="37"/>
      <c r="K802" s="248"/>
      <c r="L802" s="248"/>
      <c r="M802" s="248"/>
      <c r="N802" s="248"/>
      <c r="O802" s="248"/>
      <c r="P802" s="249"/>
      <c r="Q802" s="250"/>
      <c r="R802" s="37"/>
      <c r="S802" s="37"/>
      <c r="T802" s="204"/>
      <c r="U802" s="37"/>
      <c r="V802" s="37"/>
      <c r="W802" s="37"/>
    </row>
    <row r="803" spans="1:23" ht="15.75" customHeight="1" x14ac:dyDescent="0.25">
      <c r="A803" s="244"/>
      <c r="B803" s="245"/>
      <c r="C803" s="246"/>
      <c r="D803" s="37"/>
      <c r="E803" s="246"/>
      <c r="F803" s="247"/>
      <c r="G803" s="245"/>
      <c r="H803" s="246"/>
      <c r="I803" s="247"/>
      <c r="J803" s="37"/>
      <c r="K803" s="248"/>
      <c r="L803" s="248"/>
      <c r="M803" s="248"/>
      <c r="N803" s="248"/>
      <c r="O803" s="248"/>
      <c r="P803" s="249"/>
      <c r="Q803" s="250"/>
      <c r="R803" s="37"/>
      <c r="S803" s="37"/>
      <c r="T803" s="204"/>
      <c r="U803" s="37"/>
      <c r="V803" s="37"/>
      <c r="W803" s="37"/>
    </row>
    <row r="804" spans="1:23" ht="15.75" customHeight="1" x14ac:dyDescent="0.25">
      <c r="A804" s="244"/>
      <c r="B804" s="245"/>
      <c r="C804" s="246"/>
      <c r="D804" s="37"/>
      <c r="E804" s="246"/>
      <c r="F804" s="247"/>
      <c r="G804" s="245"/>
      <c r="H804" s="246"/>
      <c r="I804" s="247"/>
      <c r="J804" s="37"/>
      <c r="K804" s="248"/>
      <c r="L804" s="248"/>
      <c r="M804" s="248"/>
      <c r="N804" s="248"/>
      <c r="O804" s="248"/>
      <c r="P804" s="249"/>
      <c r="Q804" s="250"/>
      <c r="R804" s="37"/>
      <c r="S804" s="37"/>
      <c r="T804" s="204"/>
      <c r="U804" s="37"/>
      <c r="V804" s="37"/>
      <c r="W804" s="37"/>
    </row>
    <row r="805" spans="1:23" ht="15.75" customHeight="1" x14ac:dyDescent="0.25">
      <c r="A805" s="244"/>
      <c r="B805" s="245"/>
      <c r="C805" s="246"/>
      <c r="D805" s="37"/>
      <c r="E805" s="246"/>
      <c r="F805" s="247"/>
      <c r="G805" s="245"/>
      <c r="H805" s="246"/>
      <c r="I805" s="247"/>
      <c r="J805" s="37"/>
      <c r="K805" s="248"/>
      <c r="L805" s="248"/>
      <c r="M805" s="248"/>
      <c r="N805" s="248"/>
      <c r="O805" s="248"/>
      <c r="P805" s="249"/>
      <c r="Q805" s="250"/>
      <c r="R805" s="37"/>
      <c r="S805" s="37"/>
      <c r="T805" s="204"/>
      <c r="U805" s="37"/>
      <c r="V805" s="37"/>
      <c r="W805" s="37"/>
    </row>
    <row r="806" spans="1:23" ht="15.75" customHeight="1" x14ac:dyDescent="0.25">
      <c r="A806" s="244"/>
      <c r="B806" s="245"/>
      <c r="C806" s="246"/>
      <c r="D806" s="37"/>
      <c r="E806" s="246"/>
      <c r="F806" s="247"/>
      <c r="G806" s="245"/>
      <c r="H806" s="246"/>
      <c r="I806" s="247"/>
      <c r="J806" s="37"/>
      <c r="K806" s="248"/>
      <c r="L806" s="248"/>
      <c r="M806" s="248"/>
      <c r="N806" s="248"/>
      <c r="O806" s="248"/>
      <c r="P806" s="249"/>
      <c r="Q806" s="250"/>
      <c r="R806" s="37"/>
      <c r="S806" s="37"/>
      <c r="T806" s="204"/>
      <c r="U806" s="37"/>
      <c r="V806" s="37"/>
      <c r="W806" s="37"/>
    </row>
    <row r="807" spans="1:23" ht="15.75" customHeight="1" x14ac:dyDescent="0.25">
      <c r="A807" s="244"/>
      <c r="B807" s="245"/>
      <c r="C807" s="246"/>
      <c r="D807" s="37"/>
      <c r="E807" s="246"/>
      <c r="F807" s="247"/>
      <c r="G807" s="245"/>
      <c r="H807" s="246"/>
      <c r="I807" s="247"/>
      <c r="J807" s="37"/>
      <c r="K807" s="248"/>
      <c r="L807" s="248"/>
      <c r="M807" s="248"/>
      <c r="N807" s="248"/>
      <c r="O807" s="248"/>
      <c r="P807" s="249"/>
      <c r="Q807" s="250"/>
      <c r="R807" s="37"/>
      <c r="S807" s="37"/>
      <c r="T807" s="204"/>
      <c r="U807" s="37"/>
      <c r="V807" s="37"/>
      <c r="W807" s="37"/>
    </row>
    <row r="808" spans="1:23" ht="15.75" customHeight="1" x14ac:dyDescent="0.25">
      <c r="A808" s="244"/>
      <c r="B808" s="245"/>
      <c r="C808" s="246"/>
      <c r="D808" s="37"/>
      <c r="E808" s="246"/>
      <c r="F808" s="247"/>
      <c r="G808" s="245"/>
      <c r="H808" s="246"/>
      <c r="I808" s="247"/>
      <c r="J808" s="37"/>
      <c r="K808" s="248"/>
      <c r="L808" s="248"/>
      <c r="M808" s="248"/>
      <c r="N808" s="248"/>
      <c r="O808" s="248"/>
      <c r="P808" s="249"/>
      <c r="Q808" s="250"/>
      <c r="R808" s="37"/>
      <c r="S808" s="37"/>
      <c r="T808" s="204"/>
      <c r="U808" s="37"/>
      <c r="V808" s="37"/>
      <c r="W808" s="37"/>
    </row>
    <row r="809" spans="1:23" ht="15.75" customHeight="1" x14ac:dyDescent="0.25">
      <c r="A809" s="244"/>
      <c r="B809" s="245"/>
      <c r="C809" s="246"/>
      <c r="D809" s="37"/>
      <c r="E809" s="246"/>
      <c r="F809" s="247"/>
      <c r="G809" s="245"/>
      <c r="H809" s="246"/>
      <c r="I809" s="247"/>
      <c r="J809" s="37"/>
      <c r="K809" s="248"/>
      <c r="L809" s="248"/>
      <c r="M809" s="248"/>
      <c r="N809" s="248"/>
      <c r="O809" s="248"/>
      <c r="P809" s="249"/>
      <c r="Q809" s="250"/>
      <c r="R809" s="37"/>
      <c r="S809" s="37"/>
      <c r="T809" s="204"/>
      <c r="U809" s="37"/>
      <c r="V809" s="37"/>
      <c r="W809" s="37"/>
    </row>
    <row r="810" spans="1:23" ht="15.75" customHeight="1" x14ac:dyDescent="0.25">
      <c r="A810" s="244"/>
      <c r="B810" s="245"/>
      <c r="C810" s="246"/>
      <c r="D810" s="37"/>
      <c r="E810" s="246"/>
      <c r="F810" s="247"/>
      <c r="G810" s="245"/>
      <c r="H810" s="246"/>
      <c r="I810" s="247"/>
      <c r="J810" s="37"/>
      <c r="K810" s="248"/>
      <c r="L810" s="248"/>
      <c r="M810" s="248"/>
      <c r="N810" s="248"/>
      <c r="O810" s="248"/>
      <c r="P810" s="249"/>
      <c r="Q810" s="250"/>
      <c r="R810" s="37"/>
      <c r="S810" s="37"/>
      <c r="T810" s="204"/>
      <c r="U810" s="37"/>
      <c r="V810" s="37"/>
      <c r="W810" s="37"/>
    </row>
    <row r="811" spans="1:23" ht="15.75" customHeight="1" x14ac:dyDescent="0.25">
      <c r="A811" s="244"/>
      <c r="B811" s="245"/>
      <c r="C811" s="246"/>
      <c r="D811" s="37"/>
      <c r="E811" s="246"/>
      <c r="F811" s="247"/>
      <c r="G811" s="245"/>
      <c r="H811" s="246"/>
      <c r="I811" s="247"/>
      <c r="J811" s="37"/>
      <c r="K811" s="248"/>
      <c r="L811" s="248"/>
      <c r="M811" s="248"/>
      <c r="N811" s="248"/>
      <c r="O811" s="248"/>
      <c r="P811" s="249"/>
      <c r="Q811" s="250"/>
      <c r="R811" s="37"/>
      <c r="S811" s="37"/>
      <c r="T811" s="204"/>
      <c r="U811" s="37"/>
      <c r="V811" s="37"/>
      <c r="W811" s="37"/>
    </row>
    <row r="812" spans="1:23" ht="15.75" customHeight="1" x14ac:dyDescent="0.25">
      <c r="A812" s="244"/>
      <c r="B812" s="245"/>
      <c r="C812" s="246"/>
      <c r="D812" s="37"/>
      <c r="E812" s="246"/>
      <c r="F812" s="247"/>
      <c r="G812" s="245"/>
      <c r="H812" s="246"/>
      <c r="I812" s="247"/>
      <c r="J812" s="37"/>
      <c r="K812" s="248"/>
      <c r="L812" s="248"/>
      <c r="M812" s="248"/>
      <c r="N812" s="248"/>
      <c r="O812" s="248"/>
      <c r="P812" s="249"/>
      <c r="Q812" s="250"/>
      <c r="R812" s="37"/>
      <c r="S812" s="37"/>
      <c r="T812" s="204"/>
      <c r="U812" s="37"/>
      <c r="V812" s="37"/>
      <c r="W812" s="37"/>
    </row>
    <row r="813" spans="1:23" ht="15.75" customHeight="1" x14ac:dyDescent="0.25">
      <c r="A813" s="244"/>
      <c r="B813" s="245"/>
      <c r="C813" s="246"/>
      <c r="D813" s="37"/>
      <c r="E813" s="246"/>
      <c r="F813" s="247"/>
      <c r="G813" s="245"/>
      <c r="H813" s="246"/>
      <c r="I813" s="247"/>
      <c r="J813" s="37"/>
      <c r="K813" s="248"/>
      <c r="L813" s="248"/>
      <c r="M813" s="248"/>
      <c r="N813" s="248"/>
      <c r="O813" s="248"/>
      <c r="P813" s="249"/>
      <c r="Q813" s="250"/>
      <c r="R813" s="37"/>
      <c r="S813" s="37"/>
      <c r="T813" s="204"/>
      <c r="U813" s="37"/>
      <c r="V813" s="37"/>
      <c r="W813" s="37"/>
    </row>
    <row r="814" spans="1:23" ht="15.75" customHeight="1" x14ac:dyDescent="0.25">
      <c r="A814" s="244"/>
      <c r="B814" s="245"/>
      <c r="C814" s="246"/>
      <c r="D814" s="37"/>
      <c r="E814" s="246"/>
      <c r="F814" s="247"/>
      <c r="G814" s="245"/>
      <c r="H814" s="246"/>
      <c r="I814" s="247"/>
      <c r="J814" s="37"/>
      <c r="K814" s="248"/>
      <c r="L814" s="248"/>
      <c r="M814" s="248"/>
      <c r="N814" s="248"/>
      <c r="O814" s="248"/>
      <c r="P814" s="249"/>
      <c r="Q814" s="250"/>
      <c r="R814" s="37"/>
      <c r="S814" s="37"/>
      <c r="T814" s="204"/>
      <c r="U814" s="37"/>
      <c r="V814" s="37"/>
      <c r="W814" s="37"/>
    </row>
    <row r="815" spans="1:23" ht="15.75" customHeight="1" x14ac:dyDescent="0.25">
      <c r="A815" s="244"/>
      <c r="B815" s="245"/>
      <c r="C815" s="246"/>
      <c r="D815" s="37"/>
      <c r="E815" s="246"/>
      <c r="F815" s="247"/>
      <c r="G815" s="245"/>
      <c r="H815" s="246"/>
      <c r="I815" s="247"/>
      <c r="J815" s="37"/>
      <c r="K815" s="248"/>
      <c r="L815" s="248"/>
      <c r="M815" s="248"/>
      <c r="N815" s="248"/>
      <c r="O815" s="248"/>
      <c r="P815" s="249"/>
      <c r="Q815" s="250"/>
      <c r="R815" s="37"/>
      <c r="S815" s="37"/>
      <c r="T815" s="204"/>
      <c r="U815" s="37"/>
      <c r="V815" s="37"/>
      <c r="W815" s="37"/>
    </row>
    <row r="816" spans="1:23" ht="15.75" customHeight="1" x14ac:dyDescent="0.25">
      <c r="A816" s="244"/>
      <c r="B816" s="245"/>
      <c r="C816" s="246"/>
      <c r="D816" s="37"/>
      <c r="E816" s="246"/>
      <c r="F816" s="247"/>
      <c r="G816" s="245"/>
      <c r="H816" s="246"/>
      <c r="I816" s="247"/>
      <c r="J816" s="37"/>
      <c r="K816" s="248"/>
      <c r="L816" s="248"/>
      <c r="M816" s="248"/>
      <c r="N816" s="248"/>
      <c r="O816" s="248"/>
      <c r="P816" s="249"/>
      <c r="Q816" s="250"/>
      <c r="R816" s="37"/>
      <c r="S816" s="37"/>
      <c r="T816" s="204"/>
      <c r="U816" s="37"/>
      <c r="V816" s="37"/>
      <c r="W816" s="37"/>
    </row>
    <row r="817" spans="1:23" ht="15.75" customHeight="1" x14ac:dyDescent="0.25">
      <c r="A817" s="244"/>
      <c r="B817" s="245"/>
      <c r="C817" s="246"/>
      <c r="D817" s="37"/>
      <c r="E817" s="246"/>
      <c r="F817" s="247"/>
      <c r="G817" s="245"/>
      <c r="H817" s="246"/>
      <c r="I817" s="247"/>
      <c r="J817" s="37"/>
      <c r="K817" s="248"/>
      <c r="L817" s="248"/>
      <c r="M817" s="248"/>
      <c r="N817" s="248"/>
      <c r="O817" s="248"/>
      <c r="P817" s="249"/>
      <c r="Q817" s="250"/>
      <c r="R817" s="37"/>
      <c r="S817" s="37"/>
      <c r="T817" s="204"/>
      <c r="U817" s="37"/>
      <c r="V817" s="37"/>
      <c r="W817" s="37"/>
    </row>
    <row r="818" spans="1:23" ht="15.75" customHeight="1" x14ac:dyDescent="0.25">
      <c r="A818" s="244"/>
      <c r="B818" s="245"/>
      <c r="C818" s="246"/>
      <c r="D818" s="37"/>
      <c r="E818" s="246"/>
      <c r="F818" s="247"/>
      <c r="G818" s="245"/>
      <c r="H818" s="246"/>
      <c r="I818" s="247"/>
      <c r="J818" s="37"/>
      <c r="K818" s="248"/>
      <c r="L818" s="248"/>
      <c r="M818" s="248"/>
      <c r="N818" s="248"/>
      <c r="O818" s="248"/>
      <c r="P818" s="249"/>
      <c r="Q818" s="250"/>
      <c r="R818" s="37"/>
      <c r="S818" s="37"/>
      <c r="T818" s="204"/>
      <c r="U818" s="37"/>
      <c r="V818" s="37"/>
      <c r="W818" s="37"/>
    </row>
    <row r="819" spans="1:23" ht="15.75" customHeight="1" x14ac:dyDescent="0.25">
      <c r="A819" s="244"/>
      <c r="B819" s="245"/>
      <c r="C819" s="246"/>
      <c r="D819" s="37"/>
      <c r="E819" s="246"/>
      <c r="F819" s="247"/>
      <c r="G819" s="245"/>
      <c r="H819" s="246"/>
      <c r="I819" s="247"/>
      <c r="J819" s="37"/>
      <c r="K819" s="248"/>
      <c r="L819" s="248"/>
      <c r="M819" s="248"/>
      <c r="N819" s="248"/>
      <c r="O819" s="248"/>
      <c r="P819" s="249"/>
      <c r="Q819" s="250"/>
      <c r="R819" s="37"/>
      <c r="S819" s="37"/>
      <c r="T819" s="204"/>
      <c r="U819" s="37"/>
      <c r="V819" s="37"/>
      <c r="W819" s="37"/>
    </row>
    <row r="820" spans="1:23" ht="15.75" customHeight="1" x14ac:dyDescent="0.25">
      <c r="A820" s="244"/>
      <c r="B820" s="245"/>
      <c r="C820" s="246"/>
      <c r="D820" s="37"/>
      <c r="E820" s="246"/>
      <c r="F820" s="247"/>
      <c r="G820" s="245"/>
      <c r="H820" s="246"/>
      <c r="I820" s="247"/>
      <c r="J820" s="37"/>
      <c r="K820" s="248"/>
      <c r="L820" s="248"/>
      <c r="M820" s="248"/>
      <c r="N820" s="248"/>
      <c r="O820" s="248"/>
      <c r="P820" s="249"/>
      <c r="Q820" s="250"/>
      <c r="R820" s="37"/>
      <c r="S820" s="37"/>
      <c r="T820" s="204"/>
      <c r="U820" s="37"/>
      <c r="V820" s="37"/>
      <c r="W820" s="37"/>
    </row>
    <row r="821" spans="1:23" ht="15.75" customHeight="1" x14ac:dyDescent="0.25">
      <c r="A821" s="244"/>
      <c r="B821" s="245"/>
      <c r="C821" s="246"/>
      <c r="D821" s="37"/>
      <c r="E821" s="246"/>
      <c r="F821" s="247"/>
      <c r="G821" s="245"/>
      <c r="H821" s="246"/>
      <c r="I821" s="247"/>
      <c r="J821" s="37"/>
      <c r="K821" s="248"/>
      <c r="L821" s="248"/>
      <c r="M821" s="248"/>
      <c r="N821" s="248"/>
      <c r="O821" s="248"/>
      <c r="P821" s="249"/>
      <c r="Q821" s="250"/>
      <c r="R821" s="37"/>
      <c r="S821" s="37"/>
      <c r="T821" s="204"/>
      <c r="U821" s="37"/>
      <c r="V821" s="37"/>
      <c r="W821" s="37"/>
    </row>
    <row r="822" spans="1:23" ht="15.75" customHeight="1" x14ac:dyDescent="0.25">
      <c r="A822" s="244"/>
      <c r="B822" s="245"/>
      <c r="C822" s="246"/>
      <c r="D822" s="37"/>
      <c r="E822" s="246"/>
      <c r="F822" s="247"/>
      <c r="G822" s="245"/>
      <c r="H822" s="246"/>
      <c r="I822" s="247"/>
      <c r="J822" s="37"/>
      <c r="K822" s="248"/>
      <c r="L822" s="248"/>
      <c r="M822" s="248"/>
      <c r="N822" s="248"/>
      <c r="O822" s="248"/>
      <c r="P822" s="249"/>
      <c r="Q822" s="250"/>
      <c r="R822" s="37"/>
      <c r="S822" s="37"/>
      <c r="T822" s="204"/>
      <c r="U822" s="37"/>
      <c r="V822" s="37"/>
      <c r="W822" s="37"/>
    </row>
    <row r="823" spans="1:23" ht="15.75" customHeight="1" x14ac:dyDescent="0.25">
      <c r="A823" s="244"/>
      <c r="B823" s="245"/>
      <c r="C823" s="246"/>
      <c r="D823" s="37"/>
      <c r="E823" s="246"/>
      <c r="F823" s="247"/>
      <c r="G823" s="245"/>
      <c r="H823" s="246"/>
      <c r="I823" s="247"/>
      <c r="J823" s="37"/>
      <c r="K823" s="248"/>
      <c r="L823" s="248"/>
      <c r="M823" s="248"/>
      <c r="N823" s="248"/>
      <c r="O823" s="248"/>
      <c r="P823" s="249"/>
      <c r="Q823" s="250"/>
      <c r="R823" s="37"/>
      <c r="S823" s="37"/>
      <c r="T823" s="204"/>
      <c r="U823" s="37"/>
      <c r="V823" s="37"/>
      <c r="W823" s="37"/>
    </row>
    <row r="824" spans="1:23" ht="15.75" customHeight="1" x14ac:dyDescent="0.25">
      <c r="A824" s="244"/>
      <c r="B824" s="245"/>
      <c r="C824" s="246"/>
      <c r="D824" s="37"/>
      <c r="E824" s="246"/>
      <c r="F824" s="247"/>
      <c r="G824" s="245"/>
      <c r="H824" s="246"/>
      <c r="I824" s="247"/>
      <c r="J824" s="37"/>
      <c r="K824" s="248"/>
      <c r="L824" s="248"/>
      <c r="M824" s="248"/>
      <c r="N824" s="248"/>
      <c r="O824" s="248"/>
      <c r="P824" s="249"/>
      <c r="Q824" s="250"/>
      <c r="R824" s="37"/>
      <c r="S824" s="37"/>
      <c r="T824" s="204"/>
      <c r="U824" s="37"/>
      <c r="V824" s="37"/>
      <c r="W824" s="37"/>
    </row>
    <row r="825" spans="1:23" ht="15.75" customHeight="1" x14ac:dyDescent="0.25">
      <c r="A825" s="244"/>
      <c r="B825" s="245"/>
      <c r="C825" s="246"/>
      <c r="D825" s="37"/>
      <c r="E825" s="246"/>
      <c r="F825" s="247"/>
      <c r="G825" s="245"/>
      <c r="H825" s="246"/>
      <c r="I825" s="247"/>
      <c r="J825" s="37"/>
      <c r="K825" s="248"/>
      <c r="L825" s="248"/>
      <c r="M825" s="248"/>
      <c r="N825" s="248"/>
      <c r="O825" s="248"/>
      <c r="P825" s="249"/>
      <c r="Q825" s="250"/>
      <c r="R825" s="37"/>
      <c r="S825" s="37"/>
      <c r="T825" s="204"/>
      <c r="U825" s="37"/>
      <c r="V825" s="37"/>
      <c r="W825" s="37"/>
    </row>
    <row r="826" spans="1:23" ht="15.75" customHeight="1" x14ac:dyDescent="0.25">
      <c r="A826" s="244"/>
      <c r="B826" s="245"/>
      <c r="C826" s="246"/>
      <c r="D826" s="37"/>
      <c r="E826" s="246"/>
      <c r="F826" s="247"/>
      <c r="G826" s="245"/>
      <c r="H826" s="246"/>
      <c r="I826" s="247"/>
      <c r="J826" s="37"/>
      <c r="K826" s="248"/>
      <c r="L826" s="248"/>
      <c r="M826" s="248"/>
      <c r="N826" s="248"/>
      <c r="O826" s="248"/>
      <c r="P826" s="249"/>
      <c r="Q826" s="250"/>
      <c r="R826" s="37"/>
      <c r="S826" s="37"/>
      <c r="T826" s="204"/>
      <c r="U826" s="37"/>
      <c r="V826" s="37"/>
      <c r="W826" s="37"/>
    </row>
    <row r="827" spans="1:23" ht="15.75" customHeight="1" x14ac:dyDescent="0.25">
      <c r="A827" s="244"/>
      <c r="B827" s="245"/>
      <c r="C827" s="246"/>
      <c r="D827" s="37"/>
      <c r="E827" s="246"/>
      <c r="F827" s="247"/>
      <c r="G827" s="245"/>
      <c r="H827" s="246"/>
      <c r="I827" s="247"/>
      <c r="J827" s="37"/>
      <c r="K827" s="248"/>
      <c r="L827" s="248"/>
      <c r="M827" s="248"/>
      <c r="N827" s="248"/>
      <c r="O827" s="248"/>
      <c r="P827" s="249"/>
      <c r="Q827" s="250"/>
      <c r="R827" s="37"/>
      <c r="S827" s="37"/>
      <c r="T827" s="204"/>
      <c r="U827" s="37"/>
      <c r="V827" s="37"/>
      <c r="W827" s="37"/>
    </row>
    <row r="828" spans="1:23" ht="15.75" customHeight="1" x14ac:dyDescent="0.25">
      <c r="A828" s="244"/>
      <c r="B828" s="245"/>
      <c r="C828" s="246"/>
      <c r="D828" s="37"/>
      <c r="E828" s="246"/>
      <c r="F828" s="247"/>
      <c r="G828" s="245"/>
      <c r="H828" s="246"/>
      <c r="I828" s="247"/>
      <c r="J828" s="37"/>
      <c r="K828" s="248"/>
      <c r="L828" s="248"/>
      <c r="M828" s="248"/>
      <c r="N828" s="248"/>
      <c r="O828" s="248"/>
      <c r="P828" s="249"/>
      <c r="Q828" s="250"/>
      <c r="R828" s="37"/>
      <c r="S828" s="37"/>
      <c r="T828" s="204"/>
      <c r="U828" s="37"/>
      <c r="V828" s="37"/>
      <c r="W828" s="37"/>
    </row>
    <row r="829" spans="1:23" ht="15.75" customHeight="1" x14ac:dyDescent="0.25">
      <c r="A829" s="244"/>
      <c r="B829" s="245"/>
      <c r="C829" s="246"/>
      <c r="D829" s="37"/>
      <c r="E829" s="246"/>
      <c r="F829" s="247"/>
      <c r="G829" s="245"/>
      <c r="H829" s="246"/>
      <c r="I829" s="247"/>
      <c r="J829" s="37"/>
      <c r="K829" s="248"/>
      <c r="L829" s="248"/>
      <c r="M829" s="248"/>
      <c r="N829" s="248"/>
      <c r="O829" s="248"/>
      <c r="P829" s="249"/>
      <c r="Q829" s="250"/>
      <c r="R829" s="37"/>
      <c r="S829" s="37"/>
      <c r="T829" s="204"/>
      <c r="U829" s="37"/>
      <c r="V829" s="37"/>
      <c r="W829" s="37"/>
    </row>
    <row r="830" spans="1:23" ht="15.75" customHeight="1" x14ac:dyDescent="0.25">
      <c r="A830" s="244"/>
      <c r="B830" s="245"/>
      <c r="C830" s="246"/>
      <c r="D830" s="37"/>
      <c r="E830" s="246"/>
      <c r="F830" s="247"/>
      <c r="G830" s="245"/>
      <c r="H830" s="246"/>
      <c r="I830" s="247"/>
      <c r="J830" s="37"/>
      <c r="K830" s="248"/>
      <c r="L830" s="248"/>
      <c r="M830" s="248"/>
      <c r="N830" s="248"/>
      <c r="O830" s="248"/>
      <c r="P830" s="249"/>
      <c r="Q830" s="250"/>
      <c r="R830" s="37"/>
      <c r="S830" s="37"/>
      <c r="T830" s="204"/>
      <c r="U830" s="37"/>
      <c r="V830" s="37"/>
      <c r="W830" s="37"/>
    </row>
    <row r="831" spans="1:23" ht="15.75" customHeight="1" x14ac:dyDescent="0.25">
      <c r="A831" s="244"/>
      <c r="B831" s="245"/>
      <c r="C831" s="246"/>
      <c r="D831" s="37"/>
      <c r="E831" s="246"/>
      <c r="F831" s="247"/>
      <c r="G831" s="245"/>
      <c r="H831" s="246"/>
      <c r="I831" s="247"/>
      <c r="J831" s="37"/>
      <c r="K831" s="248"/>
      <c r="L831" s="248"/>
      <c r="M831" s="248"/>
      <c r="N831" s="248"/>
      <c r="O831" s="248"/>
      <c r="P831" s="249"/>
      <c r="Q831" s="250"/>
      <c r="R831" s="37"/>
      <c r="S831" s="37"/>
      <c r="T831" s="204"/>
      <c r="U831" s="37"/>
      <c r="V831" s="37"/>
      <c r="W831" s="37"/>
    </row>
    <row r="832" spans="1:23" ht="15.75" customHeight="1" x14ac:dyDescent="0.25">
      <c r="A832" s="244"/>
      <c r="B832" s="245"/>
      <c r="C832" s="246"/>
      <c r="D832" s="37"/>
      <c r="E832" s="246"/>
      <c r="F832" s="247"/>
      <c r="G832" s="245"/>
      <c r="H832" s="246"/>
      <c r="I832" s="247"/>
      <c r="J832" s="37"/>
      <c r="K832" s="248"/>
      <c r="L832" s="248"/>
      <c r="M832" s="248"/>
      <c r="N832" s="248"/>
      <c r="O832" s="248"/>
      <c r="P832" s="249"/>
      <c r="Q832" s="250"/>
      <c r="R832" s="37"/>
      <c r="S832" s="37"/>
      <c r="T832" s="204"/>
      <c r="U832" s="37"/>
      <c r="V832" s="37"/>
      <c r="W832" s="37"/>
    </row>
    <row r="833" spans="1:23" ht="15.75" customHeight="1" x14ac:dyDescent="0.25">
      <c r="A833" s="244"/>
      <c r="B833" s="245"/>
      <c r="C833" s="246"/>
      <c r="D833" s="37"/>
      <c r="E833" s="246"/>
      <c r="F833" s="247"/>
      <c r="G833" s="245"/>
      <c r="H833" s="246"/>
      <c r="I833" s="247"/>
      <c r="J833" s="37"/>
      <c r="K833" s="248"/>
      <c r="L833" s="248"/>
      <c r="M833" s="248"/>
      <c r="N833" s="248"/>
      <c r="O833" s="248"/>
      <c r="P833" s="249"/>
      <c r="Q833" s="250"/>
      <c r="R833" s="37"/>
      <c r="S833" s="37"/>
      <c r="T833" s="204"/>
      <c r="U833" s="37"/>
      <c r="V833" s="37"/>
      <c r="W833" s="37"/>
    </row>
    <row r="834" spans="1:23" ht="15.75" customHeight="1" x14ac:dyDescent="0.25">
      <c r="A834" s="244"/>
      <c r="B834" s="245"/>
      <c r="C834" s="246"/>
      <c r="D834" s="37"/>
      <c r="E834" s="246"/>
      <c r="F834" s="247"/>
      <c r="G834" s="245"/>
      <c r="H834" s="246"/>
      <c r="I834" s="247"/>
      <c r="J834" s="37"/>
      <c r="K834" s="248"/>
      <c r="L834" s="248"/>
      <c r="M834" s="248"/>
      <c r="N834" s="248"/>
      <c r="O834" s="248"/>
      <c r="P834" s="249"/>
      <c r="Q834" s="250"/>
      <c r="R834" s="37"/>
      <c r="S834" s="37"/>
      <c r="T834" s="204"/>
      <c r="U834" s="37"/>
      <c r="V834" s="37"/>
      <c r="W834" s="37"/>
    </row>
    <row r="835" spans="1:23" ht="15.75" customHeight="1" x14ac:dyDescent="0.25">
      <c r="A835" s="244"/>
      <c r="B835" s="245"/>
      <c r="C835" s="246"/>
      <c r="D835" s="37"/>
      <c r="E835" s="246"/>
      <c r="F835" s="247"/>
      <c r="G835" s="245"/>
      <c r="H835" s="246"/>
      <c r="I835" s="247"/>
      <c r="J835" s="37"/>
      <c r="K835" s="248"/>
      <c r="L835" s="248"/>
      <c r="M835" s="248"/>
      <c r="N835" s="248"/>
      <c r="O835" s="248"/>
      <c r="P835" s="249"/>
      <c r="Q835" s="250"/>
      <c r="R835" s="37"/>
      <c r="S835" s="37"/>
      <c r="T835" s="204"/>
      <c r="U835" s="37"/>
      <c r="V835" s="37"/>
      <c r="W835" s="37"/>
    </row>
    <row r="836" spans="1:23" ht="15.75" customHeight="1" x14ac:dyDescent="0.25">
      <c r="A836" s="244"/>
      <c r="B836" s="245"/>
      <c r="C836" s="246"/>
      <c r="D836" s="37"/>
      <c r="E836" s="246"/>
      <c r="F836" s="247"/>
      <c r="G836" s="245"/>
      <c r="H836" s="246"/>
      <c r="I836" s="247"/>
      <c r="J836" s="37"/>
      <c r="K836" s="248"/>
      <c r="L836" s="248"/>
      <c r="M836" s="248"/>
      <c r="N836" s="248"/>
      <c r="O836" s="248"/>
      <c r="P836" s="249"/>
      <c r="Q836" s="250"/>
      <c r="R836" s="37"/>
      <c r="S836" s="37"/>
      <c r="T836" s="204"/>
      <c r="U836" s="37"/>
      <c r="V836" s="37"/>
      <c r="W836" s="37"/>
    </row>
    <row r="837" spans="1:23" ht="15.75" customHeight="1" x14ac:dyDescent="0.25">
      <c r="A837" s="244"/>
      <c r="B837" s="245"/>
      <c r="C837" s="246"/>
      <c r="D837" s="37"/>
      <c r="E837" s="246"/>
      <c r="F837" s="247"/>
      <c r="G837" s="245"/>
      <c r="H837" s="246"/>
      <c r="I837" s="247"/>
      <c r="J837" s="37"/>
      <c r="K837" s="248"/>
      <c r="L837" s="248"/>
      <c r="M837" s="248"/>
      <c r="N837" s="248"/>
      <c r="O837" s="248"/>
      <c r="P837" s="249"/>
      <c r="Q837" s="250"/>
      <c r="R837" s="37"/>
      <c r="S837" s="37"/>
      <c r="T837" s="204"/>
      <c r="U837" s="37"/>
      <c r="V837" s="37"/>
      <c r="W837" s="37"/>
    </row>
    <row r="838" spans="1:23" ht="15.75" customHeight="1" x14ac:dyDescent="0.25">
      <c r="A838" s="244"/>
      <c r="B838" s="245"/>
      <c r="C838" s="246"/>
      <c r="D838" s="37"/>
      <c r="E838" s="246"/>
      <c r="F838" s="247"/>
      <c r="G838" s="245"/>
      <c r="H838" s="246"/>
      <c r="I838" s="247"/>
      <c r="J838" s="37"/>
      <c r="K838" s="248"/>
      <c r="L838" s="248"/>
      <c r="M838" s="248"/>
      <c r="N838" s="248"/>
      <c r="O838" s="248"/>
      <c r="P838" s="249"/>
      <c r="Q838" s="250"/>
      <c r="R838" s="37"/>
      <c r="S838" s="37"/>
      <c r="T838" s="204"/>
      <c r="U838" s="37"/>
      <c r="V838" s="37"/>
      <c r="W838" s="37"/>
    </row>
    <row r="839" spans="1:23" ht="15.75" customHeight="1" x14ac:dyDescent="0.25">
      <c r="A839" s="244"/>
      <c r="B839" s="245"/>
      <c r="C839" s="246"/>
      <c r="D839" s="37"/>
      <c r="E839" s="246"/>
      <c r="F839" s="247"/>
      <c r="G839" s="245"/>
      <c r="H839" s="246"/>
      <c r="I839" s="247"/>
      <c r="J839" s="37"/>
      <c r="K839" s="248"/>
      <c r="L839" s="248"/>
      <c r="M839" s="248"/>
      <c r="N839" s="248"/>
      <c r="O839" s="248"/>
      <c r="P839" s="249"/>
      <c r="Q839" s="250"/>
      <c r="R839" s="37"/>
      <c r="S839" s="37"/>
      <c r="T839" s="204"/>
      <c r="U839" s="37"/>
      <c r="V839" s="37"/>
      <c r="W839" s="37"/>
    </row>
    <row r="840" spans="1:23" ht="15.75" customHeight="1" x14ac:dyDescent="0.25">
      <c r="A840" s="244"/>
      <c r="B840" s="245"/>
      <c r="C840" s="246"/>
      <c r="D840" s="37"/>
      <c r="E840" s="246"/>
      <c r="F840" s="247"/>
      <c r="G840" s="245"/>
      <c r="H840" s="246"/>
      <c r="I840" s="247"/>
      <c r="J840" s="37"/>
      <c r="K840" s="248"/>
      <c r="L840" s="248"/>
      <c r="M840" s="248"/>
      <c r="N840" s="248"/>
      <c r="O840" s="248"/>
      <c r="P840" s="249"/>
      <c r="Q840" s="250"/>
      <c r="R840" s="37"/>
      <c r="S840" s="37"/>
      <c r="T840" s="204"/>
      <c r="U840" s="37"/>
      <c r="V840" s="37"/>
      <c r="W840" s="37"/>
    </row>
    <row r="841" spans="1:23" ht="15.75" customHeight="1" x14ac:dyDescent="0.25">
      <c r="A841" s="244"/>
      <c r="B841" s="245"/>
      <c r="C841" s="246"/>
      <c r="D841" s="37"/>
      <c r="E841" s="246"/>
      <c r="F841" s="247"/>
      <c r="G841" s="245"/>
      <c r="H841" s="246"/>
      <c r="I841" s="247"/>
      <c r="J841" s="37"/>
      <c r="K841" s="248"/>
      <c r="L841" s="248"/>
      <c r="M841" s="248"/>
      <c r="N841" s="248"/>
      <c r="O841" s="248"/>
      <c r="P841" s="249"/>
      <c r="Q841" s="250"/>
      <c r="R841" s="37"/>
      <c r="S841" s="37"/>
      <c r="T841" s="204"/>
      <c r="U841" s="37"/>
      <c r="V841" s="37"/>
      <c r="W841" s="37"/>
    </row>
    <row r="842" spans="1:23" ht="15.75" customHeight="1" x14ac:dyDescent="0.25">
      <c r="A842" s="244"/>
      <c r="B842" s="245"/>
      <c r="C842" s="246"/>
      <c r="D842" s="37"/>
      <c r="E842" s="246"/>
      <c r="F842" s="247"/>
      <c r="G842" s="245"/>
      <c r="H842" s="246"/>
      <c r="I842" s="247"/>
      <c r="J842" s="37"/>
      <c r="K842" s="248"/>
      <c r="L842" s="248"/>
      <c r="M842" s="248"/>
      <c r="N842" s="248"/>
      <c r="O842" s="248"/>
      <c r="P842" s="249"/>
      <c r="Q842" s="250"/>
      <c r="R842" s="37"/>
      <c r="S842" s="37"/>
      <c r="T842" s="204"/>
      <c r="U842" s="37"/>
      <c r="V842" s="37"/>
      <c r="W842" s="37"/>
    </row>
    <row r="843" spans="1:23" ht="15.75" customHeight="1" x14ac:dyDescent="0.25">
      <c r="A843" s="244"/>
      <c r="B843" s="245"/>
      <c r="C843" s="246"/>
      <c r="D843" s="37"/>
      <c r="E843" s="246"/>
      <c r="F843" s="247"/>
      <c r="G843" s="245"/>
      <c r="H843" s="246"/>
      <c r="I843" s="247"/>
      <c r="J843" s="37"/>
      <c r="K843" s="248"/>
      <c r="L843" s="248"/>
      <c r="M843" s="248"/>
      <c r="N843" s="248"/>
      <c r="O843" s="248"/>
      <c r="P843" s="249"/>
      <c r="Q843" s="250"/>
      <c r="R843" s="37"/>
      <c r="S843" s="37"/>
      <c r="T843" s="204"/>
      <c r="U843" s="37"/>
      <c r="V843" s="37"/>
      <c r="W843" s="37"/>
    </row>
    <row r="844" spans="1:23" ht="15.75" customHeight="1" x14ac:dyDescent="0.25">
      <c r="A844" s="244"/>
      <c r="B844" s="245"/>
      <c r="C844" s="246"/>
      <c r="D844" s="37"/>
      <c r="E844" s="246"/>
      <c r="F844" s="247"/>
      <c r="G844" s="245"/>
      <c r="H844" s="246"/>
      <c r="I844" s="247"/>
      <c r="J844" s="37"/>
      <c r="K844" s="248"/>
      <c r="L844" s="248"/>
      <c r="M844" s="248"/>
      <c r="N844" s="248"/>
      <c r="O844" s="248"/>
      <c r="P844" s="249"/>
      <c r="Q844" s="250"/>
      <c r="R844" s="37"/>
      <c r="S844" s="37"/>
      <c r="T844" s="204"/>
      <c r="U844" s="37"/>
      <c r="V844" s="37"/>
      <c r="W844" s="37"/>
    </row>
    <row r="845" spans="1:23" ht="15.75" customHeight="1" x14ac:dyDescent="0.25">
      <c r="A845" s="244"/>
      <c r="B845" s="245"/>
      <c r="C845" s="246"/>
      <c r="D845" s="37"/>
      <c r="E845" s="246"/>
      <c r="F845" s="247"/>
      <c r="G845" s="245"/>
      <c r="H845" s="246"/>
      <c r="I845" s="247"/>
      <c r="J845" s="37"/>
      <c r="K845" s="248"/>
      <c r="L845" s="248"/>
      <c r="M845" s="248"/>
      <c r="N845" s="248"/>
      <c r="O845" s="248"/>
      <c r="P845" s="249"/>
      <c r="Q845" s="250"/>
      <c r="R845" s="37"/>
      <c r="S845" s="37"/>
      <c r="T845" s="204"/>
      <c r="U845" s="37"/>
      <c r="V845" s="37"/>
      <c r="W845" s="37"/>
    </row>
    <row r="846" spans="1:23" ht="15.75" customHeight="1" x14ac:dyDescent="0.25">
      <c r="A846" s="244"/>
      <c r="B846" s="245"/>
      <c r="C846" s="246"/>
      <c r="D846" s="37"/>
      <c r="E846" s="246"/>
      <c r="F846" s="247"/>
      <c r="G846" s="245"/>
      <c r="H846" s="246"/>
      <c r="I846" s="247"/>
      <c r="J846" s="37"/>
      <c r="K846" s="248"/>
      <c r="L846" s="248"/>
      <c r="M846" s="248"/>
      <c r="N846" s="248"/>
      <c r="O846" s="248"/>
      <c r="P846" s="249"/>
      <c r="Q846" s="250"/>
      <c r="R846" s="37"/>
      <c r="S846" s="37"/>
      <c r="T846" s="204"/>
      <c r="U846" s="37"/>
      <c r="V846" s="37"/>
      <c r="W846" s="37"/>
    </row>
    <row r="847" spans="1:23" ht="15.75" customHeight="1" x14ac:dyDescent="0.25">
      <c r="A847" s="244"/>
      <c r="B847" s="245"/>
      <c r="C847" s="246"/>
      <c r="D847" s="37"/>
      <c r="E847" s="246"/>
      <c r="F847" s="247"/>
      <c r="G847" s="245"/>
      <c r="H847" s="246"/>
      <c r="I847" s="247"/>
      <c r="J847" s="37"/>
      <c r="K847" s="248"/>
      <c r="L847" s="248"/>
      <c r="M847" s="248"/>
      <c r="N847" s="248"/>
      <c r="O847" s="248"/>
      <c r="P847" s="249"/>
      <c r="Q847" s="250"/>
      <c r="R847" s="37"/>
      <c r="S847" s="37"/>
      <c r="T847" s="204"/>
      <c r="U847" s="37"/>
      <c r="V847" s="37"/>
      <c r="W847" s="37"/>
    </row>
    <row r="848" spans="1:23" ht="15.75" customHeight="1" x14ac:dyDescent="0.25">
      <c r="A848" s="244"/>
      <c r="B848" s="245"/>
      <c r="C848" s="246"/>
      <c r="D848" s="37"/>
      <c r="E848" s="246"/>
      <c r="F848" s="247"/>
      <c r="G848" s="245"/>
      <c r="H848" s="246"/>
      <c r="I848" s="247"/>
      <c r="J848" s="37"/>
      <c r="K848" s="248"/>
      <c r="L848" s="248"/>
      <c r="M848" s="248"/>
      <c r="N848" s="248"/>
      <c r="O848" s="248"/>
      <c r="P848" s="249"/>
      <c r="Q848" s="250"/>
      <c r="R848" s="37"/>
      <c r="S848" s="37"/>
      <c r="T848" s="204"/>
      <c r="U848" s="37"/>
      <c r="V848" s="37"/>
      <c r="W848" s="37"/>
    </row>
    <row r="849" spans="1:23" ht="15.75" customHeight="1" x14ac:dyDescent="0.25">
      <c r="A849" s="244"/>
      <c r="B849" s="245"/>
      <c r="C849" s="246"/>
      <c r="D849" s="37"/>
      <c r="E849" s="246"/>
      <c r="F849" s="247"/>
      <c r="G849" s="245"/>
      <c r="H849" s="246"/>
      <c r="I849" s="247"/>
      <c r="J849" s="37"/>
      <c r="K849" s="248"/>
      <c r="L849" s="248"/>
      <c r="M849" s="248"/>
      <c r="N849" s="248"/>
      <c r="O849" s="248"/>
      <c r="P849" s="249"/>
      <c r="Q849" s="250"/>
      <c r="R849" s="37"/>
      <c r="S849" s="37"/>
      <c r="T849" s="204"/>
      <c r="U849" s="37"/>
      <c r="V849" s="37"/>
      <c r="W849" s="37"/>
    </row>
    <row r="850" spans="1:23" ht="15.75" customHeight="1" x14ac:dyDescent="0.25">
      <c r="A850" s="244"/>
      <c r="B850" s="245"/>
      <c r="C850" s="246"/>
      <c r="D850" s="37"/>
      <c r="E850" s="246"/>
      <c r="F850" s="247"/>
      <c r="G850" s="245"/>
      <c r="H850" s="246"/>
      <c r="I850" s="247"/>
      <c r="J850" s="37"/>
      <c r="K850" s="248"/>
      <c r="L850" s="248"/>
      <c r="M850" s="248"/>
      <c r="N850" s="248"/>
      <c r="O850" s="248"/>
      <c r="P850" s="249"/>
      <c r="Q850" s="250"/>
      <c r="R850" s="37"/>
      <c r="S850" s="37"/>
      <c r="T850" s="204"/>
      <c r="U850" s="37"/>
      <c r="V850" s="37"/>
      <c r="W850" s="37"/>
    </row>
    <row r="851" spans="1:23" ht="15.75" customHeight="1" x14ac:dyDescent="0.25">
      <c r="A851" s="244"/>
      <c r="B851" s="245"/>
      <c r="C851" s="246"/>
      <c r="D851" s="37"/>
      <c r="E851" s="246"/>
      <c r="F851" s="247"/>
      <c r="G851" s="245"/>
      <c r="H851" s="246"/>
      <c r="I851" s="247"/>
      <c r="J851" s="37"/>
      <c r="K851" s="248"/>
      <c r="L851" s="248"/>
      <c r="M851" s="248"/>
      <c r="N851" s="248"/>
      <c r="O851" s="248"/>
      <c r="P851" s="249"/>
      <c r="Q851" s="250"/>
      <c r="R851" s="37"/>
      <c r="S851" s="37"/>
      <c r="T851" s="204"/>
      <c r="U851" s="37"/>
      <c r="V851" s="37"/>
      <c r="W851" s="37"/>
    </row>
    <row r="852" spans="1:23" ht="15.75" customHeight="1" x14ac:dyDescent="0.25">
      <c r="A852" s="244"/>
      <c r="B852" s="245"/>
      <c r="C852" s="246"/>
      <c r="D852" s="37"/>
      <c r="E852" s="246"/>
      <c r="F852" s="247"/>
      <c r="G852" s="245"/>
      <c r="H852" s="246"/>
      <c r="I852" s="247"/>
      <c r="J852" s="37"/>
      <c r="K852" s="248"/>
      <c r="L852" s="248"/>
      <c r="M852" s="248"/>
      <c r="N852" s="248"/>
      <c r="O852" s="248"/>
      <c r="P852" s="249"/>
      <c r="Q852" s="250"/>
      <c r="R852" s="37"/>
      <c r="S852" s="37"/>
      <c r="T852" s="204"/>
      <c r="U852" s="37"/>
      <c r="V852" s="37"/>
      <c r="W852" s="37"/>
    </row>
    <row r="853" spans="1:23" ht="15.75" customHeight="1" x14ac:dyDescent="0.25">
      <c r="A853" s="244"/>
      <c r="B853" s="245"/>
      <c r="C853" s="246"/>
      <c r="D853" s="37"/>
      <c r="E853" s="246"/>
      <c r="F853" s="247"/>
      <c r="G853" s="245"/>
      <c r="H853" s="246"/>
      <c r="I853" s="247"/>
      <c r="J853" s="37"/>
      <c r="K853" s="248"/>
      <c r="L853" s="248"/>
      <c r="M853" s="248"/>
      <c r="N853" s="248"/>
      <c r="O853" s="248"/>
      <c r="P853" s="249"/>
      <c r="Q853" s="250"/>
      <c r="R853" s="37"/>
      <c r="S853" s="37"/>
      <c r="T853" s="204"/>
      <c r="U853" s="37"/>
      <c r="V853" s="37"/>
      <c r="W853" s="37"/>
    </row>
    <row r="854" spans="1:23" ht="15.75" customHeight="1" x14ac:dyDescent="0.25">
      <c r="A854" s="244"/>
      <c r="B854" s="245"/>
      <c r="C854" s="246"/>
      <c r="D854" s="37"/>
      <c r="E854" s="246"/>
      <c r="F854" s="247"/>
      <c r="G854" s="245"/>
      <c r="H854" s="246"/>
      <c r="I854" s="247"/>
      <c r="J854" s="37"/>
      <c r="K854" s="248"/>
      <c r="L854" s="248"/>
      <c r="M854" s="248"/>
      <c r="N854" s="248"/>
      <c r="O854" s="248"/>
      <c r="P854" s="249"/>
      <c r="Q854" s="250"/>
      <c r="R854" s="37"/>
      <c r="S854" s="37"/>
      <c r="T854" s="204"/>
      <c r="U854" s="37"/>
      <c r="V854" s="37"/>
      <c r="W854" s="37"/>
    </row>
    <row r="855" spans="1:23" ht="15.75" customHeight="1" x14ac:dyDescent="0.25">
      <c r="A855" s="244"/>
      <c r="B855" s="245"/>
      <c r="C855" s="246"/>
      <c r="D855" s="37"/>
      <c r="E855" s="246"/>
      <c r="F855" s="247"/>
      <c r="G855" s="245"/>
      <c r="H855" s="246"/>
      <c r="I855" s="247"/>
      <c r="J855" s="37"/>
      <c r="K855" s="248"/>
      <c r="L855" s="248"/>
      <c r="M855" s="248"/>
      <c r="N855" s="248"/>
      <c r="O855" s="248"/>
      <c r="P855" s="249"/>
      <c r="Q855" s="250"/>
      <c r="R855" s="37"/>
      <c r="S855" s="37"/>
      <c r="T855" s="204"/>
      <c r="U855" s="37"/>
      <c r="V855" s="37"/>
      <c r="W855" s="37"/>
    </row>
    <row r="856" spans="1:23" ht="15.75" customHeight="1" x14ac:dyDescent="0.25">
      <c r="A856" s="244"/>
      <c r="B856" s="245"/>
      <c r="C856" s="246"/>
      <c r="D856" s="37"/>
      <c r="E856" s="246"/>
      <c r="F856" s="247"/>
      <c r="G856" s="245"/>
      <c r="H856" s="246"/>
      <c r="I856" s="247"/>
      <c r="J856" s="37"/>
      <c r="K856" s="248"/>
      <c r="L856" s="248"/>
      <c r="M856" s="248"/>
      <c r="N856" s="248"/>
      <c r="O856" s="248"/>
      <c r="P856" s="249"/>
      <c r="Q856" s="250"/>
      <c r="R856" s="37"/>
      <c r="S856" s="37"/>
      <c r="T856" s="204"/>
      <c r="U856" s="37"/>
      <c r="V856" s="37"/>
      <c r="W856" s="37"/>
    </row>
    <row r="857" spans="1:23" ht="15.75" customHeight="1" x14ac:dyDescent="0.25">
      <c r="A857" s="244"/>
      <c r="B857" s="245"/>
      <c r="C857" s="246"/>
      <c r="D857" s="37"/>
      <c r="E857" s="246"/>
      <c r="F857" s="247"/>
      <c r="G857" s="245"/>
      <c r="H857" s="246"/>
      <c r="I857" s="247"/>
      <c r="J857" s="37"/>
      <c r="K857" s="248"/>
      <c r="L857" s="248"/>
      <c r="M857" s="248"/>
      <c r="N857" s="248"/>
      <c r="O857" s="248"/>
      <c r="P857" s="249"/>
      <c r="Q857" s="250"/>
      <c r="R857" s="37"/>
      <c r="S857" s="37"/>
      <c r="T857" s="204"/>
      <c r="U857" s="37"/>
      <c r="V857" s="37"/>
      <c r="W857" s="37"/>
    </row>
    <row r="858" spans="1:23" ht="15.75" customHeight="1" x14ac:dyDescent="0.25">
      <c r="A858" s="244"/>
      <c r="B858" s="245"/>
      <c r="C858" s="246"/>
      <c r="D858" s="37"/>
      <c r="E858" s="246"/>
      <c r="F858" s="247"/>
      <c r="G858" s="245"/>
      <c r="H858" s="246"/>
      <c r="I858" s="247"/>
      <c r="J858" s="37"/>
      <c r="K858" s="248"/>
      <c r="L858" s="248"/>
      <c r="M858" s="248"/>
      <c r="N858" s="248"/>
      <c r="O858" s="248"/>
      <c r="P858" s="249"/>
      <c r="Q858" s="250"/>
      <c r="R858" s="37"/>
      <c r="S858" s="37"/>
      <c r="T858" s="204"/>
      <c r="U858" s="37"/>
      <c r="V858" s="37"/>
      <c r="W858" s="37"/>
    </row>
    <row r="859" spans="1:23" ht="15.75" customHeight="1" x14ac:dyDescent="0.25">
      <c r="A859" s="244"/>
      <c r="B859" s="245"/>
      <c r="C859" s="246"/>
      <c r="D859" s="37"/>
      <c r="E859" s="246"/>
      <c r="F859" s="247"/>
      <c r="G859" s="245"/>
      <c r="H859" s="246"/>
      <c r="I859" s="247"/>
      <c r="J859" s="37"/>
      <c r="K859" s="248"/>
      <c r="L859" s="248"/>
      <c r="M859" s="248"/>
      <c r="N859" s="248"/>
      <c r="O859" s="248"/>
      <c r="P859" s="249"/>
      <c r="Q859" s="250"/>
      <c r="R859" s="37"/>
      <c r="S859" s="37"/>
      <c r="T859" s="204"/>
      <c r="U859" s="37"/>
      <c r="V859" s="37"/>
      <c r="W859" s="37"/>
    </row>
    <row r="860" spans="1:23" ht="15.75" customHeight="1" x14ac:dyDescent="0.25">
      <c r="A860" s="244"/>
      <c r="B860" s="245"/>
      <c r="C860" s="246"/>
      <c r="D860" s="37"/>
      <c r="E860" s="246"/>
      <c r="F860" s="247"/>
      <c r="G860" s="245"/>
      <c r="H860" s="246"/>
      <c r="I860" s="247"/>
      <c r="J860" s="37"/>
      <c r="K860" s="248"/>
      <c r="L860" s="248"/>
      <c r="M860" s="248"/>
      <c r="N860" s="248"/>
      <c r="O860" s="248"/>
      <c r="P860" s="249"/>
      <c r="Q860" s="250"/>
      <c r="R860" s="37"/>
      <c r="S860" s="37"/>
      <c r="T860" s="204"/>
      <c r="U860" s="37"/>
      <c r="V860" s="37"/>
      <c r="W860" s="37"/>
    </row>
    <row r="861" spans="1:23" ht="15.75" customHeight="1" x14ac:dyDescent="0.25">
      <c r="A861" s="244"/>
      <c r="B861" s="245"/>
      <c r="C861" s="246"/>
      <c r="D861" s="37"/>
      <c r="E861" s="246"/>
      <c r="F861" s="247"/>
      <c r="G861" s="245"/>
      <c r="H861" s="246"/>
      <c r="I861" s="247"/>
      <c r="J861" s="37"/>
      <c r="K861" s="248"/>
      <c r="L861" s="248"/>
      <c r="M861" s="248"/>
      <c r="N861" s="248"/>
      <c r="O861" s="248"/>
      <c r="P861" s="249"/>
      <c r="Q861" s="250"/>
      <c r="R861" s="37"/>
      <c r="S861" s="37"/>
      <c r="T861" s="204"/>
      <c r="U861" s="37"/>
      <c r="V861" s="37"/>
      <c r="W861" s="37"/>
    </row>
    <row r="862" spans="1:23" ht="15.75" customHeight="1" x14ac:dyDescent="0.25">
      <c r="A862" s="244"/>
      <c r="B862" s="245"/>
      <c r="C862" s="246"/>
      <c r="D862" s="37"/>
      <c r="E862" s="246"/>
      <c r="F862" s="247"/>
      <c r="G862" s="245"/>
      <c r="H862" s="246"/>
      <c r="I862" s="247"/>
      <c r="J862" s="37"/>
      <c r="K862" s="248"/>
      <c r="L862" s="248"/>
      <c r="M862" s="248"/>
      <c r="N862" s="248"/>
      <c r="O862" s="248"/>
      <c r="P862" s="249"/>
      <c r="Q862" s="250"/>
      <c r="R862" s="37"/>
      <c r="S862" s="37"/>
      <c r="T862" s="204"/>
      <c r="U862" s="37"/>
      <c r="V862" s="37"/>
      <c r="W862" s="37"/>
    </row>
    <row r="863" spans="1:23" ht="15.75" customHeight="1" x14ac:dyDescent="0.25">
      <c r="A863" s="244"/>
      <c r="B863" s="245"/>
      <c r="C863" s="246"/>
      <c r="D863" s="37"/>
      <c r="E863" s="246"/>
      <c r="F863" s="247"/>
      <c r="G863" s="245"/>
      <c r="H863" s="246"/>
      <c r="I863" s="247"/>
      <c r="J863" s="37"/>
      <c r="K863" s="248"/>
      <c r="L863" s="248"/>
      <c r="M863" s="248"/>
      <c r="N863" s="248"/>
      <c r="O863" s="248"/>
      <c r="P863" s="249"/>
      <c r="Q863" s="250"/>
      <c r="R863" s="37"/>
      <c r="S863" s="37"/>
      <c r="T863" s="204"/>
      <c r="U863" s="37"/>
      <c r="V863" s="37"/>
      <c r="W863" s="37"/>
    </row>
    <row r="864" spans="1:23" ht="15.75" customHeight="1" x14ac:dyDescent="0.25">
      <c r="A864" s="244"/>
      <c r="B864" s="245"/>
      <c r="C864" s="246"/>
      <c r="D864" s="37"/>
      <c r="E864" s="246"/>
      <c r="F864" s="247"/>
      <c r="G864" s="245"/>
      <c r="H864" s="246"/>
      <c r="I864" s="247"/>
      <c r="J864" s="37"/>
      <c r="K864" s="248"/>
      <c r="L864" s="248"/>
      <c r="M864" s="248"/>
      <c r="N864" s="248"/>
      <c r="O864" s="248"/>
      <c r="P864" s="249"/>
      <c r="Q864" s="250"/>
      <c r="R864" s="37"/>
      <c r="S864" s="37"/>
      <c r="T864" s="204"/>
      <c r="U864" s="37"/>
      <c r="V864" s="37"/>
      <c r="W864" s="37"/>
    </row>
    <row r="865" spans="1:23" ht="15.75" customHeight="1" x14ac:dyDescent="0.25">
      <c r="A865" s="244"/>
      <c r="B865" s="245"/>
      <c r="C865" s="246"/>
      <c r="D865" s="37"/>
      <c r="E865" s="246"/>
      <c r="F865" s="247"/>
      <c r="G865" s="245"/>
      <c r="H865" s="246"/>
      <c r="I865" s="247"/>
      <c r="J865" s="37"/>
      <c r="K865" s="248"/>
      <c r="L865" s="248"/>
      <c r="M865" s="248"/>
      <c r="N865" s="248"/>
      <c r="O865" s="248"/>
      <c r="P865" s="249"/>
      <c r="Q865" s="250"/>
      <c r="R865" s="37"/>
      <c r="S865" s="37"/>
      <c r="T865" s="204"/>
      <c r="U865" s="37"/>
      <c r="V865" s="37"/>
      <c r="W865" s="37"/>
    </row>
    <row r="866" spans="1:23" ht="15.75" customHeight="1" x14ac:dyDescent="0.25">
      <c r="A866" s="244"/>
      <c r="B866" s="245"/>
      <c r="C866" s="246"/>
      <c r="D866" s="37"/>
      <c r="E866" s="246"/>
      <c r="F866" s="247"/>
      <c r="G866" s="245"/>
      <c r="H866" s="246"/>
      <c r="I866" s="247"/>
      <c r="J866" s="37"/>
      <c r="K866" s="248"/>
      <c r="L866" s="248"/>
      <c r="M866" s="248"/>
      <c r="N866" s="248"/>
      <c r="O866" s="248"/>
      <c r="P866" s="249"/>
      <c r="Q866" s="250"/>
      <c r="R866" s="37"/>
      <c r="S866" s="37"/>
      <c r="T866" s="204"/>
      <c r="U866" s="37"/>
      <c r="V866" s="37"/>
      <c r="W866" s="37"/>
    </row>
    <row r="867" spans="1:23" ht="15.75" customHeight="1" x14ac:dyDescent="0.25">
      <c r="A867" s="244"/>
      <c r="B867" s="245"/>
      <c r="C867" s="246"/>
      <c r="D867" s="37"/>
      <c r="E867" s="246"/>
      <c r="F867" s="247"/>
      <c r="G867" s="245"/>
      <c r="H867" s="246"/>
      <c r="I867" s="247"/>
      <c r="J867" s="37"/>
      <c r="K867" s="248"/>
      <c r="L867" s="248"/>
      <c r="M867" s="248"/>
      <c r="N867" s="248"/>
      <c r="O867" s="248"/>
      <c r="P867" s="249"/>
      <c r="Q867" s="250"/>
      <c r="R867" s="37"/>
      <c r="S867" s="37"/>
      <c r="T867" s="204"/>
      <c r="U867" s="37"/>
      <c r="V867" s="37"/>
      <c r="W867" s="37"/>
    </row>
    <row r="868" spans="1:23" ht="15.75" customHeight="1" x14ac:dyDescent="0.25">
      <c r="A868" s="244"/>
      <c r="B868" s="245"/>
      <c r="C868" s="246"/>
      <c r="D868" s="37"/>
      <c r="E868" s="246"/>
      <c r="F868" s="247"/>
      <c r="G868" s="245"/>
      <c r="H868" s="246"/>
      <c r="I868" s="247"/>
      <c r="J868" s="37"/>
      <c r="K868" s="248"/>
      <c r="L868" s="248"/>
      <c r="M868" s="248"/>
      <c r="N868" s="248"/>
      <c r="O868" s="248"/>
      <c r="P868" s="249"/>
      <c r="Q868" s="250"/>
      <c r="R868" s="37"/>
      <c r="S868" s="37"/>
      <c r="T868" s="204"/>
      <c r="U868" s="37"/>
      <c r="V868" s="37"/>
      <c r="W868" s="37"/>
    </row>
    <row r="869" spans="1:23" ht="15.75" customHeight="1" x14ac:dyDescent="0.25">
      <c r="A869" s="244"/>
      <c r="B869" s="245"/>
      <c r="C869" s="246"/>
      <c r="D869" s="37"/>
      <c r="E869" s="246"/>
      <c r="F869" s="247"/>
      <c r="G869" s="245"/>
      <c r="H869" s="246"/>
      <c r="I869" s="247"/>
      <c r="J869" s="37"/>
      <c r="K869" s="248"/>
      <c r="L869" s="248"/>
      <c r="M869" s="248"/>
      <c r="N869" s="248"/>
      <c r="O869" s="248"/>
      <c r="P869" s="249"/>
      <c r="Q869" s="250"/>
      <c r="R869" s="37"/>
      <c r="S869" s="37"/>
      <c r="T869" s="204"/>
      <c r="U869" s="37"/>
      <c r="V869" s="37"/>
      <c r="W869" s="37"/>
    </row>
    <row r="870" spans="1:23" ht="15.75" customHeight="1" x14ac:dyDescent="0.25">
      <c r="A870" s="244"/>
      <c r="B870" s="245"/>
      <c r="C870" s="246"/>
      <c r="D870" s="37"/>
      <c r="E870" s="246"/>
      <c r="F870" s="247"/>
      <c r="G870" s="245"/>
      <c r="H870" s="246"/>
      <c r="I870" s="247"/>
      <c r="J870" s="37"/>
      <c r="K870" s="248"/>
      <c r="L870" s="248"/>
      <c r="M870" s="248"/>
      <c r="N870" s="248"/>
      <c r="O870" s="248"/>
      <c r="P870" s="249"/>
      <c r="Q870" s="250"/>
      <c r="R870" s="37"/>
      <c r="S870" s="37"/>
      <c r="T870" s="204"/>
      <c r="U870" s="37"/>
      <c r="V870" s="37"/>
      <c r="W870" s="37"/>
    </row>
    <row r="871" spans="1:23" ht="15.75" customHeight="1" x14ac:dyDescent="0.25">
      <c r="A871" s="244"/>
      <c r="B871" s="245"/>
      <c r="C871" s="246"/>
      <c r="D871" s="37"/>
      <c r="E871" s="246"/>
      <c r="F871" s="247"/>
      <c r="G871" s="245"/>
      <c r="H871" s="246"/>
      <c r="I871" s="247"/>
      <c r="J871" s="37"/>
      <c r="K871" s="248"/>
      <c r="L871" s="248"/>
      <c r="M871" s="248"/>
      <c r="N871" s="248"/>
      <c r="O871" s="248"/>
      <c r="P871" s="249"/>
      <c r="Q871" s="250"/>
      <c r="R871" s="37"/>
      <c r="S871" s="37"/>
      <c r="T871" s="204"/>
      <c r="U871" s="37"/>
      <c r="V871" s="37"/>
      <c r="W871" s="37"/>
    </row>
    <row r="872" spans="1:23" ht="15.75" customHeight="1" x14ac:dyDescent="0.25">
      <c r="A872" s="244"/>
      <c r="B872" s="245"/>
      <c r="C872" s="246"/>
      <c r="D872" s="37"/>
      <c r="E872" s="246"/>
      <c r="F872" s="247"/>
      <c r="G872" s="245"/>
      <c r="H872" s="246"/>
      <c r="I872" s="247"/>
      <c r="J872" s="37"/>
      <c r="K872" s="248"/>
      <c r="L872" s="248"/>
      <c r="M872" s="248"/>
      <c r="N872" s="248"/>
      <c r="O872" s="248"/>
      <c r="P872" s="249"/>
      <c r="Q872" s="250"/>
      <c r="R872" s="37"/>
      <c r="S872" s="37"/>
      <c r="T872" s="204"/>
      <c r="U872" s="37"/>
      <c r="V872" s="37"/>
      <c r="W872" s="37"/>
    </row>
    <row r="873" spans="1:23" ht="15.75" customHeight="1" x14ac:dyDescent="0.25">
      <c r="A873" s="244"/>
      <c r="B873" s="245"/>
      <c r="C873" s="246"/>
      <c r="D873" s="37"/>
      <c r="E873" s="246"/>
      <c r="F873" s="247"/>
      <c r="G873" s="245"/>
      <c r="H873" s="246"/>
      <c r="I873" s="247"/>
      <c r="J873" s="37"/>
      <c r="K873" s="248"/>
      <c r="L873" s="248"/>
      <c r="M873" s="248"/>
      <c r="N873" s="248"/>
      <c r="O873" s="248"/>
      <c r="P873" s="249"/>
      <c r="Q873" s="250"/>
      <c r="R873" s="37"/>
      <c r="S873" s="37"/>
      <c r="T873" s="204"/>
      <c r="U873" s="37"/>
      <c r="V873" s="37"/>
      <c r="W873" s="37"/>
    </row>
    <row r="874" spans="1:23" ht="15.75" customHeight="1" x14ac:dyDescent="0.25">
      <c r="A874" s="244"/>
      <c r="B874" s="245"/>
      <c r="C874" s="246"/>
      <c r="D874" s="37"/>
      <c r="E874" s="246"/>
      <c r="F874" s="247"/>
      <c r="G874" s="245"/>
      <c r="H874" s="246"/>
      <c r="I874" s="247"/>
      <c r="J874" s="37"/>
      <c r="K874" s="248"/>
      <c r="L874" s="248"/>
      <c r="M874" s="248"/>
      <c r="N874" s="248"/>
      <c r="O874" s="248"/>
      <c r="P874" s="249"/>
      <c r="Q874" s="250"/>
      <c r="R874" s="37"/>
      <c r="S874" s="37"/>
      <c r="T874" s="204"/>
      <c r="U874" s="37"/>
      <c r="V874" s="37"/>
      <c r="W874" s="37"/>
    </row>
    <row r="875" spans="1:23" ht="15.75" customHeight="1" x14ac:dyDescent="0.25">
      <c r="A875" s="244"/>
      <c r="B875" s="245"/>
      <c r="C875" s="246"/>
      <c r="D875" s="37"/>
      <c r="E875" s="246"/>
      <c r="F875" s="247"/>
      <c r="G875" s="245"/>
      <c r="H875" s="246"/>
      <c r="I875" s="247"/>
      <c r="J875" s="37"/>
      <c r="K875" s="248"/>
      <c r="L875" s="248"/>
      <c r="M875" s="248"/>
      <c r="N875" s="248"/>
      <c r="O875" s="248"/>
      <c r="P875" s="249"/>
      <c r="Q875" s="250"/>
      <c r="R875" s="37"/>
      <c r="S875" s="37"/>
      <c r="T875" s="204"/>
      <c r="U875" s="37"/>
      <c r="V875" s="37"/>
      <c r="W875" s="37"/>
    </row>
    <row r="876" spans="1:23" ht="15.75" customHeight="1" x14ac:dyDescent="0.25">
      <c r="A876" s="244"/>
      <c r="B876" s="245"/>
      <c r="C876" s="246"/>
      <c r="D876" s="37"/>
      <c r="E876" s="246"/>
      <c r="F876" s="247"/>
      <c r="G876" s="245"/>
      <c r="H876" s="246"/>
      <c r="I876" s="247"/>
      <c r="J876" s="37"/>
      <c r="K876" s="248"/>
      <c r="L876" s="248"/>
      <c r="M876" s="248"/>
      <c r="N876" s="248"/>
      <c r="O876" s="248"/>
      <c r="P876" s="249"/>
      <c r="Q876" s="250"/>
      <c r="R876" s="37"/>
      <c r="S876" s="37"/>
      <c r="T876" s="204"/>
      <c r="U876" s="37"/>
      <c r="V876" s="37"/>
      <c r="W876" s="37"/>
    </row>
    <row r="877" spans="1:23" ht="15.75" customHeight="1" x14ac:dyDescent="0.25">
      <c r="A877" s="244"/>
      <c r="B877" s="245"/>
      <c r="C877" s="246"/>
      <c r="D877" s="37"/>
      <c r="E877" s="246"/>
      <c r="F877" s="247"/>
      <c r="G877" s="245"/>
      <c r="H877" s="246"/>
      <c r="I877" s="247"/>
      <c r="J877" s="37"/>
      <c r="K877" s="248"/>
      <c r="L877" s="248"/>
      <c r="M877" s="248"/>
      <c r="N877" s="248"/>
      <c r="O877" s="248"/>
      <c r="P877" s="249"/>
      <c r="Q877" s="250"/>
      <c r="R877" s="37"/>
      <c r="S877" s="37"/>
      <c r="T877" s="204"/>
      <c r="U877" s="37"/>
      <c r="V877" s="37"/>
      <c r="W877" s="37"/>
    </row>
    <row r="878" spans="1:23" ht="15.75" customHeight="1" x14ac:dyDescent="0.25">
      <c r="A878" s="244"/>
      <c r="B878" s="245"/>
      <c r="C878" s="246"/>
      <c r="D878" s="37"/>
      <c r="E878" s="246"/>
      <c r="F878" s="247"/>
      <c r="G878" s="245"/>
      <c r="H878" s="246"/>
      <c r="I878" s="247"/>
      <c r="J878" s="37"/>
      <c r="K878" s="248"/>
      <c r="L878" s="248"/>
      <c r="M878" s="248"/>
      <c r="N878" s="248"/>
      <c r="O878" s="248"/>
      <c r="P878" s="249"/>
      <c r="Q878" s="250"/>
      <c r="R878" s="37"/>
      <c r="S878" s="37"/>
      <c r="T878" s="204"/>
      <c r="U878" s="37"/>
      <c r="V878" s="37"/>
      <c r="W878" s="37"/>
    </row>
    <row r="879" spans="1:23" ht="15.75" customHeight="1" x14ac:dyDescent="0.25">
      <c r="A879" s="244"/>
      <c r="B879" s="245"/>
      <c r="C879" s="246"/>
      <c r="D879" s="37"/>
      <c r="E879" s="246"/>
      <c r="F879" s="247"/>
      <c r="G879" s="245"/>
      <c r="H879" s="246"/>
      <c r="I879" s="247"/>
      <c r="J879" s="37"/>
      <c r="K879" s="248"/>
      <c r="L879" s="248"/>
      <c r="M879" s="248"/>
      <c r="N879" s="248"/>
      <c r="O879" s="248"/>
      <c r="P879" s="249"/>
      <c r="Q879" s="250"/>
      <c r="R879" s="37"/>
      <c r="S879" s="37"/>
      <c r="T879" s="204"/>
      <c r="U879" s="37"/>
      <c r="V879" s="37"/>
      <c r="W879" s="37"/>
    </row>
    <row r="880" spans="1:23" ht="15.75" customHeight="1" x14ac:dyDescent="0.25">
      <c r="A880" s="244"/>
      <c r="B880" s="245"/>
      <c r="C880" s="246"/>
      <c r="D880" s="37"/>
      <c r="E880" s="246"/>
      <c r="F880" s="247"/>
      <c r="G880" s="245"/>
      <c r="H880" s="246"/>
      <c r="I880" s="247"/>
      <c r="J880" s="37"/>
      <c r="K880" s="248"/>
      <c r="L880" s="248"/>
      <c r="M880" s="248"/>
      <c r="N880" s="248"/>
      <c r="O880" s="248"/>
      <c r="P880" s="249"/>
      <c r="Q880" s="250"/>
      <c r="R880" s="37"/>
      <c r="S880" s="37"/>
      <c r="T880" s="204"/>
      <c r="U880" s="37"/>
      <c r="V880" s="37"/>
      <c r="W880" s="37"/>
    </row>
    <row r="881" spans="1:23" ht="15.75" customHeight="1" x14ac:dyDescent="0.25">
      <c r="A881" s="244"/>
      <c r="B881" s="245"/>
      <c r="C881" s="246"/>
      <c r="D881" s="37"/>
      <c r="E881" s="246"/>
      <c r="F881" s="247"/>
      <c r="G881" s="245"/>
      <c r="H881" s="246"/>
      <c r="I881" s="247"/>
      <c r="J881" s="37"/>
      <c r="K881" s="248"/>
      <c r="L881" s="248"/>
      <c r="M881" s="248"/>
      <c r="N881" s="248"/>
      <c r="O881" s="248"/>
      <c r="P881" s="249"/>
      <c r="Q881" s="250"/>
      <c r="R881" s="37"/>
      <c r="S881" s="37"/>
      <c r="T881" s="204"/>
      <c r="U881" s="37"/>
      <c r="V881" s="37"/>
      <c r="W881" s="37"/>
    </row>
    <row r="882" spans="1:23" ht="15.75" customHeight="1" x14ac:dyDescent="0.25">
      <c r="A882" s="244"/>
      <c r="B882" s="245"/>
      <c r="C882" s="246"/>
      <c r="D882" s="37"/>
      <c r="E882" s="246"/>
      <c r="F882" s="247"/>
      <c r="G882" s="245"/>
      <c r="H882" s="246"/>
      <c r="I882" s="247"/>
      <c r="J882" s="37"/>
      <c r="K882" s="248"/>
      <c r="L882" s="248"/>
      <c r="M882" s="248"/>
      <c r="N882" s="248"/>
      <c r="O882" s="248"/>
      <c r="P882" s="249"/>
      <c r="Q882" s="250"/>
      <c r="R882" s="37"/>
      <c r="S882" s="37"/>
      <c r="T882" s="204"/>
      <c r="U882" s="37"/>
      <c r="V882" s="37"/>
      <c r="W882" s="37"/>
    </row>
    <row r="883" spans="1:23" ht="15.75" customHeight="1" x14ac:dyDescent="0.25">
      <c r="A883" s="244"/>
      <c r="B883" s="245"/>
      <c r="C883" s="246"/>
      <c r="D883" s="37"/>
      <c r="E883" s="246"/>
      <c r="F883" s="247"/>
      <c r="G883" s="245"/>
      <c r="H883" s="246"/>
      <c r="I883" s="247"/>
      <c r="J883" s="37"/>
      <c r="K883" s="248"/>
      <c r="L883" s="248"/>
      <c r="M883" s="248"/>
      <c r="N883" s="248"/>
      <c r="O883" s="248"/>
      <c r="P883" s="249"/>
      <c r="Q883" s="250"/>
      <c r="R883" s="37"/>
      <c r="S883" s="37"/>
      <c r="T883" s="204"/>
      <c r="U883" s="37"/>
      <c r="V883" s="37"/>
      <c r="W883" s="37"/>
    </row>
    <row r="884" spans="1:23" ht="15.75" customHeight="1" x14ac:dyDescent="0.25">
      <c r="A884" s="244"/>
      <c r="B884" s="245"/>
      <c r="C884" s="246"/>
      <c r="D884" s="37"/>
      <c r="E884" s="246"/>
      <c r="F884" s="247"/>
      <c r="G884" s="245"/>
      <c r="H884" s="246"/>
      <c r="I884" s="247"/>
      <c r="J884" s="37"/>
      <c r="K884" s="248"/>
      <c r="L884" s="248"/>
      <c r="M884" s="248"/>
      <c r="N884" s="248"/>
      <c r="O884" s="248"/>
      <c r="P884" s="249"/>
      <c r="Q884" s="250"/>
      <c r="R884" s="37"/>
      <c r="S884" s="37"/>
      <c r="T884" s="204"/>
      <c r="U884" s="37"/>
      <c r="V884" s="37"/>
      <c r="W884" s="37"/>
    </row>
    <row r="885" spans="1:23" ht="15.75" customHeight="1" x14ac:dyDescent="0.25">
      <c r="A885" s="244"/>
      <c r="B885" s="245"/>
      <c r="C885" s="246"/>
      <c r="D885" s="37"/>
      <c r="E885" s="246"/>
      <c r="F885" s="247"/>
      <c r="G885" s="245"/>
      <c r="H885" s="246"/>
      <c r="I885" s="247"/>
      <c r="J885" s="37"/>
      <c r="K885" s="248"/>
      <c r="L885" s="248"/>
      <c r="M885" s="248"/>
      <c r="N885" s="248"/>
      <c r="O885" s="248"/>
      <c r="P885" s="249"/>
      <c r="Q885" s="250"/>
      <c r="R885" s="37"/>
      <c r="S885" s="37"/>
      <c r="T885" s="204"/>
      <c r="U885" s="37"/>
      <c r="V885" s="37"/>
      <c r="W885" s="37"/>
    </row>
    <row r="886" spans="1:23" ht="15.75" customHeight="1" x14ac:dyDescent="0.25">
      <c r="A886" s="244"/>
      <c r="B886" s="245"/>
      <c r="C886" s="246"/>
      <c r="D886" s="37"/>
      <c r="E886" s="246"/>
      <c r="F886" s="247"/>
      <c r="G886" s="245"/>
      <c r="H886" s="246"/>
      <c r="I886" s="247"/>
      <c r="J886" s="37"/>
      <c r="K886" s="248"/>
      <c r="L886" s="248"/>
      <c r="M886" s="248"/>
      <c r="N886" s="248"/>
      <c r="O886" s="248"/>
      <c r="P886" s="249"/>
      <c r="Q886" s="250"/>
      <c r="R886" s="37"/>
      <c r="S886" s="37"/>
      <c r="T886" s="204"/>
      <c r="U886" s="37"/>
      <c r="V886" s="37"/>
      <c r="W886" s="37"/>
    </row>
    <row r="887" spans="1:23" ht="15.75" customHeight="1" x14ac:dyDescent="0.25">
      <c r="A887" s="244"/>
      <c r="B887" s="245"/>
      <c r="C887" s="246"/>
      <c r="D887" s="37"/>
      <c r="E887" s="246"/>
      <c r="F887" s="247"/>
      <c r="G887" s="245"/>
      <c r="H887" s="246"/>
      <c r="I887" s="247"/>
      <c r="J887" s="37"/>
      <c r="K887" s="248"/>
      <c r="L887" s="248"/>
      <c r="M887" s="248"/>
      <c r="N887" s="248"/>
      <c r="O887" s="248"/>
      <c r="P887" s="249"/>
      <c r="Q887" s="250"/>
      <c r="R887" s="37"/>
      <c r="S887" s="37"/>
      <c r="T887" s="204"/>
      <c r="U887" s="37"/>
      <c r="V887" s="37"/>
      <c r="W887" s="37"/>
    </row>
    <row r="888" spans="1:23" ht="15.75" customHeight="1" x14ac:dyDescent="0.25">
      <c r="A888" s="244"/>
      <c r="B888" s="245"/>
      <c r="C888" s="246"/>
      <c r="D888" s="37"/>
      <c r="E888" s="246"/>
      <c r="F888" s="247"/>
      <c r="G888" s="245"/>
      <c r="H888" s="246"/>
      <c r="I888" s="247"/>
      <c r="J888" s="37"/>
      <c r="K888" s="248"/>
      <c r="L888" s="248"/>
      <c r="M888" s="248"/>
      <c r="N888" s="248"/>
      <c r="O888" s="248"/>
      <c r="P888" s="249"/>
      <c r="Q888" s="250"/>
      <c r="R888" s="37"/>
      <c r="S888" s="37"/>
      <c r="T888" s="204"/>
      <c r="U888" s="37"/>
      <c r="V888" s="37"/>
      <c r="W888" s="37"/>
    </row>
    <row r="889" spans="1:23" ht="15.75" customHeight="1" x14ac:dyDescent="0.25">
      <c r="A889" s="244"/>
      <c r="B889" s="245"/>
      <c r="C889" s="246"/>
      <c r="D889" s="37"/>
      <c r="E889" s="246"/>
      <c r="F889" s="247"/>
      <c r="G889" s="245"/>
      <c r="H889" s="246"/>
      <c r="I889" s="247"/>
      <c r="J889" s="37"/>
      <c r="K889" s="248"/>
      <c r="L889" s="248"/>
      <c r="M889" s="248"/>
      <c r="N889" s="248"/>
      <c r="O889" s="248"/>
      <c r="P889" s="249"/>
      <c r="Q889" s="250"/>
      <c r="R889" s="37"/>
      <c r="S889" s="37"/>
      <c r="T889" s="204"/>
      <c r="U889" s="37"/>
      <c r="V889" s="37"/>
      <c r="W889" s="37"/>
    </row>
    <row r="890" spans="1:23" ht="15.75" customHeight="1" x14ac:dyDescent="0.25">
      <c r="A890" s="244"/>
      <c r="B890" s="245"/>
      <c r="C890" s="246"/>
      <c r="D890" s="37"/>
      <c r="E890" s="246"/>
      <c r="F890" s="247"/>
      <c r="G890" s="245"/>
      <c r="H890" s="246"/>
      <c r="I890" s="247"/>
      <c r="J890" s="37"/>
      <c r="K890" s="248"/>
      <c r="L890" s="248"/>
      <c r="M890" s="248"/>
      <c r="N890" s="248"/>
      <c r="O890" s="248"/>
      <c r="P890" s="249"/>
      <c r="Q890" s="250"/>
      <c r="R890" s="37"/>
      <c r="S890" s="37"/>
      <c r="T890" s="204"/>
      <c r="U890" s="37"/>
      <c r="V890" s="37"/>
      <c r="W890" s="37"/>
    </row>
    <row r="891" spans="1:23" ht="15.75" customHeight="1" x14ac:dyDescent="0.25">
      <c r="A891" s="244"/>
      <c r="B891" s="245"/>
      <c r="C891" s="246"/>
      <c r="D891" s="37"/>
      <c r="E891" s="246"/>
      <c r="F891" s="247"/>
      <c r="G891" s="245"/>
      <c r="H891" s="246"/>
      <c r="I891" s="247"/>
      <c r="J891" s="37"/>
      <c r="K891" s="248"/>
      <c r="L891" s="248"/>
      <c r="M891" s="248"/>
      <c r="N891" s="248"/>
      <c r="O891" s="248"/>
      <c r="P891" s="249"/>
      <c r="Q891" s="250"/>
      <c r="R891" s="37"/>
      <c r="S891" s="37"/>
      <c r="T891" s="204"/>
      <c r="U891" s="37"/>
      <c r="V891" s="37"/>
      <c r="W891" s="37"/>
    </row>
    <row r="892" spans="1:23" ht="15.75" customHeight="1" x14ac:dyDescent="0.25">
      <c r="A892" s="244"/>
      <c r="B892" s="245"/>
      <c r="C892" s="246"/>
      <c r="D892" s="37"/>
      <c r="E892" s="246"/>
      <c r="F892" s="247"/>
      <c r="G892" s="245"/>
      <c r="H892" s="246"/>
      <c r="I892" s="247"/>
      <c r="J892" s="37"/>
      <c r="K892" s="248"/>
      <c r="L892" s="248"/>
      <c r="M892" s="248"/>
      <c r="N892" s="248"/>
      <c r="O892" s="248"/>
      <c r="P892" s="249"/>
      <c r="Q892" s="250"/>
      <c r="R892" s="37"/>
      <c r="S892" s="37"/>
      <c r="T892" s="204"/>
      <c r="U892" s="37"/>
      <c r="V892" s="37"/>
      <c r="W892" s="37"/>
    </row>
    <row r="893" spans="1:23" ht="15.75" customHeight="1" x14ac:dyDescent="0.25">
      <c r="A893" s="244"/>
      <c r="B893" s="245"/>
      <c r="C893" s="246"/>
      <c r="D893" s="37"/>
      <c r="E893" s="246"/>
      <c r="F893" s="247"/>
      <c r="G893" s="245"/>
      <c r="H893" s="246"/>
      <c r="I893" s="247"/>
      <c r="J893" s="37"/>
      <c r="K893" s="248"/>
      <c r="L893" s="248"/>
      <c r="M893" s="248"/>
      <c r="N893" s="248"/>
      <c r="O893" s="248"/>
      <c r="P893" s="249"/>
      <c r="Q893" s="250"/>
      <c r="R893" s="37"/>
      <c r="S893" s="37"/>
      <c r="T893" s="204"/>
      <c r="U893" s="37"/>
      <c r="V893" s="37"/>
      <c r="W893" s="37"/>
    </row>
    <row r="894" spans="1:23" ht="15.75" customHeight="1" x14ac:dyDescent="0.25">
      <c r="A894" s="244"/>
      <c r="B894" s="245"/>
      <c r="C894" s="246"/>
      <c r="D894" s="37"/>
      <c r="E894" s="246"/>
      <c r="F894" s="247"/>
      <c r="G894" s="245"/>
      <c r="H894" s="246"/>
      <c r="I894" s="247"/>
      <c r="J894" s="37"/>
      <c r="K894" s="248"/>
      <c r="L894" s="248"/>
      <c r="M894" s="248"/>
      <c r="N894" s="248"/>
      <c r="O894" s="248"/>
      <c r="P894" s="249"/>
      <c r="Q894" s="250"/>
      <c r="R894" s="37"/>
      <c r="S894" s="37"/>
      <c r="T894" s="204"/>
      <c r="U894" s="37"/>
      <c r="V894" s="37"/>
      <c r="W894" s="37"/>
    </row>
    <row r="895" spans="1:23" ht="15.75" customHeight="1" x14ac:dyDescent="0.25">
      <c r="A895" s="244"/>
      <c r="B895" s="245"/>
      <c r="C895" s="246"/>
      <c r="D895" s="37"/>
      <c r="E895" s="246"/>
      <c r="F895" s="247"/>
      <c r="G895" s="245"/>
      <c r="H895" s="246"/>
      <c r="I895" s="247"/>
      <c r="J895" s="37"/>
      <c r="K895" s="248"/>
      <c r="L895" s="248"/>
      <c r="M895" s="248"/>
      <c r="N895" s="248"/>
      <c r="O895" s="248"/>
      <c r="P895" s="249"/>
      <c r="Q895" s="250"/>
      <c r="R895" s="37"/>
      <c r="S895" s="37"/>
      <c r="T895" s="204"/>
      <c r="U895" s="37"/>
      <c r="V895" s="37"/>
      <c r="W895" s="37"/>
    </row>
    <row r="896" spans="1:23" ht="15.75" customHeight="1" x14ac:dyDescent="0.25">
      <c r="A896" s="244"/>
      <c r="B896" s="245"/>
      <c r="C896" s="246"/>
      <c r="D896" s="37"/>
      <c r="E896" s="246"/>
      <c r="F896" s="247"/>
      <c r="G896" s="245"/>
      <c r="H896" s="246"/>
      <c r="I896" s="247"/>
      <c r="J896" s="37"/>
      <c r="K896" s="248"/>
      <c r="L896" s="248"/>
      <c r="M896" s="248"/>
      <c r="N896" s="248"/>
      <c r="O896" s="248"/>
      <c r="P896" s="249"/>
      <c r="Q896" s="250"/>
      <c r="R896" s="37"/>
      <c r="S896" s="37"/>
      <c r="T896" s="204"/>
      <c r="U896" s="37"/>
      <c r="V896" s="37"/>
      <c r="W896" s="37"/>
    </row>
    <row r="897" spans="1:23" ht="15.75" customHeight="1" x14ac:dyDescent="0.25">
      <c r="A897" s="244"/>
      <c r="B897" s="245"/>
      <c r="C897" s="246"/>
      <c r="D897" s="37"/>
      <c r="E897" s="246"/>
      <c r="F897" s="247"/>
      <c r="G897" s="245"/>
      <c r="H897" s="246"/>
      <c r="I897" s="247"/>
      <c r="J897" s="37"/>
      <c r="K897" s="248"/>
      <c r="L897" s="248"/>
      <c r="M897" s="248"/>
      <c r="N897" s="248"/>
      <c r="O897" s="248"/>
      <c r="P897" s="249"/>
      <c r="Q897" s="250"/>
      <c r="R897" s="37"/>
      <c r="S897" s="37"/>
      <c r="T897" s="204"/>
      <c r="U897" s="37"/>
      <c r="V897" s="37"/>
      <c r="W897" s="37"/>
    </row>
    <row r="898" spans="1:23" ht="15.75" customHeight="1" x14ac:dyDescent="0.25">
      <c r="A898" s="244"/>
      <c r="B898" s="245"/>
      <c r="C898" s="246"/>
      <c r="D898" s="37"/>
      <c r="E898" s="246"/>
      <c r="F898" s="247"/>
      <c r="G898" s="245"/>
      <c r="H898" s="246"/>
      <c r="I898" s="247"/>
      <c r="J898" s="37"/>
      <c r="K898" s="248"/>
      <c r="L898" s="248"/>
      <c r="M898" s="248"/>
      <c r="N898" s="248"/>
      <c r="O898" s="248"/>
      <c r="P898" s="249"/>
      <c r="Q898" s="250"/>
      <c r="R898" s="37"/>
      <c r="S898" s="37"/>
      <c r="T898" s="204"/>
      <c r="U898" s="37"/>
      <c r="V898" s="37"/>
      <c r="W898" s="37"/>
    </row>
    <row r="899" spans="1:23" ht="15.75" customHeight="1" x14ac:dyDescent="0.25">
      <c r="A899" s="244"/>
      <c r="B899" s="245"/>
      <c r="C899" s="246"/>
      <c r="D899" s="37"/>
      <c r="E899" s="246"/>
      <c r="F899" s="247"/>
      <c r="G899" s="245"/>
      <c r="H899" s="246"/>
      <c r="I899" s="247"/>
      <c r="J899" s="37"/>
      <c r="K899" s="248"/>
      <c r="L899" s="248"/>
      <c r="M899" s="248"/>
      <c r="N899" s="248"/>
      <c r="O899" s="248"/>
      <c r="P899" s="249"/>
      <c r="Q899" s="250"/>
      <c r="R899" s="37"/>
      <c r="S899" s="37"/>
      <c r="T899" s="204"/>
      <c r="U899" s="37"/>
      <c r="V899" s="37"/>
      <c r="W899" s="37"/>
    </row>
    <row r="900" spans="1:23" ht="15.75" customHeight="1" x14ac:dyDescent="0.25">
      <c r="A900" s="244"/>
      <c r="B900" s="245"/>
      <c r="C900" s="246"/>
      <c r="D900" s="37"/>
      <c r="E900" s="246"/>
      <c r="F900" s="247"/>
      <c r="G900" s="245"/>
      <c r="H900" s="246"/>
      <c r="I900" s="247"/>
      <c r="J900" s="37"/>
      <c r="K900" s="248"/>
      <c r="L900" s="248"/>
      <c r="M900" s="248"/>
      <c r="N900" s="248"/>
      <c r="O900" s="248"/>
      <c r="P900" s="249"/>
      <c r="Q900" s="250"/>
      <c r="R900" s="37"/>
      <c r="S900" s="37"/>
      <c r="T900" s="204"/>
      <c r="U900" s="37"/>
      <c r="V900" s="37"/>
      <c r="W900" s="37"/>
    </row>
    <row r="901" spans="1:23" ht="15.75" customHeight="1" x14ac:dyDescent="0.25">
      <c r="A901" s="244"/>
      <c r="B901" s="245"/>
      <c r="C901" s="246"/>
      <c r="D901" s="37"/>
      <c r="E901" s="246"/>
      <c r="F901" s="247"/>
      <c r="G901" s="245"/>
      <c r="H901" s="246"/>
      <c r="I901" s="247"/>
      <c r="J901" s="37"/>
      <c r="K901" s="248"/>
      <c r="L901" s="248"/>
      <c r="M901" s="248"/>
      <c r="N901" s="248"/>
      <c r="O901" s="248"/>
      <c r="P901" s="249"/>
      <c r="Q901" s="250"/>
      <c r="R901" s="37"/>
      <c r="S901" s="37"/>
      <c r="T901" s="204"/>
      <c r="U901" s="37"/>
      <c r="V901" s="37"/>
      <c r="W901" s="37"/>
    </row>
    <row r="902" spans="1:23" ht="15.75" customHeight="1" x14ac:dyDescent="0.25">
      <c r="A902" s="244"/>
      <c r="B902" s="245"/>
      <c r="C902" s="246"/>
      <c r="D902" s="37"/>
      <c r="E902" s="246"/>
      <c r="F902" s="247"/>
      <c r="G902" s="245"/>
      <c r="H902" s="246"/>
      <c r="I902" s="247"/>
      <c r="J902" s="37"/>
      <c r="K902" s="248"/>
      <c r="L902" s="248"/>
      <c r="M902" s="248"/>
      <c r="N902" s="248"/>
      <c r="O902" s="248"/>
      <c r="P902" s="249"/>
      <c r="Q902" s="250"/>
      <c r="R902" s="37"/>
      <c r="S902" s="37"/>
      <c r="T902" s="204"/>
      <c r="U902" s="37"/>
      <c r="V902" s="37"/>
      <c r="W902" s="37"/>
    </row>
    <row r="903" spans="1:23" ht="15.75" customHeight="1" x14ac:dyDescent="0.25">
      <c r="A903" s="244"/>
      <c r="B903" s="245"/>
      <c r="C903" s="246"/>
      <c r="D903" s="37"/>
      <c r="E903" s="246"/>
      <c r="F903" s="247"/>
      <c r="G903" s="245"/>
      <c r="H903" s="246"/>
      <c r="I903" s="247"/>
      <c r="J903" s="37"/>
      <c r="K903" s="248"/>
      <c r="L903" s="248"/>
      <c r="M903" s="248"/>
      <c r="N903" s="248"/>
      <c r="O903" s="248"/>
      <c r="P903" s="249"/>
      <c r="Q903" s="250"/>
      <c r="R903" s="37"/>
      <c r="S903" s="37"/>
      <c r="T903" s="204"/>
      <c r="U903" s="37"/>
      <c r="V903" s="37"/>
      <c r="W903" s="37"/>
    </row>
    <row r="904" spans="1:23" ht="15.75" customHeight="1" x14ac:dyDescent="0.25">
      <c r="A904" s="244"/>
      <c r="B904" s="245"/>
      <c r="C904" s="246"/>
      <c r="D904" s="37"/>
      <c r="E904" s="246"/>
      <c r="F904" s="247"/>
      <c r="G904" s="245"/>
      <c r="H904" s="246"/>
      <c r="I904" s="247"/>
      <c r="J904" s="37"/>
      <c r="K904" s="248"/>
      <c r="L904" s="248"/>
      <c r="M904" s="248"/>
      <c r="N904" s="248"/>
      <c r="O904" s="248"/>
      <c r="P904" s="249"/>
      <c r="Q904" s="250"/>
      <c r="R904" s="37"/>
      <c r="S904" s="37"/>
      <c r="T904" s="204"/>
      <c r="U904" s="37"/>
      <c r="V904" s="37"/>
      <c r="W904" s="37"/>
    </row>
    <row r="905" spans="1:23" ht="15.75" customHeight="1" x14ac:dyDescent="0.25">
      <c r="A905" s="244"/>
      <c r="B905" s="245"/>
      <c r="C905" s="246"/>
      <c r="D905" s="37"/>
      <c r="E905" s="246"/>
      <c r="F905" s="247"/>
      <c r="G905" s="245"/>
      <c r="H905" s="246"/>
      <c r="I905" s="247"/>
      <c r="J905" s="37"/>
      <c r="K905" s="248"/>
      <c r="L905" s="248"/>
      <c r="M905" s="248"/>
      <c r="N905" s="248"/>
      <c r="O905" s="248"/>
      <c r="P905" s="249"/>
      <c r="Q905" s="250"/>
      <c r="R905" s="37"/>
      <c r="S905" s="37"/>
      <c r="T905" s="204"/>
      <c r="U905" s="37"/>
      <c r="V905" s="37"/>
      <c r="W905" s="37"/>
    </row>
    <row r="906" spans="1:23" ht="15.75" customHeight="1" x14ac:dyDescent="0.25">
      <c r="A906" s="244"/>
      <c r="B906" s="245"/>
      <c r="C906" s="246"/>
      <c r="D906" s="37"/>
      <c r="E906" s="246"/>
      <c r="F906" s="247"/>
      <c r="G906" s="245"/>
      <c r="H906" s="246"/>
      <c r="I906" s="247"/>
      <c r="J906" s="37"/>
      <c r="K906" s="248"/>
      <c r="L906" s="248"/>
      <c r="M906" s="248"/>
      <c r="N906" s="248"/>
      <c r="O906" s="248"/>
      <c r="P906" s="249"/>
      <c r="Q906" s="250"/>
      <c r="R906" s="37"/>
      <c r="S906" s="37"/>
      <c r="T906" s="204"/>
      <c r="U906" s="37"/>
      <c r="V906" s="37"/>
      <c r="W906" s="37"/>
    </row>
    <row r="907" spans="1:23" ht="15.75" customHeight="1" x14ac:dyDescent="0.25">
      <c r="A907" s="244"/>
      <c r="B907" s="245"/>
      <c r="C907" s="246"/>
      <c r="D907" s="37"/>
      <c r="E907" s="246"/>
      <c r="F907" s="247"/>
      <c r="G907" s="245"/>
      <c r="H907" s="246"/>
      <c r="I907" s="247"/>
      <c r="J907" s="37"/>
      <c r="K907" s="248"/>
      <c r="L907" s="248"/>
      <c r="M907" s="248"/>
      <c r="N907" s="248"/>
      <c r="O907" s="248"/>
      <c r="P907" s="249"/>
      <c r="Q907" s="250"/>
      <c r="R907" s="37"/>
      <c r="S907" s="37"/>
      <c r="T907" s="204"/>
      <c r="U907" s="37"/>
      <c r="V907" s="37"/>
      <c r="W907" s="37"/>
    </row>
    <row r="908" spans="1:23" ht="15.75" customHeight="1" x14ac:dyDescent="0.25">
      <c r="A908" s="244"/>
      <c r="B908" s="245"/>
      <c r="C908" s="246"/>
      <c r="D908" s="37"/>
      <c r="E908" s="246"/>
      <c r="F908" s="247"/>
      <c r="G908" s="245"/>
      <c r="H908" s="246"/>
      <c r="I908" s="247"/>
      <c r="J908" s="37"/>
      <c r="K908" s="248"/>
      <c r="L908" s="248"/>
      <c r="M908" s="248"/>
      <c r="N908" s="248"/>
      <c r="O908" s="248"/>
      <c r="P908" s="249"/>
      <c r="Q908" s="250"/>
      <c r="R908" s="37"/>
      <c r="S908" s="37"/>
      <c r="T908" s="204"/>
      <c r="U908" s="37"/>
      <c r="V908" s="37"/>
      <c r="W908" s="37"/>
    </row>
    <row r="909" spans="1:23" ht="15.75" customHeight="1" x14ac:dyDescent="0.25">
      <c r="A909" s="244"/>
      <c r="B909" s="245"/>
      <c r="C909" s="246"/>
      <c r="D909" s="37"/>
      <c r="E909" s="246"/>
      <c r="F909" s="247"/>
      <c r="G909" s="245"/>
      <c r="H909" s="246"/>
      <c r="I909" s="247"/>
      <c r="J909" s="37"/>
      <c r="K909" s="248"/>
      <c r="L909" s="248"/>
      <c r="M909" s="248"/>
      <c r="N909" s="248"/>
      <c r="O909" s="248"/>
      <c r="P909" s="249"/>
      <c r="Q909" s="250"/>
      <c r="R909" s="37"/>
      <c r="S909" s="37"/>
      <c r="T909" s="204"/>
      <c r="U909" s="37"/>
      <c r="V909" s="37"/>
      <c r="W909" s="37"/>
    </row>
    <row r="910" spans="1:23" ht="15.75" customHeight="1" x14ac:dyDescent="0.25">
      <c r="A910" s="244"/>
      <c r="B910" s="245"/>
      <c r="C910" s="246"/>
      <c r="D910" s="37"/>
      <c r="E910" s="246"/>
      <c r="F910" s="247"/>
      <c r="G910" s="245"/>
      <c r="H910" s="246"/>
      <c r="I910" s="247"/>
      <c r="J910" s="37"/>
      <c r="K910" s="248"/>
      <c r="L910" s="248"/>
      <c r="M910" s="248"/>
      <c r="N910" s="248"/>
      <c r="O910" s="248"/>
      <c r="P910" s="249"/>
      <c r="Q910" s="250"/>
      <c r="R910" s="37"/>
      <c r="S910" s="37"/>
      <c r="T910" s="204"/>
      <c r="U910" s="37"/>
      <c r="V910" s="37"/>
      <c r="W910" s="37"/>
    </row>
    <row r="911" spans="1:23" ht="15.75" customHeight="1" x14ac:dyDescent="0.25">
      <c r="A911" s="244"/>
      <c r="B911" s="245"/>
      <c r="C911" s="246"/>
      <c r="D911" s="37"/>
      <c r="E911" s="246"/>
      <c r="F911" s="247"/>
      <c r="G911" s="245"/>
      <c r="H911" s="246"/>
      <c r="I911" s="247"/>
      <c r="J911" s="37"/>
      <c r="K911" s="248"/>
      <c r="L911" s="248"/>
      <c r="M911" s="248"/>
      <c r="N911" s="248"/>
      <c r="O911" s="248"/>
      <c r="P911" s="249"/>
      <c r="Q911" s="250"/>
      <c r="R911" s="37"/>
      <c r="S911" s="37"/>
      <c r="T911" s="204"/>
      <c r="U911" s="37"/>
      <c r="V911" s="37"/>
      <c r="W911" s="37"/>
    </row>
    <row r="912" spans="1:23" ht="15.75" customHeight="1" x14ac:dyDescent="0.25">
      <c r="A912" s="244"/>
      <c r="B912" s="245"/>
      <c r="C912" s="246"/>
      <c r="D912" s="37"/>
      <c r="E912" s="246"/>
      <c r="F912" s="247"/>
      <c r="G912" s="245"/>
      <c r="H912" s="246"/>
      <c r="I912" s="247"/>
      <c r="J912" s="37"/>
      <c r="K912" s="248"/>
      <c r="L912" s="248"/>
      <c r="M912" s="248"/>
      <c r="N912" s="248"/>
      <c r="O912" s="248"/>
      <c r="P912" s="249"/>
      <c r="Q912" s="250"/>
      <c r="R912" s="37"/>
      <c r="S912" s="37"/>
      <c r="T912" s="204"/>
      <c r="U912" s="37"/>
      <c r="V912" s="37"/>
      <c r="W912" s="37"/>
    </row>
    <row r="913" spans="1:23" ht="15.75" customHeight="1" x14ac:dyDescent="0.25">
      <c r="A913" s="244"/>
      <c r="B913" s="245"/>
      <c r="C913" s="246"/>
      <c r="D913" s="37"/>
      <c r="E913" s="246"/>
      <c r="F913" s="247"/>
      <c r="G913" s="245"/>
      <c r="H913" s="246"/>
      <c r="I913" s="247"/>
      <c r="J913" s="37"/>
      <c r="K913" s="248"/>
      <c r="L913" s="248"/>
      <c r="M913" s="248"/>
      <c r="N913" s="248"/>
      <c r="O913" s="248"/>
      <c r="P913" s="249"/>
      <c r="Q913" s="250"/>
      <c r="R913" s="37"/>
      <c r="S913" s="37"/>
      <c r="T913" s="204"/>
      <c r="U913" s="37"/>
      <c r="V913" s="37"/>
      <c r="W913" s="37"/>
    </row>
    <row r="914" spans="1:23" ht="15.75" customHeight="1" x14ac:dyDescent="0.25">
      <c r="A914" s="244"/>
      <c r="B914" s="245"/>
      <c r="C914" s="246"/>
      <c r="D914" s="37"/>
      <c r="E914" s="246"/>
      <c r="F914" s="247"/>
      <c r="G914" s="245"/>
      <c r="H914" s="246"/>
      <c r="I914" s="247"/>
      <c r="J914" s="37"/>
      <c r="K914" s="248"/>
      <c r="L914" s="248"/>
      <c r="M914" s="248"/>
      <c r="N914" s="248"/>
      <c r="O914" s="248"/>
      <c r="P914" s="249"/>
      <c r="Q914" s="250"/>
      <c r="R914" s="37"/>
      <c r="S914" s="37"/>
      <c r="T914" s="204"/>
      <c r="U914" s="37"/>
      <c r="V914" s="37"/>
      <c r="W914" s="37"/>
    </row>
    <row r="915" spans="1:23" ht="15.75" customHeight="1" x14ac:dyDescent="0.25">
      <c r="A915" s="244"/>
      <c r="B915" s="245"/>
      <c r="C915" s="246"/>
      <c r="D915" s="37"/>
      <c r="E915" s="246"/>
      <c r="F915" s="247"/>
      <c r="G915" s="245"/>
      <c r="H915" s="246"/>
      <c r="I915" s="247"/>
      <c r="J915" s="37"/>
      <c r="K915" s="248"/>
      <c r="L915" s="248"/>
      <c r="M915" s="248"/>
      <c r="N915" s="248"/>
      <c r="O915" s="248"/>
      <c r="P915" s="249"/>
      <c r="Q915" s="250"/>
      <c r="R915" s="37"/>
      <c r="S915" s="37"/>
      <c r="T915" s="204"/>
      <c r="U915" s="37"/>
      <c r="V915" s="37"/>
      <c r="W915" s="37"/>
    </row>
    <row r="916" spans="1:23" ht="15.75" customHeight="1" x14ac:dyDescent="0.25">
      <c r="A916" s="244"/>
      <c r="B916" s="245"/>
      <c r="C916" s="246"/>
      <c r="D916" s="37"/>
      <c r="E916" s="246"/>
      <c r="F916" s="247"/>
      <c r="G916" s="245"/>
      <c r="H916" s="246"/>
      <c r="I916" s="247"/>
      <c r="J916" s="37"/>
      <c r="K916" s="248"/>
      <c r="L916" s="248"/>
      <c r="M916" s="248"/>
      <c r="N916" s="248"/>
      <c r="O916" s="248"/>
      <c r="P916" s="249"/>
      <c r="Q916" s="250"/>
      <c r="R916" s="37"/>
      <c r="S916" s="37"/>
      <c r="T916" s="204"/>
      <c r="U916" s="37"/>
      <c r="V916" s="37"/>
      <c r="W916" s="37"/>
    </row>
    <row r="917" spans="1:23" ht="15.75" customHeight="1" x14ac:dyDescent="0.25">
      <c r="A917" s="244"/>
      <c r="B917" s="245"/>
      <c r="C917" s="246"/>
      <c r="D917" s="37"/>
      <c r="E917" s="246"/>
      <c r="F917" s="247"/>
      <c r="G917" s="245"/>
      <c r="H917" s="246"/>
      <c r="I917" s="247"/>
      <c r="J917" s="37"/>
      <c r="K917" s="248"/>
      <c r="L917" s="248"/>
      <c r="M917" s="248"/>
      <c r="N917" s="248"/>
      <c r="O917" s="248"/>
      <c r="P917" s="249"/>
      <c r="Q917" s="250"/>
      <c r="R917" s="37"/>
      <c r="S917" s="37"/>
      <c r="T917" s="204"/>
      <c r="U917" s="37"/>
      <c r="V917" s="37"/>
      <c r="W917" s="37"/>
    </row>
    <row r="918" spans="1:23" ht="15.75" customHeight="1" x14ac:dyDescent="0.25">
      <c r="A918" s="244"/>
      <c r="B918" s="245"/>
      <c r="C918" s="246"/>
      <c r="D918" s="37"/>
      <c r="E918" s="246"/>
      <c r="F918" s="247"/>
      <c r="G918" s="245"/>
      <c r="H918" s="246"/>
      <c r="I918" s="247"/>
      <c r="J918" s="37"/>
      <c r="K918" s="248"/>
      <c r="L918" s="248"/>
      <c r="M918" s="248"/>
      <c r="N918" s="248"/>
      <c r="O918" s="248"/>
      <c r="P918" s="249"/>
      <c r="Q918" s="250"/>
      <c r="R918" s="37"/>
      <c r="S918" s="37"/>
      <c r="T918" s="204"/>
      <c r="U918" s="37"/>
      <c r="V918" s="37"/>
      <c r="W918" s="37"/>
    </row>
    <row r="919" spans="1:23" ht="15.75" customHeight="1" x14ac:dyDescent="0.25">
      <c r="A919" s="244"/>
      <c r="B919" s="245"/>
      <c r="C919" s="246"/>
      <c r="D919" s="37"/>
      <c r="E919" s="246"/>
      <c r="F919" s="247"/>
      <c r="G919" s="245"/>
      <c r="H919" s="246"/>
      <c r="I919" s="247"/>
      <c r="J919" s="37"/>
      <c r="K919" s="248"/>
      <c r="L919" s="248"/>
      <c r="M919" s="248"/>
      <c r="N919" s="248"/>
      <c r="O919" s="248"/>
      <c r="P919" s="249"/>
      <c r="Q919" s="250"/>
      <c r="R919" s="37"/>
      <c r="S919" s="37"/>
      <c r="T919" s="204"/>
      <c r="U919" s="37"/>
      <c r="V919" s="37"/>
      <c r="W919" s="37"/>
    </row>
    <row r="920" spans="1:23" ht="15.75" customHeight="1" x14ac:dyDescent="0.25">
      <c r="A920" s="244"/>
      <c r="B920" s="245"/>
      <c r="C920" s="246"/>
      <c r="D920" s="37"/>
      <c r="E920" s="246"/>
      <c r="F920" s="247"/>
      <c r="G920" s="245"/>
      <c r="H920" s="246"/>
      <c r="I920" s="247"/>
      <c r="J920" s="37"/>
      <c r="K920" s="248"/>
      <c r="L920" s="248"/>
      <c r="M920" s="248"/>
      <c r="N920" s="248"/>
      <c r="O920" s="248"/>
      <c r="P920" s="249"/>
      <c r="Q920" s="250"/>
      <c r="R920" s="37"/>
      <c r="S920" s="37"/>
      <c r="T920" s="204"/>
      <c r="U920" s="37"/>
      <c r="V920" s="37"/>
      <c r="W920" s="37"/>
    </row>
    <row r="921" spans="1:23" ht="15.75" customHeight="1" x14ac:dyDescent="0.25">
      <c r="A921" s="244"/>
      <c r="B921" s="245"/>
      <c r="C921" s="246"/>
      <c r="D921" s="37"/>
      <c r="E921" s="246"/>
      <c r="F921" s="247"/>
      <c r="G921" s="245"/>
      <c r="H921" s="246"/>
      <c r="I921" s="247"/>
      <c r="J921" s="37"/>
      <c r="K921" s="248"/>
      <c r="L921" s="248"/>
      <c r="M921" s="248"/>
      <c r="N921" s="248"/>
      <c r="O921" s="248"/>
      <c r="P921" s="249"/>
      <c r="Q921" s="250"/>
      <c r="R921" s="37"/>
      <c r="S921" s="37"/>
      <c r="T921" s="204"/>
      <c r="U921" s="37"/>
      <c r="V921" s="37"/>
      <c r="W921" s="37"/>
    </row>
    <row r="922" spans="1:23" ht="15.75" customHeight="1" x14ac:dyDescent="0.25">
      <c r="A922" s="244"/>
      <c r="B922" s="245"/>
      <c r="C922" s="246"/>
      <c r="D922" s="37"/>
      <c r="E922" s="246"/>
      <c r="F922" s="247"/>
      <c r="G922" s="245"/>
      <c r="H922" s="246"/>
      <c r="I922" s="247"/>
      <c r="J922" s="37"/>
      <c r="K922" s="248"/>
      <c r="L922" s="248"/>
      <c r="M922" s="248"/>
      <c r="N922" s="248"/>
      <c r="O922" s="248"/>
      <c r="P922" s="249"/>
      <c r="Q922" s="250"/>
      <c r="R922" s="37"/>
      <c r="S922" s="37"/>
      <c r="T922" s="204"/>
      <c r="U922" s="37"/>
      <c r="V922" s="37"/>
      <c r="W922" s="37"/>
    </row>
    <row r="923" spans="1:23" ht="15.75" customHeight="1" x14ac:dyDescent="0.25">
      <c r="A923" s="244"/>
      <c r="B923" s="245"/>
      <c r="C923" s="246"/>
      <c r="D923" s="37"/>
      <c r="E923" s="246"/>
      <c r="F923" s="247"/>
      <c r="G923" s="245"/>
      <c r="H923" s="246"/>
      <c r="I923" s="247"/>
      <c r="J923" s="37"/>
      <c r="K923" s="248"/>
      <c r="L923" s="248"/>
      <c r="M923" s="248"/>
      <c r="N923" s="248"/>
      <c r="O923" s="248"/>
      <c r="P923" s="249"/>
      <c r="Q923" s="250"/>
      <c r="R923" s="37"/>
      <c r="S923" s="37"/>
      <c r="T923" s="204"/>
      <c r="U923" s="37"/>
      <c r="V923" s="37"/>
      <c r="W923" s="37"/>
    </row>
    <row r="924" spans="1:23" ht="15.75" customHeight="1" x14ac:dyDescent="0.25">
      <c r="A924" s="244"/>
      <c r="B924" s="245"/>
      <c r="C924" s="246"/>
      <c r="D924" s="37"/>
      <c r="E924" s="246"/>
      <c r="F924" s="247"/>
      <c r="G924" s="245"/>
      <c r="H924" s="246"/>
      <c r="I924" s="247"/>
      <c r="J924" s="37"/>
      <c r="K924" s="248"/>
      <c r="L924" s="248"/>
      <c r="M924" s="248"/>
      <c r="N924" s="248"/>
      <c r="O924" s="248"/>
      <c r="P924" s="249"/>
      <c r="Q924" s="250"/>
      <c r="R924" s="37"/>
      <c r="S924" s="37"/>
      <c r="T924" s="204"/>
      <c r="U924" s="37"/>
      <c r="V924" s="37"/>
      <c r="W924" s="37"/>
    </row>
    <row r="925" spans="1:23" ht="15.75" customHeight="1" x14ac:dyDescent="0.25">
      <c r="A925" s="244"/>
      <c r="B925" s="245"/>
      <c r="C925" s="246"/>
      <c r="D925" s="37"/>
      <c r="E925" s="246"/>
      <c r="F925" s="247"/>
      <c r="G925" s="245"/>
      <c r="H925" s="246"/>
      <c r="I925" s="247"/>
      <c r="J925" s="37"/>
      <c r="K925" s="248"/>
      <c r="L925" s="248"/>
      <c r="M925" s="248"/>
      <c r="N925" s="248"/>
      <c r="O925" s="248"/>
      <c r="P925" s="249"/>
      <c r="Q925" s="250"/>
      <c r="R925" s="37"/>
      <c r="S925" s="37"/>
      <c r="T925" s="204"/>
      <c r="U925" s="37"/>
      <c r="V925" s="37"/>
      <c r="W925" s="37"/>
    </row>
    <row r="926" spans="1:23" ht="15.75" customHeight="1" x14ac:dyDescent="0.25">
      <c r="A926" s="244"/>
      <c r="B926" s="245"/>
      <c r="C926" s="246"/>
      <c r="D926" s="37"/>
      <c r="E926" s="246"/>
      <c r="F926" s="247"/>
      <c r="G926" s="245"/>
      <c r="H926" s="246"/>
      <c r="I926" s="247"/>
      <c r="J926" s="37"/>
      <c r="K926" s="248"/>
      <c r="L926" s="248"/>
      <c r="M926" s="248"/>
      <c r="N926" s="248"/>
      <c r="O926" s="248"/>
      <c r="P926" s="249"/>
      <c r="Q926" s="250"/>
      <c r="R926" s="37"/>
      <c r="S926" s="37"/>
      <c r="T926" s="204"/>
      <c r="U926" s="37"/>
      <c r="V926" s="37"/>
      <c r="W926" s="37"/>
    </row>
    <row r="927" spans="1:23" ht="15.75" customHeight="1" x14ac:dyDescent="0.25">
      <c r="A927" s="244"/>
      <c r="B927" s="245"/>
      <c r="C927" s="246"/>
      <c r="D927" s="37"/>
      <c r="E927" s="246"/>
      <c r="F927" s="247"/>
      <c r="G927" s="245"/>
      <c r="H927" s="246"/>
      <c r="I927" s="247"/>
      <c r="J927" s="37"/>
      <c r="K927" s="248"/>
      <c r="L927" s="248"/>
      <c r="M927" s="248"/>
      <c r="N927" s="248"/>
      <c r="O927" s="248"/>
      <c r="P927" s="249"/>
      <c r="Q927" s="250"/>
      <c r="R927" s="37"/>
      <c r="S927" s="37"/>
      <c r="T927" s="204"/>
      <c r="U927" s="37"/>
      <c r="V927" s="37"/>
      <c r="W927" s="37"/>
    </row>
    <row r="928" spans="1:23" ht="15.75" customHeight="1" x14ac:dyDescent="0.25">
      <c r="A928" s="244"/>
      <c r="B928" s="245"/>
      <c r="C928" s="246"/>
      <c r="D928" s="37"/>
      <c r="E928" s="246"/>
      <c r="F928" s="247"/>
      <c r="G928" s="245"/>
      <c r="H928" s="246"/>
      <c r="I928" s="247"/>
      <c r="J928" s="37"/>
      <c r="K928" s="248"/>
      <c r="L928" s="248"/>
      <c r="M928" s="248"/>
      <c r="N928" s="248"/>
      <c r="O928" s="248"/>
      <c r="P928" s="249"/>
      <c r="Q928" s="250"/>
      <c r="R928" s="37"/>
      <c r="S928" s="37"/>
      <c r="T928" s="204"/>
      <c r="U928" s="37"/>
      <c r="V928" s="37"/>
      <c r="W928" s="37"/>
    </row>
    <row r="929" spans="1:23" ht="15.75" customHeight="1" x14ac:dyDescent="0.25">
      <c r="A929" s="244"/>
      <c r="B929" s="245"/>
      <c r="C929" s="246"/>
      <c r="D929" s="37"/>
      <c r="E929" s="246"/>
      <c r="F929" s="247"/>
      <c r="G929" s="245"/>
      <c r="H929" s="246"/>
      <c r="I929" s="247"/>
      <c r="J929" s="37"/>
      <c r="K929" s="248"/>
      <c r="L929" s="248"/>
      <c r="M929" s="248"/>
      <c r="N929" s="248"/>
      <c r="O929" s="248"/>
      <c r="P929" s="249"/>
      <c r="Q929" s="250"/>
      <c r="R929" s="37"/>
      <c r="S929" s="37"/>
      <c r="T929" s="204"/>
      <c r="U929" s="37"/>
      <c r="V929" s="37"/>
      <c r="W929" s="37"/>
    </row>
    <row r="930" spans="1:23" ht="15.75" customHeight="1" x14ac:dyDescent="0.25">
      <c r="A930" s="244"/>
      <c r="B930" s="245"/>
      <c r="C930" s="246"/>
      <c r="D930" s="37"/>
      <c r="E930" s="246"/>
      <c r="F930" s="247"/>
      <c r="G930" s="245"/>
      <c r="H930" s="246"/>
      <c r="I930" s="247"/>
      <c r="J930" s="37"/>
      <c r="K930" s="248"/>
      <c r="L930" s="248"/>
      <c r="M930" s="248"/>
      <c r="N930" s="248"/>
      <c r="O930" s="248"/>
      <c r="P930" s="249"/>
      <c r="Q930" s="250"/>
      <c r="R930" s="37"/>
      <c r="S930" s="37"/>
      <c r="T930" s="204"/>
      <c r="U930" s="37"/>
      <c r="V930" s="37"/>
      <c r="W930" s="37"/>
    </row>
    <row r="931" spans="1:23" ht="15.75" customHeight="1" x14ac:dyDescent="0.25">
      <c r="A931" s="244"/>
      <c r="B931" s="245"/>
      <c r="C931" s="246"/>
      <c r="D931" s="37"/>
      <c r="E931" s="246"/>
      <c r="F931" s="247"/>
      <c r="G931" s="245"/>
      <c r="H931" s="246"/>
      <c r="I931" s="247"/>
      <c r="J931" s="37"/>
      <c r="K931" s="248"/>
      <c r="L931" s="248"/>
      <c r="M931" s="248"/>
      <c r="N931" s="248"/>
      <c r="O931" s="248"/>
      <c r="P931" s="249"/>
      <c r="Q931" s="250"/>
      <c r="R931" s="37"/>
      <c r="S931" s="37"/>
      <c r="T931" s="204"/>
      <c r="U931" s="37"/>
      <c r="V931" s="37"/>
      <c r="W931" s="37"/>
    </row>
    <row r="932" spans="1:23" ht="15.75" customHeight="1" x14ac:dyDescent="0.25">
      <c r="A932" s="244"/>
      <c r="B932" s="245"/>
      <c r="C932" s="246"/>
      <c r="D932" s="37"/>
      <c r="E932" s="246"/>
      <c r="F932" s="247"/>
      <c r="G932" s="245"/>
      <c r="H932" s="246"/>
      <c r="I932" s="247"/>
      <c r="J932" s="37"/>
      <c r="K932" s="248"/>
      <c r="L932" s="248"/>
      <c r="M932" s="248"/>
      <c r="N932" s="248"/>
      <c r="O932" s="248"/>
      <c r="P932" s="249"/>
      <c r="Q932" s="250"/>
      <c r="R932" s="37"/>
      <c r="S932" s="37"/>
      <c r="T932" s="204"/>
      <c r="U932" s="37"/>
      <c r="V932" s="37"/>
      <c r="W932" s="37"/>
    </row>
    <row r="933" spans="1:23" ht="15.75" customHeight="1" x14ac:dyDescent="0.25">
      <c r="A933" s="244"/>
      <c r="B933" s="245"/>
      <c r="C933" s="246"/>
      <c r="D933" s="37"/>
      <c r="E933" s="246"/>
      <c r="F933" s="247"/>
      <c r="G933" s="245"/>
      <c r="H933" s="246"/>
      <c r="I933" s="247"/>
      <c r="J933" s="37"/>
      <c r="K933" s="248"/>
      <c r="L933" s="248"/>
      <c r="M933" s="248"/>
      <c r="N933" s="248"/>
      <c r="O933" s="248"/>
      <c r="P933" s="249"/>
      <c r="Q933" s="250"/>
      <c r="R933" s="37"/>
      <c r="S933" s="37"/>
      <c r="T933" s="204"/>
      <c r="U933" s="37"/>
      <c r="V933" s="37"/>
      <c r="W933" s="37"/>
    </row>
    <row r="934" spans="1:23" ht="15.75" customHeight="1" x14ac:dyDescent="0.25">
      <c r="A934" s="244"/>
      <c r="B934" s="245"/>
      <c r="C934" s="246"/>
      <c r="D934" s="37"/>
      <c r="E934" s="246"/>
      <c r="F934" s="247"/>
      <c r="G934" s="245"/>
      <c r="H934" s="246"/>
      <c r="I934" s="247"/>
      <c r="J934" s="37"/>
      <c r="K934" s="248"/>
      <c r="L934" s="248"/>
      <c r="M934" s="248"/>
      <c r="N934" s="248"/>
      <c r="O934" s="248"/>
      <c r="P934" s="249"/>
      <c r="Q934" s="250"/>
      <c r="R934" s="37"/>
      <c r="S934" s="37"/>
      <c r="T934" s="204"/>
      <c r="U934" s="37"/>
      <c r="V934" s="37"/>
      <c r="W934" s="37"/>
    </row>
    <row r="935" spans="1:23" ht="15.75" customHeight="1" x14ac:dyDescent="0.25">
      <c r="A935" s="244"/>
      <c r="B935" s="245"/>
      <c r="C935" s="246"/>
      <c r="D935" s="37"/>
      <c r="E935" s="246"/>
      <c r="F935" s="247"/>
      <c r="G935" s="245"/>
      <c r="H935" s="246"/>
      <c r="I935" s="247"/>
      <c r="J935" s="37"/>
      <c r="K935" s="248"/>
      <c r="L935" s="248"/>
      <c r="M935" s="248"/>
      <c r="N935" s="248"/>
      <c r="O935" s="248"/>
      <c r="P935" s="249"/>
      <c r="Q935" s="250"/>
      <c r="R935" s="37"/>
      <c r="S935" s="37"/>
      <c r="T935" s="204"/>
      <c r="U935" s="37"/>
      <c r="V935" s="37"/>
      <c r="W935" s="37"/>
    </row>
    <row r="936" spans="1:23" ht="15.75" customHeight="1" x14ac:dyDescent="0.25">
      <c r="A936" s="244"/>
      <c r="B936" s="245"/>
      <c r="C936" s="246"/>
      <c r="D936" s="37"/>
      <c r="E936" s="246"/>
      <c r="F936" s="247"/>
      <c r="G936" s="245"/>
      <c r="H936" s="246"/>
      <c r="I936" s="247"/>
      <c r="J936" s="37"/>
      <c r="K936" s="248"/>
      <c r="L936" s="248"/>
      <c r="M936" s="248"/>
      <c r="N936" s="248"/>
      <c r="O936" s="248"/>
      <c r="P936" s="249"/>
      <c r="Q936" s="250"/>
      <c r="R936" s="37"/>
      <c r="S936" s="37"/>
      <c r="T936" s="204"/>
      <c r="U936" s="37"/>
      <c r="V936" s="37"/>
      <c r="W936" s="37"/>
    </row>
    <row r="937" spans="1:23" ht="15.75" customHeight="1" x14ac:dyDescent="0.25">
      <c r="A937" s="244"/>
      <c r="B937" s="245"/>
      <c r="C937" s="246"/>
      <c r="D937" s="37"/>
      <c r="E937" s="246"/>
      <c r="F937" s="247"/>
      <c r="G937" s="245"/>
      <c r="H937" s="246"/>
      <c r="I937" s="247"/>
      <c r="J937" s="37"/>
      <c r="K937" s="248"/>
      <c r="L937" s="248"/>
      <c r="M937" s="248"/>
      <c r="N937" s="248"/>
      <c r="O937" s="248"/>
      <c r="P937" s="249"/>
      <c r="Q937" s="250"/>
      <c r="R937" s="37"/>
      <c r="S937" s="37"/>
      <c r="T937" s="204"/>
      <c r="U937" s="37"/>
      <c r="V937" s="37"/>
      <c r="W937" s="37"/>
    </row>
    <row r="938" spans="1:23" ht="15.75" customHeight="1" x14ac:dyDescent="0.25">
      <c r="A938" s="244"/>
      <c r="B938" s="245"/>
      <c r="C938" s="246"/>
      <c r="D938" s="37"/>
      <c r="E938" s="246"/>
      <c r="F938" s="247"/>
      <c r="G938" s="245"/>
      <c r="H938" s="246"/>
      <c r="I938" s="247"/>
      <c r="J938" s="37"/>
      <c r="K938" s="248"/>
      <c r="L938" s="248"/>
      <c r="M938" s="248"/>
      <c r="N938" s="248"/>
      <c r="O938" s="248"/>
      <c r="P938" s="249"/>
      <c r="Q938" s="250"/>
      <c r="R938" s="37"/>
      <c r="S938" s="37"/>
      <c r="T938" s="204"/>
      <c r="U938" s="37"/>
      <c r="V938" s="37"/>
      <c r="W938" s="37"/>
    </row>
    <row r="939" spans="1:23" ht="15.75" customHeight="1" x14ac:dyDescent="0.25">
      <c r="A939" s="244"/>
      <c r="B939" s="245"/>
      <c r="C939" s="246"/>
      <c r="D939" s="37"/>
      <c r="E939" s="246"/>
      <c r="F939" s="247"/>
      <c r="G939" s="245"/>
      <c r="H939" s="246"/>
      <c r="I939" s="247"/>
      <c r="J939" s="37"/>
      <c r="K939" s="248"/>
      <c r="L939" s="248"/>
      <c r="M939" s="248"/>
      <c r="N939" s="248"/>
      <c r="O939" s="248"/>
      <c r="P939" s="249"/>
      <c r="Q939" s="250"/>
      <c r="R939" s="37"/>
      <c r="S939" s="37"/>
      <c r="T939" s="204"/>
      <c r="U939" s="37"/>
      <c r="V939" s="37"/>
      <c r="W939" s="37"/>
    </row>
    <row r="940" spans="1:23" ht="15.75" customHeight="1" x14ac:dyDescent="0.25">
      <c r="A940" s="244"/>
      <c r="B940" s="245"/>
      <c r="C940" s="246"/>
      <c r="D940" s="37"/>
      <c r="E940" s="246"/>
      <c r="F940" s="247"/>
      <c r="G940" s="245"/>
      <c r="H940" s="246"/>
      <c r="I940" s="247"/>
      <c r="J940" s="37"/>
      <c r="K940" s="248"/>
      <c r="L940" s="248"/>
      <c r="M940" s="248"/>
      <c r="N940" s="248"/>
      <c r="O940" s="248"/>
      <c r="P940" s="249"/>
      <c r="Q940" s="250"/>
      <c r="R940" s="37"/>
      <c r="S940" s="37"/>
      <c r="T940" s="204"/>
      <c r="U940" s="37"/>
      <c r="V940" s="37"/>
      <c r="W940" s="37"/>
    </row>
    <row r="941" spans="1:23" ht="15.75" customHeight="1" x14ac:dyDescent="0.25">
      <c r="A941" s="244"/>
      <c r="B941" s="245"/>
      <c r="C941" s="246"/>
      <c r="D941" s="37"/>
      <c r="E941" s="246"/>
      <c r="F941" s="247"/>
      <c r="G941" s="245"/>
      <c r="H941" s="246"/>
      <c r="I941" s="247"/>
      <c r="J941" s="37"/>
      <c r="K941" s="248"/>
      <c r="L941" s="248"/>
      <c r="M941" s="248"/>
      <c r="N941" s="248"/>
      <c r="O941" s="248"/>
      <c r="P941" s="249"/>
      <c r="Q941" s="250"/>
      <c r="R941" s="37"/>
      <c r="S941" s="37"/>
      <c r="T941" s="204"/>
      <c r="U941" s="37"/>
      <c r="V941" s="37"/>
      <c r="W941" s="37"/>
    </row>
    <row r="942" spans="1:23" ht="15.75" customHeight="1" x14ac:dyDescent="0.25">
      <c r="A942" s="244"/>
      <c r="B942" s="245"/>
      <c r="C942" s="246"/>
      <c r="D942" s="37"/>
      <c r="E942" s="246"/>
      <c r="F942" s="247"/>
      <c r="G942" s="245"/>
      <c r="H942" s="246"/>
      <c r="I942" s="247"/>
      <c r="J942" s="37"/>
      <c r="K942" s="248"/>
      <c r="L942" s="248"/>
      <c r="M942" s="248"/>
      <c r="N942" s="248"/>
      <c r="O942" s="248"/>
      <c r="P942" s="249"/>
      <c r="Q942" s="250"/>
      <c r="R942" s="37"/>
      <c r="S942" s="37"/>
      <c r="T942" s="204"/>
      <c r="U942" s="37"/>
      <c r="V942" s="37"/>
      <c r="W942" s="37"/>
    </row>
    <row r="943" spans="1:23" ht="15.75" customHeight="1" x14ac:dyDescent="0.25">
      <c r="A943" s="244"/>
      <c r="B943" s="245"/>
      <c r="C943" s="246"/>
      <c r="D943" s="37"/>
      <c r="E943" s="246"/>
      <c r="F943" s="247"/>
      <c r="G943" s="245"/>
      <c r="H943" s="246"/>
      <c r="I943" s="247"/>
      <c r="J943" s="37"/>
      <c r="K943" s="248"/>
      <c r="L943" s="248"/>
      <c r="M943" s="248"/>
      <c r="N943" s="248"/>
      <c r="O943" s="248"/>
      <c r="P943" s="249"/>
      <c r="Q943" s="250"/>
      <c r="R943" s="37"/>
      <c r="S943" s="37"/>
      <c r="T943" s="204"/>
      <c r="U943" s="37"/>
      <c r="V943" s="37"/>
      <c r="W943" s="37"/>
    </row>
    <row r="944" spans="1:23" ht="15.75" customHeight="1" x14ac:dyDescent="0.25">
      <c r="A944" s="244"/>
      <c r="B944" s="245"/>
      <c r="C944" s="246"/>
      <c r="D944" s="37"/>
      <c r="E944" s="246"/>
      <c r="F944" s="247"/>
      <c r="G944" s="245"/>
      <c r="H944" s="246"/>
      <c r="I944" s="247"/>
      <c r="J944" s="37"/>
      <c r="K944" s="248"/>
      <c r="L944" s="248"/>
      <c r="M944" s="248"/>
      <c r="N944" s="248"/>
      <c r="O944" s="248"/>
      <c r="P944" s="249"/>
      <c r="Q944" s="250"/>
      <c r="R944" s="37"/>
      <c r="S944" s="37"/>
      <c r="T944" s="204"/>
      <c r="U944" s="37"/>
      <c r="V944" s="37"/>
      <c r="W944" s="37"/>
    </row>
    <row r="945" spans="1:23" ht="15.75" customHeight="1" x14ac:dyDescent="0.25">
      <c r="A945" s="244"/>
      <c r="B945" s="245"/>
      <c r="C945" s="246"/>
      <c r="D945" s="37"/>
      <c r="E945" s="246"/>
      <c r="F945" s="247"/>
      <c r="G945" s="245"/>
      <c r="H945" s="246"/>
      <c r="I945" s="247"/>
      <c r="J945" s="37"/>
      <c r="K945" s="248"/>
      <c r="L945" s="248"/>
      <c r="M945" s="248"/>
      <c r="N945" s="248"/>
      <c r="O945" s="248"/>
      <c r="P945" s="249"/>
      <c r="Q945" s="250"/>
      <c r="R945" s="37"/>
      <c r="S945" s="37"/>
      <c r="T945" s="204"/>
      <c r="U945" s="37"/>
      <c r="V945" s="37"/>
      <c r="W945" s="37"/>
    </row>
    <row r="946" spans="1:23" ht="15.75" customHeight="1" x14ac:dyDescent="0.25">
      <c r="A946" s="244"/>
      <c r="B946" s="245"/>
      <c r="C946" s="246"/>
      <c r="D946" s="37"/>
      <c r="E946" s="246"/>
      <c r="F946" s="247"/>
      <c r="G946" s="245"/>
      <c r="H946" s="246"/>
      <c r="I946" s="247"/>
      <c r="J946" s="37"/>
      <c r="K946" s="248"/>
      <c r="L946" s="248"/>
      <c r="M946" s="248"/>
      <c r="N946" s="248"/>
      <c r="O946" s="248"/>
      <c r="P946" s="249"/>
      <c r="Q946" s="250"/>
      <c r="R946" s="37"/>
      <c r="S946" s="37"/>
      <c r="T946" s="204"/>
      <c r="U946" s="37"/>
      <c r="V946" s="37"/>
      <c r="W946" s="37"/>
    </row>
    <row r="947" spans="1:23" ht="15.75" customHeight="1" x14ac:dyDescent="0.25">
      <c r="A947" s="244"/>
      <c r="B947" s="245"/>
      <c r="C947" s="246"/>
      <c r="D947" s="37"/>
      <c r="E947" s="246"/>
      <c r="F947" s="247"/>
      <c r="G947" s="245"/>
      <c r="H947" s="246"/>
      <c r="I947" s="247"/>
      <c r="J947" s="37"/>
      <c r="K947" s="248"/>
      <c r="L947" s="248"/>
      <c r="M947" s="248"/>
      <c r="N947" s="248"/>
      <c r="O947" s="248"/>
      <c r="P947" s="249"/>
      <c r="Q947" s="250"/>
      <c r="R947" s="37"/>
      <c r="S947" s="37"/>
      <c r="T947" s="204"/>
      <c r="U947" s="37"/>
      <c r="V947" s="37"/>
      <c r="W947" s="37"/>
    </row>
    <row r="948" spans="1:23" ht="15.75" customHeight="1" x14ac:dyDescent="0.25">
      <c r="A948" s="244"/>
      <c r="B948" s="245"/>
      <c r="C948" s="246"/>
      <c r="D948" s="37"/>
      <c r="E948" s="246"/>
      <c r="F948" s="247"/>
      <c r="G948" s="245"/>
      <c r="H948" s="246"/>
      <c r="I948" s="247"/>
      <c r="J948" s="37"/>
      <c r="K948" s="248"/>
      <c r="L948" s="248"/>
      <c r="M948" s="248"/>
      <c r="N948" s="248"/>
      <c r="O948" s="248"/>
      <c r="P948" s="249"/>
      <c r="Q948" s="250"/>
      <c r="R948" s="37"/>
      <c r="S948" s="37"/>
      <c r="T948" s="204"/>
      <c r="U948" s="37"/>
      <c r="V948" s="37"/>
      <c r="W948" s="37"/>
    </row>
    <row r="949" spans="1:23" ht="15.75" customHeight="1" x14ac:dyDescent="0.25">
      <c r="A949" s="244"/>
      <c r="B949" s="245"/>
      <c r="C949" s="246"/>
      <c r="D949" s="37"/>
      <c r="E949" s="246"/>
      <c r="F949" s="247"/>
      <c r="G949" s="245"/>
      <c r="H949" s="246"/>
      <c r="I949" s="247"/>
      <c r="J949" s="37"/>
      <c r="K949" s="248"/>
      <c r="L949" s="248"/>
      <c r="M949" s="248"/>
      <c r="N949" s="248"/>
      <c r="O949" s="248"/>
      <c r="P949" s="249"/>
      <c r="Q949" s="250"/>
      <c r="R949" s="37"/>
      <c r="S949" s="37"/>
      <c r="T949" s="204"/>
      <c r="U949" s="37"/>
      <c r="V949" s="37"/>
      <c r="W949" s="37"/>
    </row>
    <row r="950" spans="1:23" ht="15.75" customHeight="1" x14ac:dyDescent="0.25">
      <c r="A950" s="244"/>
      <c r="B950" s="245"/>
      <c r="C950" s="246"/>
      <c r="D950" s="37"/>
      <c r="E950" s="246"/>
      <c r="F950" s="247"/>
      <c r="G950" s="245"/>
      <c r="H950" s="246"/>
      <c r="I950" s="247"/>
      <c r="J950" s="37"/>
      <c r="K950" s="248"/>
      <c r="L950" s="248"/>
      <c r="M950" s="248"/>
      <c r="N950" s="248"/>
      <c r="O950" s="248"/>
      <c r="P950" s="249"/>
      <c r="Q950" s="250"/>
      <c r="R950" s="37"/>
      <c r="S950" s="37"/>
      <c r="T950" s="204"/>
      <c r="U950" s="37"/>
      <c r="V950" s="37"/>
      <c r="W950" s="37"/>
    </row>
    <row r="951" spans="1:23" ht="15.75" customHeight="1" x14ac:dyDescent="0.25">
      <c r="A951" s="244"/>
      <c r="B951" s="245"/>
      <c r="C951" s="246"/>
      <c r="D951" s="37"/>
      <c r="E951" s="246"/>
      <c r="F951" s="247"/>
      <c r="G951" s="245"/>
      <c r="H951" s="246"/>
      <c r="I951" s="247"/>
      <c r="J951" s="37"/>
      <c r="K951" s="248"/>
      <c r="L951" s="248"/>
      <c r="M951" s="248"/>
      <c r="N951" s="248"/>
      <c r="O951" s="248"/>
      <c r="P951" s="249"/>
      <c r="Q951" s="250"/>
      <c r="R951" s="37"/>
      <c r="S951" s="37"/>
      <c r="T951" s="204"/>
      <c r="U951" s="37"/>
      <c r="V951" s="37"/>
      <c r="W951" s="37"/>
    </row>
    <row r="952" spans="1:23" ht="15.75" customHeight="1" x14ac:dyDescent="0.25">
      <c r="A952" s="244"/>
      <c r="B952" s="245"/>
      <c r="C952" s="246"/>
      <c r="D952" s="37"/>
      <c r="E952" s="246"/>
      <c r="F952" s="247"/>
      <c r="G952" s="245"/>
      <c r="H952" s="246"/>
      <c r="I952" s="247"/>
      <c r="J952" s="37"/>
      <c r="K952" s="248"/>
      <c r="L952" s="248"/>
      <c r="M952" s="248"/>
      <c r="N952" s="248"/>
      <c r="O952" s="248"/>
      <c r="P952" s="249"/>
      <c r="Q952" s="250"/>
      <c r="R952" s="37"/>
      <c r="S952" s="37"/>
      <c r="T952" s="204"/>
      <c r="U952" s="37"/>
      <c r="V952" s="37"/>
      <c r="W952" s="37"/>
    </row>
    <row r="953" spans="1:23" ht="15.75" customHeight="1" x14ac:dyDescent="0.25">
      <c r="A953" s="244"/>
      <c r="B953" s="245"/>
      <c r="C953" s="246"/>
      <c r="D953" s="37"/>
      <c r="E953" s="246"/>
      <c r="F953" s="247"/>
      <c r="G953" s="245"/>
      <c r="H953" s="246"/>
      <c r="I953" s="247"/>
      <c r="J953" s="37"/>
      <c r="K953" s="248"/>
      <c r="L953" s="248"/>
      <c r="M953" s="248"/>
      <c r="N953" s="248"/>
      <c r="O953" s="248"/>
      <c r="P953" s="249"/>
      <c r="Q953" s="250"/>
      <c r="R953" s="37"/>
      <c r="S953" s="37"/>
      <c r="T953" s="204"/>
      <c r="U953" s="37"/>
      <c r="V953" s="37"/>
      <c r="W953" s="37"/>
    </row>
    <row r="954" spans="1:23" ht="15.75" customHeight="1" x14ac:dyDescent="0.25">
      <c r="A954" s="244"/>
      <c r="B954" s="245"/>
      <c r="C954" s="246"/>
      <c r="D954" s="37"/>
      <c r="E954" s="246"/>
      <c r="F954" s="247"/>
      <c r="G954" s="245"/>
      <c r="H954" s="246"/>
      <c r="I954" s="247"/>
      <c r="J954" s="37"/>
      <c r="K954" s="248"/>
      <c r="L954" s="248"/>
      <c r="M954" s="248"/>
      <c r="N954" s="248"/>
      <c r="O954" s="248"/>
      <c r="P954" s="249"/>
      <c r="Q954" s="250"/>
      <c r="R954" s="37"/>
      <c r="S954" s="37"/>
      <c r="T954" s="204"/>
      <c r="U954" s="37"/>
      <c r="V954" s="37"/>
      <c r="W954" s="37"/>
    </row>
    <row r="955" spans="1:23" ht="15.75" customHeight="1" x14ac:dyDescent="0.25">
      <c r="A955" s="244"/>
      <c r="B955" s="245"/>
      <c r="C955" s="246"/>
      <c r="D955" s="37"/>
      <c r="E955" s="246"/>
      <c r="F955" s="247"/>
      <c r="G955" s="245"/>
      <c r="H955" s="246"/>
      <c r="I955" s="247"/>
      <c r="J955" s="37"/>
      <c r="K955" s="248"/>
      <c r="L955" s="248"/>
      <c r="M955" s="248"/>
      <c r="N955" s="248"/>
      <c r="O955" s="248"/>
      <c r="P955" s="249"/>
      <c r="Q955" s="250"/>
      <c r="R955" s="37"/>
      <c r="S955" s="37"/>
      <c r="T955" s="204"/>
      <c r="U955" s="37"/>
      <c r="V955" s="37"/>
      <c r="W955" s="37"/>
    </row>
    <row r="956" spans="1:23" ht="15.75" customHeight="1" x14ac:dyDescent="0.25">
      <c r="A956" s="244"/>
      <c r="B956" s="245"/>
      <c r="C956" s="246"/>
      <c r="D956" s="37"/>
      <c r="E956" s="246"/>
      <c r="F956" s="247"/>
      <c r="G956" s="245"/>
      <c r="H956" s="246"/>
      <c r="I956" s="247"/>
      <c r="J956" s="37"/>
      <c r="K956" s="248"/>
      <c r="L956" s="248"/>
      <c r="M956" s="248"/>
      <c r="N956" s="248"/>
      <c r="O956" s="248"/>
      <c r="P956" s="249"/>
      <c r="Q956" s="250"/>
      <c r="R956" s="37"/>
      <c r="S956" s="37"/>
      <c r="T956" s="204"/>
      <c r="U956" s="37"/>
      <c r="V956" s="37"/>
      <c r="W956" s="37"/>
    </row>
    <row r="957" spans="1:23" ht="15.75" customHeight="1" x14ac:dyDescent="0.25">
      <c r="A957" s="244"/>
      <c r="B957" s="245"/>
      <c r="C957" s="246"/>
      <c r="D957" s="37"/>
      <c r="E957" s="246"/>
      <c r="F957" s="247"/>
      <c r="G957" s="245"/>
      <c r="H957" s="246"/>
      <c r="I957" s="247"/>
      <c r="J957" s="37"/>
      <c r="K957" s="248"/>
      <c r="L957" s="248"/>
      <c r="M957" s="248"/>
      <c r="N957" s="248"/>
      <c r="O957" s="248"/>
      <c r="P957" s="249"/>
      <c r="Q957" s="250"/>
      <c r="R957" s="37"/>
      <c r="S957" s="37"/>
      <c r="T957" s="204"/>
      <c r="U957" s="37"/>
      <c r="V957" s="37"/>
      <c r="W957" s="37"/>
    </row>
    <row r="958" spans="1:23" ht="15.75" customHeight="1" x14ac:dyDescent="0.25">
      <c r="A958" s="244"/>
      <c r="B958" s="245"/>
      <c r="C958" s="246"/>
      <c r="D958" s="37"/>
      <c r="E958" s="246"/>
      <c r="F958" s="247"/>
      <c r="G958" s="245"/>
      <c r="H958" s="246"/>
      <c r="I958" s="247"/>
      <c r="J958" s="37"/>
      <c r="K958" s="248"/>
      <c r="L958" s="248"/>
      <c r="M958" s="248"/>
      <c r="N958" s="248"/>
      <c r="O958" s="248"/>
      <c r="P958" s="249"/>
      <c r="Q958" s="250"/>
      <c r="R958" s="37"/>
      <c r="S958" s="37"/>
      <c r="T958" s="204"/>
      <c r="U958" s="37"/>
      <c r="V958" s="37"/>
      <c r="W958" s="37"/>
    </row>
    <row r="959" spans="1:23" ht="15.75" customHeight="1" x14ac:dyDescent="0.25">
      <c r="A959" s="244"/>
      <c r="B959" s="245"/>
      <c r="C959" s="246"/>
      <c r="D959" s="37"/>
      <c r="E959" s="246"/>
      <c r="F959" s="247"/>
      <c r="G959" s="245"/>
      <c r="H959" s="246"/>
      <c r="I959" s="247"/>
      <c r="J959" s="37"/>
      <c r="K959" s="248"/>
      <c r="L959" s="248"/>
      <c r="M959" s="248"/>
      <c r="N959" s="248"/>
      <c r="O959" s="248"/>
      <c r="P959" s="249"/>
      <c r="Q959" s="250"/>
      <c r="R959" s="37"/>
      <c r="S959" s="37"/>
      <c r="T959" s="204"/>
      <c r="U959" s="37"/>
      <c r="V959" s="37"/>
      <c r="W959" s="37"/>
    </row>
    <row r="960" spans="1:23" ht="15.75" customHeight="1" x14ac:dyDescent="0.25">
      <c r="A960" s="244"/>
      <c r="B960" s="245"/>
      <c r="C960" s="246"/>
      <c r="D960" s="37"/>
      <c r="E960" s="246"/>
      <c r="F960" s="247"/>
      <c r="G960" s="245"/>
      <c r="H960" s="246"/>
      <c r="I960" s="247"/>
      <c r="J960" s="37"/>
      <c r="K960" s="248"/>
      <c r="L960" s="248"/>
      <c r="M960" s="248"/>
      <c r="N960" s="248"/>
      <c r="O960" s="248"/>
      <c r="P960" s="249"/>
      <c r="Q960" s="250"/>
      <c r="R960" s="37"/>
      <c r="S960" s="37"/>
      <c r="T960" s="204"/>
      <c r="U960" s="37"/>
      <c r="V960" s="37"/>
      <c r="W960" s="37"/>
    </row>
    <row r="961" spans="1:23" ht="15.75" customHeight="1" x14ac:dyDescent="0.25">
      <c r="A961" s="244"/>
      <c r="B961" s="245"/>
      <c r="C961" s="246"/>
      <c r="D961" s="37"/>
      <c r="E961" s="246"/>
      <c r="F961" s="247"/>
      <c r="G961" s="245"/>
      <c r="H961" s="246"/>
      <c r="I961" s="247"/>
      <c r="J961" s="37"/>
      <c r="K961" s="248"/>
      <c r="L961" s="248"/>
      <c r="M961" s="248"/>
      <c r="N961" s="248"/>
      <c r="O961" s="248"/>
      <c r="P961" s="249"/>
      <c r="Q961" s="250"/>
      <c r="R961" s="37"/>
      <c r="S961" s="37"/>
      <c r="T961" s="204"/>
      <c r="U961" s="37"/>
      <c r="V961" s="37"/>
      <c r="W961" s="37"/>
    </row>
    <row r="962" spans="1:23" ht="15.75" customHeight="1" x14ac:dyDescent="0.25">
      <c r="A962" s="244"/>
      <c r="B962" s="245"/>
      <c r="C962" s="246"/>
      <c r="D962" s="37"/>
      <c r="E962" s="246"/>
      <c r="F962" s="247"/>
      <c r="G962" s="245"/>
      <c r="H962" s="246"/>
      <c r="I962" s="247"/>
      <c r="J962" s="37"/>
      <c r="K962" s="248"/>
      <c r="L962" s="248"/>
      <c r="M962" s="248"/>
      <c r="N962" s="248"/>
      <c r="O962" s="248"/>
      <c r="P962" s="249"/>
      <c r="Q962" s="250"/>
      <c r="R962" s="37"/>
      <c r="S962" s="37"/>
      <c r="T962" s="204"/>
      <c r="U962" s="37"/>
      <c r="V962" s="37"/>
      <c r="W962" s="37"/>
    </row>
    <row r="963" spans="1:23" ht="15.75" customHeight="1" x14ac:dyDescent="0.25">
      <c r="A963" s="244"/>
      <c r="B963" s="245"/>
      <c r="C963" s="246"/>
      <c r="D963" s="37"/>
      <c r="E963" s="246"/>
      <c r="F963" s="247"/>
      <c r="G963" s="245"/>
      <c r="H963" s="246"/>
      <c r="I963" s="247"/>
      <c r="J963" s="37"/>
      <c r="K963" s="248"/>
      <c r="L963" s="248"/>
      <c r="M963" s="248"/>
      <c r="N963" s="248"/>
      <c r="O963" s="248"/>
      <c r="P963" s="249"/>
      <c r="Q963" s="250"/>
      <c r="R963" s="37"/>
      <c r="S963" s="37"/>
      <c r="T963" s="204"/>
      <c r="U963" s="37"/>
      <c r="V963" s="37"/>
      <c r="W963" s="37"/>
    </row>
    <row r="964" spans="1:23" ht="15.75" customHeight="1" x14ac:dyDescent="0.25">
      <c r="A964" s="244"/>
      <c r="B964" s="245"/>
      <c r="C964" s="246"/>
      <c r="D964" s="37"/>
      <c r="E964" s="246"/>
      <c r="F964" s="247"/>
      <c r="G964" s="245"/>
      <c r="H964" s="246"/>
      <c r="I964" s="247"/>
      <c r="J964" s="37"/>
      <c r="K964" s="248"/>
      <c r="L964" s="248"/>
      <c r="M964" s="248"/>
      <c r="N964" s="248"/>
      <c r="O964" s="248"/>
      <c r="P964" s="249"/>
      <c r="Q964" s="250"/>
      <c r="R964" s="37"/>
      <c r="S964" s="37"/>
      <c r="T964" s="204"/>
      <c r="U964" s="37"/>
      <c r="V964" s="37"/>
      <c r="W964" s="37"/>
    </row>
    <row r="965" spans="1:23" ht="15.75" customHeight="1" x14ac:dyDescent="0.25">
      <c r="A965" s="244"/>
      <c r="B965" s="245"/>
      <c r="C965" s="246"/>
      <c r="D965" s="37"/>
      <c r="E965" s="246"/>
      <c r="F965" s="247"/>
      <c r="G965" s="245"/>
      <c r="H965" s="246"/>
      <c r="I965" s="247"/>
      <c r="J965" s="37"/>
      <c r="K965" s="248"/>
      <c r="L965" s="248"/>
      <c r="M965" s="248"/>
      <c r="N965" s="248"/>
      <c r="O965" s="248"/>
      <c r="P965" s="249"/>
      <c r="Q965" s="250"/>
      <c r="R965" s="37"/>
      <c r="S965" s="37"/>
      <c r="T965" s="204"/>
      <c r="U965" s="37"/>
      <c r="V965" s="37"/>
      <c r="W965" s="37"/>
    </row>
    <row r="966" spans="1:23" ht="15.75" customHeight="1" x14ac:dyDescent="0.25">
      <c r="A966" s="244"/>
      <c r="B966" s="245"/>
      <c r="C966" s="246"/>
      <c r="D966" s="37"/>
      <c r="E966" s="246"/>
      <c r="F966" s="247"/>
      <c r="G966" s="245"/>
      <c r="H966" s="246"/>
      <c r="I966" s="247"/>
      <c r="J966" s="37"/>
      <c r="K966" s="248"/>
      <c r="L966" s="248"/>
      <c r="M966" s="248"/>
      <c r="N966" s="248"/>
      <c r="O966" s="248"/>
      <c r="P966" s="249"/>
      <c r="Q966" s="250"/>
      <c r="R966" s="37"/>
      <c r="S966" s="37"/>
      <c r="T966" s="204"/>
      <c r="U966" s="37"/>
      <c r="V966" s="37"/>
      <c r="W966" s="37"/>
    </row>
    <row r="967" spans="1:23" ht="15.75" customHeight="1" x14ac:dyDescent="0.25">
      <c r="A967" s="244"/>
      <c r="B967" s="245"/>
      <c r="C967" s="246"/>
      <c r="D967" s="37"/>
      <c r="E967" s="246"/>
      <c r="F967" s="247"/>
      <c r="G967" s="245"/>
      <c r="H967" s="246"/>
      <c r="I967" s="247"/>
      <c r="J967" s="37"/>
      <c r="K967" s="248"/>
      <c r="L967" s="248"/>
      <c r="M967" s="248"/>
      <c r="N967" s="248"/>
      <c r="O967" s="248"/>
      <c r="P967" s="249"/>
      <c r="Q967" s="250"/>
      <c r="R967" s="37"/>
      <c r="S967" s="37"/>
      <c r="T967" s="204"/>
      <c r="U967" s="37"/>
      <c r="V967" s="37"/>
      <c r="W967" s="37"/>
    </row>
    <row r="968" spans="1:23" ht="15.75" customHeight="1" x14ac:dyDescent="0.25">
      <c r="A968" s="244"/>
      <c r="B968" s="245"/>
      <c r="C968" s="246"/>
      <c r="D968" s="37"/>
      <c r="E968" s="246"/>
      <c r="F968" s="247"/>
      <c r="G968" s="245"/>
      <c r="H968" s="246"/>
      <c r="I968" s="247"/>
      <c r="J968" s="37"/>
      <c r="K968" s="248"/>
      <c r="L968" s="248"/>
      <c r="M968" s="248"/>
      <c r="N968" s="248"/>
      <c r="O968" s="248"/>
      <c r="P968" s="249"/>
      <c r="Q968" s="250"/>
      <c r="R968" s="37"/>
      <c r="S968" s="37"/>
      <c r="T968" s="204"/>
      <c r="U968" s="37"/>
      <c r="V968" s="37"/>
      <c r="W968" s="37"/>
    </row>
    <row r="969" spans="1:23" ht="15.75" customHeight="1" x14ac:dyDescent="0.25">
      <c r="A969" s="244"/>
      <c r="B969" s="245"/>
      <c r="C969" s="246"/>
      <c r="D969" s="37"/>
      <c r="E969" s="246"/>
      <c r="F969" s="247"/>
      <c r="G969" s="245"/>
      <c r="H969" s="246"/>
      <c r="I969" s="247"/>
      <c r="J969" s="37"/>
      <c r="K969" s="248"/>
      <c r="L969" s="248"/>
      <c r="M969" s="248"/>
      <c r="N969" s="248"/>
      <c r="O969" s="248"/>
      <c r="P969" s="249"/>
      <c r="Q969" s="250"/>
      <c r="R969" s="37"/>
      <c r="S969" s="37"/>
      <c r="T969" s="204"/>
      <c r="U969" s="37"/>
      <c r="V969" s="37"/>
      <c r="W969" s="37"/>
    </row>
    <row r="970" spans="1:23" ht="15.75" customHeight="1" x14ac:dyDescent="0.25">
      <c r="A970" s="244"/>
      <c r="B970" s="245"/>
      <c r="C970" s="246"/>
      <c r="D970" s="37"/>
      <c r="E970" s="246"/>
      <c r="F970" s="247"/>
      <c r="G970" s="245"/>
      <c r="H970" s="246"/>
      <c r="I970" s="247"/>
      <c r="J970" s="37"/>
      <c r="K970" s="248"/>
      <c r="L970" s="248"/>
      <c r="M970" s="248"/>
      <c r="N970" s="248"/>
      <c r="O970" s="248"/>
      <c r="P970" s="249"/>
      <c r="Q970" s="250"/>
      <c r="R970" s="37"/>
      <c r="S970" s="37"/>
      <c r="T970" s="204"/>
      <c r="U970" s="37"/>
      <c r="V970" s="37"/>
      <c r="W970" s="37"/>
    </row>
    <row r="971" spans="1:23" ht="15.75" customHeight="1" x14ac:dyDescent="0.25">
      <c r="A971" s="244"/>
      <c r="B971" s="245"/>
      <c r="C971" s="246"/>
      <c r="D971" s="37"/>
      <c r="E971" s="246"/>
      <c r="F971" s="247"/>
      <c r="G971" s="245"/>
      <c r="H971" s="246"/>
      <c r="I971" s="247"/>
      <c r="J971" s="37"/>
      <c r="K971" s="248"/>
      <c r="L971" s="248"/>
      <c r="M971" s="248"/>
      <c r="N971" s="248"/>
      <c r="O971" s="248"/>
      <c r="P971" s="249"/>
      <c r="Q971" s="250"/>
      <c r="R971" s="37"/>
      <c r="S971" s="37"/>
      <c r="T971" s="204"/>
      <c r="U971" s="37"/>
      <c r="V971" s="37"/>
      <c r="W971" s="37"/>
    </row>
    <row r="972" spans="1:23" ht="15.75" customHeight="1" x14ac:dyDescent="0.25">
      <c r="A972" s="244"/>
      <c r="B972" s="245"/>
      <c r="C972" s="246"/>
      <c r="D972" s="37"/>
      <c r="E972" s="246"/>
      <c r="F972" s="247"/>
      <c r="G972" s="245"/>
      <c r="H972" s="246"/>
      <c r="I972" s="247"/>
      <c r="J972" s="37"/>
      <c r="K972" s="248"/>
      <c r="L972" s="248"/>
      <c r="M972" s="248"/>
      <c r="N972" s="248"/>
      <c r="O972" s="248"/>
      <c r="P972" s="249"/>
      <c r="Q972" s="250"/>
      <c r="R972" s="37"/>
      <c r="S972" s="37"/>
      <c r="T972" s="204"/>
      <c r="U972" s="37"/>
      <c r="V972" s="37"/>
      <c r="W972" s="37"/>
    </row>
    <row r="973" spans="1:23" ht="15.75" customHeight="1" x14ac:dyDescent="0.25">
      <c r="A973" s="244"/>
      <c r="B973" s="245"/>
      <c r="C973" s="246"/>
      <c r="D973" s="37"/>
      <c r="E973" s="246"/>
      <c r="F973" s="247"/>
      <c r="G973" s="245"/>
      <c r="H973" s="246"/>
      <c r="I973" s="247"/>
      <c r="J973" s="37"/>
      <c r="K973" s="248"/>
      <c r="L973" s="248"/>
      <c r="M973" s="248"/>
      <c r="N973" s="248"/>
      <c r="O973" s="248"/>
      <c r="P973" s="249"/>
      <c r="Q973" s="250"/>
      <c r="R973" s="37"/>
      <c r="S973" s="37"/>
      <c r="T973" s="204"/>
      <c r="U973" s="37"/>
      <c r="V973" s="37"/>
      <c r="W973" s="37"/>
    </row>
    <row r="974" spans="1:23" ht="15.75" customHeight="1" x14ac:dyDescent="0.25">
      <c r="A974" s="244"/>
      <c r="B974" s="245"/>
      <c r="C974" s="246"/>
      <c r="D974" s="37"/>
      <c r="E974" s="246"/>
      <c r="F974" s="247"/>
      <c r="G974" s="245"/>
      <c r="H974" s="246"/>
      <c r="I974" s="247"/>
      <c r="J974" s="37"/>
      <c r="K974" s="248"/>
      <c r="L974" s="248"/>
      <c r="M974" s="248"/>
      <c r="N974" s="248"/>
      <c r="O974" s="248"/>
      <c r="P974" s="249"/>
      <c r="Q974" s="250"/>
      <c r="R974" s="37"/>
      <c r="S974" s="37"/>
      <c r="T974" s="204"/>
      <c r="U974" s="37"/>
      <c r="V974" s="37"/>
      <c r="W974" s="37"/>
    </row>
    <row r="975" spans="1:23" ht="15.75" customHeight="1" x14ac:dyDescent="0.25">
      <c r="A975" s="244"/>
      <c r="B975" s="245"/>
      <c r="C975" s="246"/>
      <c r="D975" s="37"/>
      <c r="E975" s="246"/>
      <c r="F975" s="247"/>
      <c r="G975" s="245"/>
      <c r="H975" s="246"/>
      <c r="I975" s="247"/>
      <c r="J975" s="37"/>
      <c r="K975" s="248"/>
      <c r="L975" s="248"/>
      <c r="M975" s="248"/>
      <c r="N975" s="248"/>
      <c r="O975" s="248"/>
      <c r="P975" s="249"/>
      <c r="Q975" s="250"/>
      <c r="R975" s="37"/>
      <c r="S975" s="37"/>
      <c r="T975" s="204"/>
      <c r="U975" s="37"/>
      <c r="V975" s="37"/>
      <c r="W975" s="37"/>
    </row>
    <row r="976" spans="1:23" ht="15.75" customHeight="1" x14ac:dyDescent="0.25">
      <c r="A976" s="244"/>
      <c r="B976" s="245"/>
      <c r="C976" s="246"/>
      <c r="D976" s="37"/>
      <c r="E976" s="246"/>
      <c r="F976" s="247"/>
      <c r="G976" s="245"/>
      <c r="H976" s="246"/>
      <c r="I976" s="247"/>
      <c r="J976" s="37"/>
      <c r="K976" s="248"/>
      <c r="L976" s="248"/>
      <c r="M976" s="248"/>
      <c r="N976" s="248"/>
      <c r="O976" s="248"/>
      <c r="P976" s="249"/>
      <c r="Q976" s="250"/>
      <c r="R976" s="37"/>
      <c r="S976" s="37"/>
      <c r="T976" s="204"/>
      <c r="U976" s="37"/>
      <c r="V976" s="37"/>
      <c r="W976" s="37"/>
    </row>
    <row r="977" spans="1:23" ht="15.75" customHeight="1" x14ac:dyDescent="0.25">
      <c r="A977" s="244"/>
      <c r="B977" s="245"/>
      <c r="C977" s="246"/>
      <c r="D977" s="37"/>
      <c r="E977" s="246"/>
      <c r="F977" s="247"/>
      <c r="G977" s="245"/>
      <c r="H977" s="246"/>
      <c r="I977" s="247"/>
      <c r="J977" s="37"/>
      <c r="K977" s="248"/>
      <c r="L977" s="248"/>
      <c r="M977" s="248"/>
      <c r="N977" s="248"/>
      <c r="O977" s="248"/>
      <c r="P977" s="249"/>
      <c r="Q977" s="250"/>
      <c r="R977" s="37"/>
      <c r="S977" s="37"/>
      <c r="T977" s="204"/>
      <c r="U977" s="37"/>
      <c r="V977" s="37"/>
      <c r="W977" s="37"/>
    </row>
    <row r="978" spans="1:23" ht="15.75" customHeight="1" x14ac:dyDescent="0.25">
      <c r="A978" s="244"/>
      <c r="B978" s="245"/>
      <c r="C978" s="246"/>
      <c r="D978" s="37"/>
      <c r="E978" s="246"/>
      <c r="F978" s="247"/>
      <c r="G978" s="245"/>
      <c r="H978" s="246"/>
      <c r="I978" s="247"/>
      <c r="J978" s="37"/>
      <c r="K978" s="248"/>
      <c r="L978" s="248"/>
      <c r="M978" s="248"/>
      <c r="N978" s="248"/>
      <c r="O978" s="248"/>
      <c r="P978" s="249"/>
      <c r="Q978" s="250"/>
      <c r="R978" s="37"/>
      <c r="S978" s="37"/>
      <c r="T978" s="204"/>
      <c r="U978" s="37"/>
      <c r="V978" s="37"/>
      <c r="W978" s="37"/>
    </row>
    <row r="979" spans="1:23" ht="15.75" customHeight="1" x14ac:dyDescent="0.25">
      <c r="A979" s="244"/>
      <c r="B979" s="245"/>
      <c r="C979" s="246"/>
      <c r="D979" s="37"/>
      <c r="E979" s="246"/>
      <c r="F979" s="247"/>
      <c r="G979" s="245"/>
      <c r="H979" s="246"/>
      <c r="I979" s="247"/>
      <c r="J979" s="37"/>
      <c r="K979" s="248"/>
      <c r="L979" s="248"/>
      <c r="M979" s="248"/>
      <c r="N979" s="248"/>
      <c r="O979" s="248"/>
      <c r="P979" s="249"/>
      <c r="Q979" s="250"/>
      <c r="R979" s="37"/>
      <c r="S979" s="37"/>
      <c r="T979" s="204"/>
      <c r="U979" s="37"/>
      <c r="V979" s="37"/>
      <c r="W979" s="37"/>
    </row>
    <row r="980" spans="1:23" ht="15.75" customHeight="1" x14ac:dyDescent="0.25">
      <c r="A980" s="244"/>
      <c r="B980" s="245"/>
      <c r="C980" s="246"/>
      <c r="D980" s="37"/>
      <c r="E980" s="246"/>
      <c r="F980" s="247"/>
      <c r="G980" s="245"/>
      <c r="H980" s="246"/>
      <c r="I980" s="247"/>
      <c r="J980" s="37"/>
      <c r="K980" s="248"/>
      <c r="L980" s="248"/>
      <c r="M980" s="248"/>
      <c r="N980" s="248"/>
      <c r="O980" s="248"/>
      <c r="P980" s="249"/>
      <c r="Q980" s="250"/>
      <c r="R980" s="37"/>
      <c r="S980" s="37"/>
      <c r="T980" s="204"/>
      <c r="U980" s="37"/>
      <c r="V980" s="37"/>
      <c r="W980" s="37"/>
    </row>
    <row r="981" spans="1:23" ht="15.75" customHeight="1" x14ac:dyDescent="0.25">
      <c r="A981" s="244"/>
      <c r="B981" s="245"/>
      <c r="C981" s="246"/>
      <c r="D981" s="37"/>
      <c r="E981" s="246"/>
      <c r="F981" s="247"/>
      <c r="G981" s="245"/>
      <c r="H981" s="246"/>
      <c r="I981" s="247"/>
      <c r="J981" s="37"/>
      <c r="K981" s="248"/>
      <c r="L981" s="248"/>
      <c r="M981" s="248"/>
      <c r="N981" s="248"/>
      <c r="O981" s="248"/>
      <c r="P981" s="249"/>
      <c r="Q981" s="250"/>
      <c r="R981" s="37"/>
      <c r="S981" s="37"/>
      <c r="T981" s="204"/>
      <c r="U981" s="37"/>
      <c r="V981" s="37"/>
      <c r="W981" s="37"/>
    </row>
    <row r="982" spans="1:23" ht="15.75" customHeight="1" x14ac:dyDescent="0.25">
      <c r="A982" s="244"/>
      <c r="B982" s="245"/>
      <c r="C982" s="246"/>
      <c r="D982" s="37"/>
      <c r="E982" s="246"/>
      <c r="F982" s="247"/>
      <c r="G982" s="245"/>
      <c r="H982" s="246"/>
      <c r="I982" s="247"/>
      <c r="J982" s="37"/>
      <c r="K982" s="248"/>
      <c r="L982" s="248"/>
      <c r="M982" s="248"/>
      <c r="N982" s="248"/>
      <c r="O982" s="248"/>
      <c r="P982" s="249"/>
      <c r="Q982" s="250"/>
      <c r="R982" s="37"/>
      <c r="S982" s="37"/>
      <c r="T982" s="204"/>
      <c r="U982" s="37"/>
      <c r="V982" s="37"/>
      <c r="W982" s="37"/>
    </row>
    <row r="983" spans="1:23" ht="15.75" customHeight="1" x14ac:dyDescent="0.25">
      <c r="A983" s="244"/>
      <c r="B983" s="245"/>
      <c r="C983" s="246"/>
      <c r="D983" s="37"/>
      <c r="E983" s="246"/>
      <c r="F983" s="247"/>
      <c r="G983" s="245"/>
      <c r="H983" s="246"/>
      <c r="I983" s="247"/>
      <c r="J983" s="37"/>
      <c r="K983" s="248"/>
      <c r="L983" s="248"/>
      <c r="M983" s="248"/>
      <c r="N983" s="248"/>
      <c r="O983" s="248"/>
      <c r="P983" s="249"/>
      <c r="Q983" s="250"/>
      <c r="R983" s="37"/>
      <c r="S983" s="37"/>
      <c r="T983" s="204"/>
      <c r="U983" s="37"/>
      <c r="V983" s="37"/>
      <c r="W983" s="37"/>
    </row>
    <row r="984" spans="1:23" ht="15.75" customHeight="1" x14ac:dyDescent="0.25">
      <c r="A984" s="244"/>
      <c r="B984" s="245"/>
      <c r="C984" s="246"/>
      <c r="D984" s="37"/>
      <c r="E984" s="246"/>
      <c r="F984" s="247"/>
      <c r="G984" s="245"/>
      <c r="H984" s="246"/>
      <c r="I984" s="247"/>
      <c r="J984" s="37"/>
      <c r="K984" s="248"/>
      <c r="L984" s="248"/>
      <c r="M984" s="248"/>
      <c r="N984" s="248"/>
      <c r="O984" s="248"/>
      <c r="P984" s="249"/>
      <c r="Q984" s="250"/>
      <c r="R984" s="37"/>
      <c r="S984" s="37"/>
      <c r="T984" s="204"/>
      <c r="U984" s="37"/>
      <c r="V984" s="37"/>
      <c r="W984" s="37"/>
    </row>
    <row r="985" spans="1:23" ht="15.75" customHeight="1" x14ac:dyDescent="0.25">
      <c r="A985" s="244"/>
      <c r="B985" s="245"/>
      <c r="C985" s="246"/>
      <c r="D985" s="37"/>
      <c r="E985" s="246"/>
      <c r="F985" s="247"/>
      <c r="G985" s="245"/>
      <c r="H985" s="246"/>
      <c r="I985" s="247"/>
      <c r="J985" s="37"/>
      <c r="K985" s="248"/>
      <c r="L985" s="248"/>
      <c r="M985" s="248"/>
      <c r="N985" s="248"/>
      <c r="O985" s="248"/>
      <c r="P985" s="249"/>
      <c r="Q985" s="250"/>
      <c r="R985" s="37"/>
      <c r="S985" s="37"/>
      <c r="T985" s="204"/>
      <c r="U985" s="37"/>
      <c r="V985" s="37"/>
      <c r="W985" s="37"/>
    </row>
    <row r="986" spans="1:23" ht="15.75" customHeight="1" x14ac:dyDescent="0.25">
      <c r="A986" s="244"/>
      <c r="B986" s="245"/>
      <c r="C986" s="246"/>
      <c r="D986" s="37"/>
      <c r="E986" s="246"/>
      <c r="F986" s="247"/>
      <c r="G986" s="245"/>
      <c r="H986" s="246"/>
      <c r="I986" s="247"/>
      <c r="J986" s="37"/>
      <c r="K986" s="248"/>
      <c r="L986" s="248"/>
      <c r="M986" s="248"/>
      <c r="N986" s="248"/>
      <c r="O986" s="248"/>
      <c r="P986" s="249"/>
      <c r="Q986" s="250"/>
      <c r="R986" s="37"/>
      <c r="S986" s="37"/>
      <c r="T986" s="204"/>
      <c r="U986" s="37"/>
      <c r="V986" s="37"/>
      <c r="W986" s="37"/>
    </row>
    <row r="987" spans="1:23" ht="15.75" customHeight="1" x14ac:dyDescent="0.25">
      <c r="A987" s="244"/>
      <c r="B987" s="245"/>
      <c r="C987" s="246"/>
      <c r="D987" s="37"/>
      <c r="E987" s="246"/>
      <c r="F987" s="247"/>
      <c r="G987" s="245"/>
      <c r="H987" s="246"/>
      <c r="I987" s="247"/>
      <c r="J987" s="37"/>
      <c r="K987" s="248"/>
      <c r="L987" s="248"/>
      <c r="M987" s="248"/>
      <c r="N987" s="248"/>
      <c r="O987" s="248"/>
      <c r="P987" s="249"/>
      <c r="Q987" s="250"/>
      <c r="R987" s="37"/>
      <c r="S987" s="37"/>
      <c r="T987" s="204"/>
      <c r="U987" s="37"/>
      <c r="V987" s="37"/>
      <c r="W987" s="37"/>
    </row>
    <row r="988" spans="1:23" ht="15.75" customHeight="1" x14ac:dyDescent="0.25">
      <c r="A988" s="244"/>
      <c r="B988" s="245"/>
      <c r="C988" s="246"/>
      <c r="D988" s="37"/>
      <c r="E988" s="246"/>
      <c r="F988" s="247"/>
      <c r="G988" s="245"/>
      <c r="H988" s="246"/>
      <c r="I988" s="247"/>
      <c r="J988" s="37"/>
      <c r="K988" s="248"/>
      <c r="L988" s="248"/>
      <c r="M988" s="248"/>
      <c r="N988" s="248"/>
      <c r="O988" s="248"/>
      <c r="P988" s="249"/>
      <c r="Q988" s="250"/>
      <c r="R988" s="37"/>
      <c r="S988" s="37"/>
      <c r="T988" s="204"/>
      <c r="U988" s="37"/>
      <c r="V988" s="37"/>
      <c r="W988" s="37"/>
    </row>
    <row r="989" spans="1:23" ht="15.75" customHeight="1" x14ac:dyDescent="0.25">
      <c r="A989" s="244"/>
      <c r="B989" s="245"/>
      <c r="C989" s="246"/>
      <c r="D989" s="37"/>
      <c r="E989" s="246"/>
      <c r="F989" s="247"/>
      <c r="G989" s="245"/>
      <c r="H989" s="246"/>
      <c r="I989" s="247"/>
      <c r="J989" s="37"/>
      <c r="K989" s="248"/>
      <c r="L989" s="248"/>
      <c r="M989" s="248"/>
      <c r="N989" s="248"/>
      <c r="O989" s="248"/>
      <c r="P989" s="249"/>
      <c r="Q989" s="250"/>
      <c r="R989" s="37"/>
      <c r="S989" s="37"/>
      <c r="T989" s="204"/>
      <c r="U989" s="37"/>
      <c r="V989" s="37"/>
      <c r="W989" s="37"/>
    </row>
    <row r="990" spans="1:23" ht="15.75" customHeight="1" x14ac:dyDescent="0.25">
      <c r="A990" s="244"/>
      <c r="B990" s="245"/>
      <c r="C990" s="246"/>
      <c r="D990" s="37"/>
      <c r="E990" s="246"/>
      <c r="F990" s="247"/>
      <c r="G990" s="245"/>
      <c r="H990" s="246"/>
      <c r="I990" s="247"/>
      <c r="J990" s="37"/>
      <c r="K990" s="248"/>
      <c r="L990" s="248"/>
      <c r="M990" s="248"/>
      <c r="N990" s="248"/>
      <c r="O990" s="248"/>
      <c r="P990" s="249"/>
      <c r="Q990" s="250"/>
      <c r="R990" s="37"/>
      <c r="S990" s="37"/>
      <c r="T990" s="204"/>
      <c r="U990" s="37"/>
      <c r="V990" s="37"/>
      <c r="W990" s="37"/>
    </row>
    <row r="991" spans="1:23" ht="15.75" customHeight="1" x14ac:dyDescent="0.25">
      <c r="A991" s="244"/>
      <c r="B991" s="245"/>
      <c r="C991" s="246"/>
      <c r="D991" s="37"/>
      <c r="E991" s="246"/>
      <c r="F991" s="247"/>
      <c r="G991" s="245"/>
      <c r="H991" s="246"/>
      <c r="I991" s="247"/>
      <c r="J991" s="37"/>
      <c r="K991" s="248"/>
      <c r="L991" s="248"/>
      <c r="M991" s="248"/>
      <c r="N991" s="248"/>
      <c r="O991" s="248"/>
      <c r="P991" s="249"/>
      <c r="Q991" s="250"/>
      <c r="R991" s="37"/>
      <c r="S991" s="37"/>
      <c r="T991" s="204"/>
      <c r="U991" s="37"/>
      <c r="V991" s="37"/>
      <c r="W991" s="37"/>
    </row>
  </sheetData>
  <mergeCells count="2">
    <mergeCell ref="T25:T26"/>
    <mergeCell ref="T38:T4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7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125" customWidth="1"/>
    <col min="2" max="2" width="12.125" customWidth="1"/>
    <col min="3" max="3" width="12.5" customWidth="1"/>
    <col min="4" max="4" width="12" customWidth="1"/>
    <col min="5" max="5" width="12.125" customWidth="1"/>
    <col min="6" max="6" width="8.75" customWidth="1"/>
    <col min="7" max="8" width="7.125" customWidth="1"/>
    <col min="9" max="9" width="24" customWidth="1"/>
    <col min="10" max="20" width="11.125" customWidth="1"/>
  </cols>
  <sheetData>
    <row r="1" spans="1:9" ht="27.75" customHeight="1" x14ac:dyDescent="0.25">
      <c r="A1" s="251" t="s">
        <v>0</v>
      </c>
      <c r="B1" s="251" t="s">
        <v>468</v>
      </c>
      <c r="C1" s="252" t="s">
        <v>469</v>
      </c>
      <c r="D1" s="251" t="s">
        <v>470</v>
      </c>
      <c r="E1" s="252" t="s">
        <v>471</v>
      </c>
      <c r="F1" s="253" t="s">
        <v>472</v>
      </c>
      <c r="G1" s="254" t="s">
        <v>13</v>
      </c>
      <c r="H1" s="254" t="s">
        <v>14</v>
      </c>
      <c r="I1" s="254" t="s">
        <v>15</v>
      </c>
    </row>
    <row r="2" spans="1:9" ht="15.75" x14ac:dyDescent="0.25">
      <c r="A2" s="107" t="s">
        <v>473</v>
      </c>
      <c r="B2" s="19">
        <v>45708</v>
      </c>
      <c r="C2" s="20">
        <v>0.33819444444444446</v>
      </c>
      <c r="D2" s="239">
        <v>45709</v>
      </c>
      <c r="E2" s="54">
        <v>0.49652777777777779</v>
      </c>
      <c r="F2" s="90">
        <v>0.15</v>
      </c>
      <c r="G2" s="34" t="s">
        <v>19</v>
      </c>
      <c r="H2" s="34" t="s">
        <v>474</v>
      </c>
      <c r="I2" s="255"/>
    </row>
    <row r="3" spans="1:9" ht="15.75" x14ac:dyDescent="0.25">
      <c r="A3" s="107" t="s">
        <v>475</v>
      </c>
      <c r="B3" s="19">
        <v>45708</v>
      </c>
      <c r="C3" s="20">
        <v>0.3576388888888889</v>
      </c>
      <c r="D3" s="239">
        <v>45709</v>
      </c>
      <c r="E3" s="54">
        <v>0.49722222222222223</v>
      </c>
      <c r="F3" s="90">
        <v>0.18</v>
      </c>
      <c r="G3" s="34" t="s">
        <v>19</v>
      </c>
      <c r="H3" s="34" t="s">
        <v>474</v>
      </c>
      <c r="I3" s="255"/>
    </row>
    <row r="4" spans="1:9" ht="15.75" x14ac:dyDescent="0.25">
      <c r="A4" s="107" t="s">
        <v>476</v>
      </c>
      <c r="B4" s="19">
        <v>45708</v>
      </c>
      <c r="C4" s="20">
        <v>0.43055555555555558</v>
      </c>
      <c r="D4" s="239">
        <v>45709</v>
      </c>
      <c r="E4" s="54">
        <v>0.49791666666666667</v>
      </c>
      <c r="F4" s="90">
        <v>0.06</v>
      </c>
      <c r="G4" s="34" t="s">
        <v>19</v>
      </c>
      <c r="H4" s="34" t="s">
        <v>474</v>
      </c>
      <c r="I4" s="255"/>
    </row>
    <row r="5" spans="1:9" ht="15.75" x14ac:dyDescent="0.25">
      <c r="A5" s="107" t="s">
        <v>477</v>
      </c>
      <c r="B5" s="19">
        <v>45708</v>
      </c>
      <c r="C5" s="20">
        <v>0.44583333333333336</v>
      </c>
      <c r="D5" s="239">
        <v>45709</v>
      </c>
      <c r="E5" s="54">
        <v>0.49930555555555556</v>
      </c>
      <c r="F5" s="90">
        <v>0.08</v>
      </c>
      <c r="G5" s="34" t="s">
        <v>19</v>
      </c>
      <c r="H5" s="34" t="s">
        <v>474</v>
      </c>
      <c r="I5" s="255"/>
    </row>
    <row r="6" spans="1:9" ht="15.75" x14ac:dyDescent="0.25">
      <c r="A6" s="107" t="s">
        <v>478</v>
      </c>
      <c r="B6" s="239">
        <v>45709</v>
      </c>
      <c r="C6" s="20">
        <v>0.32291666666666669</v>
      </c>
      <c r="D6" s="239">
        <v>45709</v>
      </c>
      <c r="E6" s="54">
        <v>0.67291666666666672</v>
      </c>
      <c r="F6" s="221">
        <v>0.46</v>
      </c>
      <c r="G6" s="34" t="s">
        <v>19</v>
      </c>
      <c r="H6" s="34" t="s">
        <v>474</v>
      </c>
      <c r="I6" s="255"/>
    </row>
    <row r="7" spans="1:9" ht="15.75" x14ac:dyDescent="0.25">
      <c r="A7" s="107" t="s">
        <v>479</v>
      </c>
      <c r="B7" s="239">
        <v>45709</v>
      </c>
      <c r="C7" s="20">
        <v>0.34027777777777779</v>
      </c>
      <c r="D7" s="239">
        <v>45709</v>
      </c>
      <c r="E7" s="54">
        <v>0.67222222222222228</v>
      </c>
      <c r="F7" s="90">
        <v>0.02</v>
      </c>
      <c r="G7" s="34" t="s">
        <v>19</v>
      </c>
      <c r="H7" s="34" t="s">
        <v>474</v>
      </c>
      <c r="I7" s="255"/>
    </row>
    <row r="8" spans="1:9" ht="15.75" x14ac:dyDescent="0.25">
      <c r="A8" s="107" t="s">
        <v>480</v>
      </c>
      <c r="B8" s="239">
        <v>45709</v>
      </c>
      <c r="C8" s="20">
        <v>0.35833333333333334</v>
      </c>
      <c r="D8" s="239">
        <v>45709</v>
      </c>
      <c r="E8" s="54">
        <v>0.17152777777777778</v>
      </c>
      <c r="F8" s="90">
        <v>0.15</v>
      </c>
      <c r="G8" s="34" t="s">
        <v>19</v>
      </c>
      <c r="H8" s="34" t="s">
        <v>474</v>
      </c>
      <c r="I8" s="255"/>
    </row>
    <row r="9" spans="1:9" ht="15.75" x14ac:dyDescent="0.25">
      <c r="A9" s="107" t="s">
        <v>481</v>
      </c>
      <c r="B9" s="239">
        <v>45709</v>
      </c>
      <c r="C9" s="20">
        <v>0.40763888888888888</v>
      </c>
      <c r="D9" s="239">
        <v>45709</v>
      </c>
      <c r="E9" s="54">
        <v>0.67361111111111116</v>
      </c>
      <c r="F9" s="90">
        <v>0.26</v>
      </c>
      <c r="G9" s="34" t="s">
        <v>19</v>
      </c>
      <c r="H9" s="34" t="s">
        <v>474</v>
      </c>
      <c r="I9" s="255"/>
    </row>
    <row r="10" spans="1:9" ht="15.75" x14ac:dyDescent="0.25">
      <c r="A10" s="107" t="s">
        <v>482</v>
      </c>
      <c r="B10" s="239">
        <v>45709</v>
      </c>
      <c r="C10" s="20">
        <v>0.42708333333333331</v>
      </c>
      <c r="D10" s="239">
        <v>45709</v>
      </c>
      <c r="E10" s="20">
        <v>0.67500000000000004</v>
      </c>
      <c r="F10" s="90">
        <v>0.13</v>
      </c>
      <c r="G10" s="34" t="s">
        <v>19</v>
      </c>
      <c r="H10" s="34" t="s">
        <v>474</v>
      </c>
      <c r="I10" s="255"/>
    </row>
    <row r="11" spans="1:9" ht="15.75" x14ac:dyDescent="0.25">
      <c r="A11" s="107" t="s">
        <v>483</v>
      </c>
      <c r="B11" s="239">
        <v>45709</v>
      </c>
      <c r="C11" s="20">
        <v>0.44097222222222221</v>
      </c>
      <c r="D11" s="239">
        <v>45709</v>
      </c>
      <c r="E11" s="54">
        <v>0.66805555555555551</v>
      </c>
      <c r="F11" s="90">
        <v>0.22</v>
      </c>
      <c r="G11" s="34" t="s">
        <v>19</v>
      </c>
      <c r="H11" s="34" t="s">
        <v>474</v>
      </c>
      <c r="I11" s="255"/>
    </row>
    <row r="12" spans="1:9" ht="15.75" x14ac:dyDescent="0.25">
      <c r="A12" s="107" t="s">
        <v>484</v>
      </c>
      <c r="B12" s="239">
        <v>45709</v>
      </c>
      <c r="C12" s="20">
        <v>0.46736111111111112</v>
      </c>
      <c r="D12" s="239">
        <v>45709</v>
      </c>
      <c r="E12" s="54">
        <v>0.17083333333333334</v>
      </c>
      <c r="F12" s="90">
        <v>0.13</v>
      </c>
      <c r="G12" s="34" t="s">
        <v>19</v>
      </c>
      <c r="H12" s="34" t="s">
        <v>474</v>
      </c>
      <c r="I12" s="255"/>
    </row>
    <row r="13" spans="1:9" ht="15.75" x14ac:dyDescent="0.25">
      <c r="A13" s="107" t="s">
        <v>485</v>
      </c>
      <c r="B13" s="239">
        <v>45709</v>
      </c>
      <c r="C13" s="20">
        <v>0.48402777777777778</v>
      </c>
      <c r="D13" s="239">
        <v>45709</v>
      </c>
      <c r="E13" s="28">
        <v>0.17569444444444443</v>
      </c>
      <c r="F13" s="90">
        <v>0.3</v>
      </c>
      <c r="G13" s="34" t="s">
        <v>19</v>
      </c>
      <c r="H13" s="34" t="s">
        <v>474</v>
      </c>
      <c r="I13" s="255"/>
    </row>
    <row r="14" spans="1:9" ht="15.75" x14ac:dyDescent="0.25">
      <c r="A14" s="107" t="s">
        <v>486</v>
      </c>
      <c r="B14" s="239">
        <v>45719</v>
      </c>
      <c r="C14" s="20">
        <v>0.36249999999999999</v>
      </c>
      <c r="D14" s="239">
        <v>45720</v>
      </c>
      <c r="E14" s="28">
        <v>0.84236111111111112</v>
      </c>
      <c r="F14" s="90">
        <v>0.01</v>
      </c>
      <c r="G14" s="34" t="s">
        <v>19</v>
      </c>
      <c r="H14" s="34" t="s">
        <v>20</v>
      </c>
      <c r="I14" s="255"/>
    </row>
    <row r="15" spans="1:9" ht="15.75" x14ac:dyDescent="0.25">
      <c r="A15" s="107" t="s">
        <v>487</v>
      </c>
      <c r="B15" s="239">
        <v>45719</v>
      </c>
      <c r="C15" s="53">
        <v>0.42916666666666664</v>
      </c>
      <c r="D15" s="24">
        <v>45720</v>
      </c>
      <c r="E15" s="20">
        <v>0.84305555555555556</v>
      </c>
      <c r="F15" s="96">
        <v>0.09</v>
      </c>
      <c r="G15" s="34" t="s">
        <v>19</v>
      </c>
      <c r="H15" s="34" t="s">
        <v>20</v>
      </c>
      <c r="I15" s="255"/>
    </row>
    <row r="16" spans="1:9" ht="15.75" x14ac:dyDescent="0.25">
      <c r="A16" s="107" t="s">
        <v>488</v>
      </c>
      <c r="B16" s="239">
        <v>45719</v>
      </c>
      <c r="C16" s="20">
        <v>0.46458333333333335</v>
      </c>
      <c r="D16" s="24">
        <v>45720</v>
      </c>
      <c r="E16" s="20">
        <v>0.84444444444444444</v>
      </c>
      <c r="F16" s="96">
        <v>0.66</v>
      </c>
      <c r="G16" s="34" t="s">
        <v>19</v>
      </c>
      <c r="H16" s="34" t="s">
        <v>20</v>
      </c>
      <c r="I16" s="255"/>
    </row>
    <row r="17" spans="1:9" ht="15.75" x14ac:dyDescent="0.25">
      <c r="A17" s="107" t="s">
        <v>489</v>
      </c>
      <c r="B17" s="239">
        <v>45719</v>
      </c>
      <c r="C17" s="20">
        <v>0.51944444444444449</v>
      </c>
      <c r="D17" s="24">
        <v>45720</v>
      </c>
      <c r="E17" s="20">
        <v>0.84375</v>
      </c>
      <c r="F17" s="96">
        <v>0.21</v>
      </c>
      <c r="G17" s="34" t="s">
        <v>19</v>
      </c>
      <c r="H17" s="34" t="s">
        <v>20</v>
      </c>
      <c r="I17" s="255"/>
    </row>
    <row r="18" spans="1:9" ht="15.75" x14ac:dyDescent="0.25">
      <c r="A18" s="107" t="s">
        <v>490</v>
      </c>
      <c r="B18" s="239">
        <v>45720</v>
      </c>
      <c r="C18" s="20">
        <v>0.33958333333333335</v>
      </c>
      <c r="D18" s="24">
        <v>45720</v>
      </c>
      <c r="E18" s="20">
        <v>0.84166666666666667</v>
      </c>
      <c r="F18" s="96">
        <v>7.0000000000000007E-2</v>
      </c>
      <c r="G18" s="34" t="s">
        <v>19</v>
      </c>
      <c r="H18" s="34" t="s">
        <v>20</v>
      </c>
      <c r="I18" s="255"/>
    </row>
    <row r="19" spans="1:9" ht="15.75" x14ac:dyDescent="0.25">
      <c r="A19" s="107" t="s">
        <v>491</v>
      </c>
      <c r="B19" s="239">
        <v>45720</v>
      </c>
      <c r="C19" s="20">
        <v>0.37152777777777779</v>
      </c>
      <c r="D19" s="24">
        <v>45720</v>
      </c>
      <c r="E19" s="20">
        <v>0.84583333333333333</v>
      </c>
      <c r="F19" s="96">
        <v>0.28000000000000003</v>
      </c>
      <c r="G19" s="34" t="s">
        <v>19</v>
      </c>
      <c r="H19" s="34" t="s">
        <v>20</v>
      </c>
      <c r="I19" s="255"/>
    </row>
    <row r="20" spans="1:9" ht="15.75" x14ac:dyDescent="0.25">
      <c r="A20" s="107" t="s">
        <v>492</v>
      </c>
      <c r="B20" s="239">
        <v>45720</v>
      </c>
      <c r="C20" s="54">
        <v>0.39374999999999999</v>
      </c>
      <c r="D20" s="24">
        <v>45720</v>
      </c>
      <c r="E20" s="20">
        <v>0.84652777777777777</v>
      </c>
      <c r="F20" s="256">
        <v>0.14000000000000001</v>
      </c>
      <c r="G20" s="34" t="s">
        <v>19</v>
      </c>
      <c r="H20" s="34" t="s">
        <v>20</v>
      </c>
      <c r="I20" s="255"/>
    </row>
    <row r="21" spans="1:9" ht="15.75" x14ac:dyDescent="0.25">
      <c r="A21" s="107" t="s">
        <v>493</v>
      </c>
      <c r="B21" s="24">
        <v>45720</v>
      </c>
      <c r="C21" s="20">
        <v>0.44513888888888886</v>
      </c>
      <c r="D21" s="24">
        <v>45720</v>
      </c>
      <c r="E21" s="20">
        <v>0.84652777777777777</v>
      </c>
      <c r="F21" s="96">
        <v>0.12</v>
      </c>
      <c r="G21" s="34" t="s">
        <v>19</v>
      </c>
      <c r="H21" s="34" t="s">
        <v>20</v>
      </c>
      <c r="I21" s="255"/>
    </row>
    <row r="22" spans="1:9" ht="15.75" x14ac:dyDescent="0.25">
      <c r="A22" s="107" t="s">
        <v>494</v>
      </c>
      <c r="B22" s="24">
        <v>45720</v>
      </c>
      <c r="C22" s="20">
        <v>0.47430555555555554</v>
      </c>
      <c r="D22" s="24">
        <v>45720</v>
      </c>
      <c r="E22" s="20">
        <v>0.84722222222222221</v>
      </c>
      <c r="F22" s="96">
        <v>0.2</v>
      </c>
      <c r="G22" s="34" t="s">
        <v>19</v>
      </c>
      <c r="H22" s="34" t="s">
        <v>20</v>
      </c>
      <c r="I22" s="255"/>
    </row>
    <row r="23" spans="1:9" ht="15.75" x14ac:dyDescent="0.25">
      <c r="A23" s="107" t="s">
        <v>495</v>
      </c>
      <c r="B23" s="24">
        <v>45720</v>
      </c>
      <c r="C23" s="20">
        <v>0.50486111111111109</v>
      </c>
      <c r="D23" s="24">
        <v>45721</v>
      </c>
      <c r="E23" s="20">
        <v>0.43055555555555558</v>
      </c>
      <c r="F23" s="96">
        <v>0.1</v>
      </c>
      <c r="G23" s="34" t="s">
        <v>19</v>
      </c>
      <c r="H23" s="34" t="s">
        <v>496</v>
      </c>
      <c r="I23" s="255"/>
    </row>
    <row r="24" spans="1:9" ht="15.75" x14ac:dyDescent="0.25">
      <c r="A24" s="107" t="s">
        <v>497</v>
      </c>
      <c r="B24" s="24">
        <v>45722</v>
      </c>
      <c r="C24" s="20">
        <v>0.32291666666666669</v>
      </c>
      <c r="D24" s="24">
        <v>45722</v>
      </c>
      <c r="E24" s="20">
        <v>0.68819444444444444</v>
      </c>
      <c r="F24" s="96">
        <v>0.31</v>
      </c>
      <c r="G24" s="34" t="s">
        <v>19</v>
      </c>
      <c r="H24" s="34" t="s">
        <v>498</v>
      </c>
      <c r="I24" s="255"/>
    </row>
    <row r="25" spans="1:9" ht="15.75" x14ac:dyDescent="0.25">
      <c r="A25" s="107" t="s">
        <v>499</v>
      </c>
      <c r="B25" s="24">
        <v>45722</v>
      </c>
      <c r="C25" s="20">
        <v>0.34930555555555554</v>
      </c>
      <c r="D25" s="24">
        <v>45722</v>
      </c>
      <c r="E25" s="20">
        <v>0.68958333333333333</v>
      </c>
      <c r="F25" s="96">
        <v>1.05</v>
      </c>
      <c r="G25" s="34" t="s">
        <v>19</v>
      </c>
      <c r="H25" s="34" t="s">
        <v>498</v>
      </c>
      <c r="I25" s="255"/>
    </row>
    <row r="26" spans="1:9" ht="15.75" x14ac:dyDescent="0.25">
      <c r="A26" s="107" t="s">
        <v>500</v>
      </c>
      <c r="B26" s="24">
        <v>45722</v>
      </c>
      <c r="C26" s="20">
        <v>0.39513888888888887</v>
      </c>
      <c r="D26" s="24">
        <v>45722</v>
      </c>
      <c r="E26" s="20">
        <v>0.69027777777777777</v>
      </c>
      <c r="F26" s="96">
        <v>0.21</v>
      </c>
      <c r="G26" s="34" t="s">
        <v>19</v>
      </c>
      <c r="H26" s="34" t="s">
        <v>498</v>
      </c>
      <c r="I26" s="255"/>
    </row>
    <row r="27" spans="1:9" ht="15.75" x14ac:dyDescent="0.25">
      <c r="A27" s="107" t="s">
        <v>501</v>
      </c>
      <c r="B27" s="24">
        <v>45722</v>
      </c>
      <c r="C27" s="20">
        <v>0.4201388888888889</v>
      </c>
      <c r="D27" s="24">
        <v>45722</v>
      </c>
      <c r="E27" s="20">
        <v>0.69097222222222221</v>
      </c>
      <c r="F27" s="96">
        <v>0.35</v>
      </c>
      <c r="G27" s="34" t="s">
        <v>19</v>
      </c>
      <c r="H27" s="34" t="s">
        <v>498</v>
      </c>
      <c r="I27" s="255"/>
    </row>
    <row r="28" spans="1:9" ht="15.75" x14ac:dyDescent="0.25">
      <c r="A28" s="107" t="s">
        <v>502</v>
      </c>
      <c r="B28" s="24">
        <v>45722</v>
      </c>
      <c r="C28" s="20">
        <v>0.45902777777777776</v>
      </c>
      <c r="D28" s="24">
        <v>45722</v>
      </c>
      <c r="E28" s="20">
        <v>0.69166666666666665</v>
      </c>
      <c r="F28" s="221">
        <v>0.05</v>
      </c>
      <c r="G28" s="34" t="s">
        <v>19</v>
      </c>
      <c r="H28" s="34" t="s">
        <v>498</v>
      </c>
      <c r="I28" s="255"/>
    </row>
    <row r="29" spans="1:9" ht="15.75" x14ac:dyDescent="0.25">
      <c r="A29" s="107" t="s">
        <v>503</v>
      </c>
      <c r="B29" s="24">
        <v>45722</v>
      </c>
      <c r="C29" s="20">
        <v>0.47430555555555554</v>
      </c>
      <c r="D29" s="24">
        <v>45722</v>
      </c>
      <c r="E29" s="20">
        <v>0.69236111111111109</v>
      </c>
      <c r="F29" s="221">
        <v>0.55000000000000004</v>
      </c>
      <c r="G29" s="34" t="s">
        <v>19</v>
      </c>
      <c r="H29" s="34" t="s">
        <v>498</v>
      </c>
      <c r="I29" s="255"/>
    </row>
    <row r="30" spans="1:9" ht="15.75" x14ac:dyDescent="0.25">
      <c r="A30" s="107" t="s">
        <v>504</v>
      </c>
      <c r="B30" s="24">
        <v>45722</v>
      </c>
      <c r="C30" s="54">
        <v>0.49027777777777776</v>
      </c>
      <c r="D30" s="24">
        <v>45722</v>
      </c>
      <c r="E30" s="20">
        <v>0.69305555555555554</v>
      </c>
      <c r="F30" s="221">
        <v>0.38</v>
      </c>
      <c r="G30" s="34" t="s">
        <v>19</v>
      </c>
      <c r="H30" s="34" t="s">
        <v>498</v>
      </c>
      <c r="I30" s="255"/>
    </row>
    <row r="31" spans="1:9" ht="15.75" x14ac:dyDescent="0.25">
      <c r="A31" s="107" t="s">
        <v>505</v>
      </c>
      <c r="B31" s="24">
        <v>45726</v>
      </c>
      <c r="C31" s="59">
        <v>0.3</v>
      </c>
      <c r="D31" s="24">
        <v>45726</v>
      </c>
      <c r="E31" s="20">
        <v>0.74375000000000002</v>
      </c>
      <c r="F31" s="221">
        <v>0.39</v>
      </c>
      <c r="G31" s="34" t="s">
        <v>19</v>
      </c>
      <c r="H31" s="34" t="s">
        <v>20</v>
      </c>
      <c r="I31" s="255"/>
    </row>
    <row r="32" spans="1:9" ht="15.75" x14ac:dyDescent="0.25">
      <c r="A32" s="107" t="s">
        <v>506</v>
      </c>
      <c r="B32" s="24">
        <v>45726</v>
      </c>
      <c r="C32" s="59">
        <v>0.34513888888888888</v>
      </c>
      <c r="D32" s="24">
        <v>45726</v>
      </c>
      <c r="E32" s="20">
        <v>0.74513888888888891</v>
      </c>
      <c r="F32" s="221">
        <v>1.1399999999999999</v>
      </c>
      <c r="G32" s="34" t="s">
        <v>19</v>
      </c>
      <c r="H32" s="34" t="s">
        <v>20</v>
      </c>
      <c r="I32" s="255"/>
    </row>
    <row r="33" spans="1:20" ht="15.75" x14ac:dyDescent="0.25">
      <c r="A33" s="107" t="s">
        <v>507</v>
      </c>
      <c r="B33" s="24">
        <v>45726</v>
      </c>
      <c r="C33" s="59">
        <v>0.38055555555555554</v>
      </c>
      <c r="D33" s="24">
        <v>45726</v>
      </c>
      <c r="E33" s="20">
        <v>0.74583333333333335</v>
      </c>
      <c r="F33" s="257">
        <v>0.9</v>
      </c>
      <c r="G33" s="34" t="s">
        <v>19</v>
      </c>
      <c r="H33" s="34" t="s">
        <v>20</v>
      </c>
      <c r="I33" s="229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spans="1:20" ht="15.75" x14ac:dyDescent="0.25">
      <c r="A34" s="107" t="s">
        <v>508</v>
      </c>
      <c r="B34" s="24">
        <v>45726</v>
      </c>
      <c r="C34" s="59">
        <v>0.39513888888888887</v>
      </c>
      <c r="D34" s="24">
        <v>45726</v>
      </c>
      <c r="E34" s="20">
        <v>0.74652777777777779</v>
      </c>
      <c r="F34" s="257">
        <v>0.68</v>
      </c>
      <c r="G34" s="34" t="s">
        <v>19</v>
      </c>
      <c r="H34" s="34" t="s">
        <v>20</v>
      </c>
      <c r="I34" s="229"/>
    </row>
    <row r="35" spans="1:20" ht="15.75" x14ac:dyDescent="0.25">
      <c r="A35" s="107" t="s">
        <v>509</v>
      </c>
      <c r="B35" s="24">
        <v>45726</v>
      </c>
      <c r="C35" s="20">
        <v>0.41458333333333336</v>
      </c>
      <c r="D35" s="24">
        <v>45726</v>
      </c>
      <c r="E35" s="20">
        <v>0.74722222222222223</v>
      </c>
      <c r="F35" s="257">
        <v>0</v>
      </c>
      <c r="G35" s="34" t="s">
        <v>19</v>
      </c>
      <c r="H35" s="34" t="s">
        <v>20</v>
      </c>
      <c r="I35" s="229"/>
    </row>
    <row r="36" spans="1:20" ht="15.75" x14ac:dyDescent="0.25">
      <c r="A36" s="107" t="s">
        <v>510</v>
      </c>
      <c r="B36" s="24">
        <v>45726</v>
      </c>
      <c r="C36" s="20">
        <v>0.43402777777777779</v>
      </c>
      <c r="D36" s="24">
        <v>45726</v>
      </c>
      <c r="E36" s="20">
        <v>0.74861111111111112</v>
      </c>
      <c r="F36" s="257">
        <v>0.01</v>
      </c>
      <c r="G36" s="34" t="s">
        <v>19</v>
      </c>
      <c r="H36" s="34" t="s">
        <v>20</v>
      </c>
      <c r="I36" s="229"/>
    </row>
    <row r="37" spans="1:20" ht="15.75" x14ac:dyDescent="0.25">
      <c r="A37" s="107" t="s">
        <v>511</v>
      </c>
      <c r="B37" s="24">
        <v>45726</v>
      </c>
      <c r="C37" s="20">
        <v>0.45</v>
      </c>
      <c r="D37" s="24">
        <v>45726</v>
      </c>
      <c r="E37" s="25">
        <v>0.75</v>
      </c>
      <c r="F37" s="257">
        <v>0.35</v>
      </c>
      <c r="G37" s="34" t="s">
        <v>19</v>
      </c>
      <c r="H37" s="34" t="s">
        <v>20</v>
      </c>
      <c r="I37" s="229"/>
    </row>
    <row r="38" spans="1:20" ht="15.75" x14ac:dyDescent="0.25">
      <c r="A38" s="107" t="s">
        <v>512</v>
      </c>
      <c r="B38" s="24">
        <v>45726</v>
      </c>
      <c r="C38" s="20">
        <v>0.46944444444444444</v>
      </c>
      <c r="D38" s="24">
        <v>45726</v>
      </c>
      <c r="E38" s="25">
        <v>0.75069444444444444</v>
      </c>
      <c r="F38" s="257">
        <v>0.1</v>
      </c>
      <c r="G38" s="34" t="s">
        <v>19</v>
      </c>
      <c r="H38" s="34" t="s">
        <v>20</v>
      </c>
      <c r="I38" s="229"/>
    </row>
    <row r="39" spans="1:20" ht="15.75" x14ac:dyDescent="0.25">
      <c r="A39" s="107" t="s">
        <v>513</v>
      </c>
      <c r="B39" s="24">
        <v>45726</v>
      </c>
      <c r="C39" s="109">
        <v>0.49722222222222223</v>
      </c>
      <c r="D39" s="24">
        <v>45726</v>
      </c>
      <c r="E39" s="25">
        <v>0.75138888888888888</v>
      </c>
      <c r="F39" s="257">
        <v>1.23</v>
      </c>
      <c r="G39" s="34" t="s">
        <v>19</v>
      </c>
      <c r="H39" s="34" t="s">
        <v>20</v>
      </c>
      <c r="I39" s="229"/>
    </row>
    <row r="40" spans="1:20" ht="15.75" x14ac:dyDescent="0.25">
      <c r="A40" s="107" t="s">
        <v>514</v>
      </c>
      <c r="B40" s="19">
        <v>45728</v>
      </c>
      <c r="C40" s="20">
        <v>0.3</v>
      </c>
      <c r="D40" s="19">
        <v>45728</v>
      </c>
      <c r="E40" s="25">
        <v>0.65763888888888888</v>
      </c>
      <c r="F40" s="257">
        <v>1</v>
      </c>
      <c r="G40" s="34" t="s">
        <v>19</v>
      </c>
      <c r="H40" s="34" t="s">
        <v>515</v>
      </c>
      <c r="I40" s="259"/>
    </row>
    <row r="41" spans="1:20" ht="15.75" x14ac:dyDescent="0.25">
      <c r="A41" s="107" t="s">
        <v>516</v>
      </c>
      <c r="B41" s="19">
        <v>45728</v>
      </c>
      <c r="C41" s="20">
        <v>0.32013888888888886</v>
      </c>
      <c r="D41" s="19">
        <v>45728</v>
      </c>
      <c r="E41" s="25">
        <v>0.65833333333333333</v>
      </c>
      <c r="F41" s="257">
        <v>1</v>
      </c>
      <c r="G41" s="34" t="s">
        <v>19</v>
      </c>
      <c r="H41" s="34" t="s">
        <v>515</v>
      </c>
      <c r="I41" s="229"/>
    </row>
    <row r="42" spans="1:20" ht="15.75" x14ac:dyDescent="0.25">
      <c r="A42" s="107" t="s">
        <v>517</v>
      </c>
      <c r="B42" s="19">
        <v>45728</v>
      </c>
      <c r="C42" s="20">
        <v>0.34236111111111112</v>
      </c>
      <c r="D42" s="19">
        <v>45728</v>
      </c>
      <c r="E42" s="25">
        <v>0.66388888888888886</v>
      </c>
      <c r="F42" s="257">
        <v>5.8000000000000003E-2</v>
      </c>
      <c r="G42" s="34" t="s">
        <v>19</v>
      </c>
      <c r="H42" s="34" t="s">
        <v>515</v>
      </c>
      <c r="I42" s="229"/>
    </row>
    <row r="43" spans="1:20" ht="15.75" x14ac:dyDescent="0.25">
      <c r="A43" s="107" t="s">
        <v>518</v>
      </c>
      <c r="B43" s="19">
        <v>45728</v>
      </c>
      <c r="C43" s="20">
        <v>0.35972222222222222</v>
      </c>
      <c r="D43" s="19">
        <v>45728</v>
      </c>
      <c r="E43" s="25">
        <v>0.6645833333333333</v>
      </c>
      <c r="F43" s="257">
        <v>5.7000000000000002E-2</v>
      </c>
      <c r="G43" s="34" t="s">
        <v>19</v>
      </c>
      <c r="H43" s="34" t="s">
        <v>515</v>
      </c>
      <c r="I43" s="259"/>
    </row>
    <row r="44" spans="1:20" ht="15.75" x14ac:dyDescent="0.25">
      <c r="A44" s="107" t="s">
        <v>519</v>
      </c>
      <c r="B44" s="19">
        <v>45728</v>
      </c>
      <c r="C44" s="260">
        <v>0.37638888888888888</v>
      </c>
      <c r="D44" s="19">
        <v>45728</v>
      </c>
      <c r="E44" s="25">
        <v>0.67152777777777772</v>
      </c>
      <c r="F44" s="257">
        <v>0.47</v>
      </c>
      <c r="G44" s="34" t="s">
        <v>19</v>
      </c>
      <c r="H44" s="34" t="s">
        <v>515</v>
      </c>
      <c r="I44" s="229"/>
    </row>
    <row r="45" spans="1:20" ht="15.75" x14ac:dyDescent="0.25">
      <c r="A45" s="107" t="s">
        <v>520</v>
      </c>
      <c r="B45" s="19">
        <v>45728</v>
      </c>
      <c r="C45" s="260">
        <v>0.38750000000000001</v>
      </c>
      <c r="D45" s="19">
        <v>45728</v>
      </c>
      <c r="E45" s="25">
        <v>0.67222222222222228</v>
      </c>
      <c r="F45" s="257">
        <v>0.47</v>
      </c>
      <c r="G45" s="34" t="s">
        <v>19</v>
      </c>
      <c r="H45" s="34" t="s">
        <v>515</v>
      </c>
      <c r="I45" s="229"/>
    </row>
    <row r="46" spans="1:20" ht="15.75" x14ac:dyDescent="0.25">
      <c r="A46" s="107" t="s">
        <v>521</v>
      </c>
      <c r="B46" s="19">
        <v>45728</v>
      </c>
      <c r="C46" s="260">
        <v>0.41041666666666665</v>
      </c>
      <c r="D46" s="19">
        <v>45728</v>
      </c>
      <c r="E46" s="25">
        <v>0.67708333333333337</v>
      </c>
      <c r="F46" s="257">
        <v>0.04</v>
      </c>
      <c r="G46" s="34" t="s">
        <v>19</v>
      </c>
      <c r="H46" s="34" t="s">
        <v>515</v>
      </c>
      <c r="I46" s="229"/>
    </row>
    <row r="47" spans="1:20" ht="15.75" x14ac:dyDescent="0.25">
      <c r="A47" s="107" t="s">
        <v>522</v>
      </c>
      <c r="B47" s="19">
        <v>45728</v>
      </c>
      <c r="C47" s="260">
        <v>0.43402777777777779</v>
      </c>
      <c r="D47" s="19">
        <v>45728</v>
      </c>
      <c r="E47" s="25">
        <v>0.6743055555555556</v>
      </c>
      <c r="F47" s="257">
        <v>0.36</v>
      </c>
      <c r="G47" s="34" t="s">
        <v>19</v>
      </c>
      <c r="H47" s="34" t="s">
        <v>515</v>
      </c>
      <c r="I47" s="229"/>
    </row>
    <row r="48" spans="1:20" ht="15.75" x14ac:dyDescent="0.25">
      <c r="A48" s="107" t="s">
        <v>523</v>
      </c>
      <c r="B48" s="19">
        <v>45728</v>
      </c>
      <c r="C48" s="260">
        <v>0.44930555555555557</v>
      </c>
      <c r="D48" s="19">
        <v>45728</v>
      </c>
      <c r="E48" s="25">
        <v>0.67777777777777781</v>
      </c>
      <c r="F48" s="257">
        <v>0.53</v>
      </c>
      <c r="G48" s="34" t="s">
        <v>19</v>
      </c>
      <c r="H48" s="34" t="s">
        <v>515</v>
      </c>
      <c r="I48" s="229"/>
    </row>
    <row r="49" spans="1:9" ht="15.75" x14ac:dyDescent="0.25">
      <c r="A49" s="107" t="s">
        <v>524</v>
      </c>
      <c r="B49" s="24">
        <v>45755</v>
      </c>
      <c r="C49" s="20">
        <v>0.34027777777777779</v>
      </c>
      <c r="D49" s="24">
        <v>45755</v>
      </c>
      <c r="E49" s="25">
        <v>0.79097222222222219</v>
      </c>
      <c r="F49" s="257">
        <v>0.04</v>
      </c>
      <c r="G49" s="34" t="s">
        <v>19</v>
      </c>
      <c r="H49" s="34" t="s">
        <v>138</v>
      </c>
      <c r="I49" s="229"/>
    </row>
    <row r="50" spans="1:9" ht="15.75" x14ac:dyDescent="0.25">
      <c r="A50" s="107" t="s">
        <v>525</v>
      </c>
      <c r="B50" s="24">
        <v>45755</v>
      </c>
      <c r="C50" s="20">
        <v>0.35625000000000001</v>
      </c>
      <c r="D50" s="24">
        <v>45755</v>
      </c>
      <c r="E50" s="25">
        <v>0.79166666666666663</v>
      </c>
      <c r="F50" s="257">
        <v>0.05</v>
      </c>
      <c r="G50" s="34" t="s">
        <v>19</v>
      </c>
      <c r="H50" s="34" t="s">
        <v>138</v>
      </c>
      <c r="I50" s="229"/>
    </row>
    <row r="51" spans="1:9" ht="15.75" x14ac:dyDescent="0.25">
      <c r="A51" s="107" t="s">
        <v>526</v>
      </c>
      <c r="B51" s="24">
        <v>45755</v>
      </c>
      <c r="C51" s="20">
        <v>0.48541666666666666</v>
      </c>
      <c r="D51" s="24">
        <v>45755</v>
      </c>
      <c r="E51" s="25">
        <v>0.79305555555555551</v>
      </c>
      <c r="F51" s="257">
        <v>0.37</v>
      </c>
      <c r="G51" s="34" t="s">
        <v>19</v>
      </c>
      <c r="H51" s="34" t="s">
        <v>138</v>
      </c>
      <c r="I51" s="229"/>
    </row>
    <row r="52" spans="1:9" ht="15.75" x14ac:dyDescent="0.25">
      <c r="A52" s="107" t="s">
        <v>527</v>
      </c>
      <c r="B52" s="24">
        <v>45755</v>
      </c>
      <c r="C52" s="20">
        <v>0.51249999999999996</v>
      </c>
      <c r="D52" s="24">
        <v>45755</v>
      </c>
      <c r="E52" s="25">
        <v>0.79513888888888884</v>
      </c>
      <c r="F52" s="257">
        <v>0.36</v>
      </c>
      <c r="G52" s="34" t="s">
        <v>19</v>
      </c>
      <c r="H52" s="34" t="s">
        <v>138</v>
      </c>
      <c r="I52" s="229"/>
    </row>
    <row r="53" spans="1:9" ht="15.75" x14ac:dyDescent="0.25">
      <c r="A53" s="43"/>
      <c r="B53" s="261"/>
      <c r="C53" s="262"/>
      <c r="E53" s="262"/>
      <c r="F53" s="263"/>
      <c r="I53" s="264"/>
    </row>
    <row r="54" spans="1:9" ht="15.75" x14ac:dyDescent="0.25">
      <c r="A54" s="43"/>
      <c r="B54" s="261"/>
      <c r="C54" s="262"/>
      <c r="E54" s="262"/>
      <c r="F54" s="263"/>
      <c r="I54" s="264"/>
    </row>
    <row r="55" spans="1:9" ht="15.75" x14ac:dyDescent="0.25">
      <c r="A55" s="43"/>
      <c r="B55" s="261"/>
      <c r="C55" s="262"/>
      <c r="E55" s="262"/>
      <c r="F55" s="263"/>
      <c r="I55" s="264"/>
    </row>
    <row r="56" spans="1:9" ht="15.75" x14ac:dyDescent="0.25">
      <c r="A56" s="43"/>
      <c r="B56" s="261"/>
      <c r="C56" s="262"/>
      <c r="E56" s="262"/>
      <c r="F56" s="263"/>
      <c r="I56" s="264"/>
    </row>
    <row r="57" spans="1:9" ht="15.75" x14ac:dyDescent="0.25">
      <c r="A57" s="43"/>
      <c r="B57" s="261"/>
      <c r="C57" s="262"/>
      <c r="E57" s="262"/>
      <c r="F57" s="263"/>
      <c r="I57" s="264"/>
    </row>
    <row r="58" spans="1:9" ht="15.75" x14ac:dyDescent="0.25">
      <c r="A58" s="43"/>
      <c r="B58" s="261"/>
      <c r="C58" s="262"/>
      <c r="E58" s="262"/>
      <c r="F58" s="263"/>
      <c r="I58" s="264"/>
    </row>
    <row r="59" spans="1:9" ht="15.75" x14ac:dyDescent="0.25">
      <c r="A59" s="43"/>
      <c r="B59" s="261"/>
      <c r="C59" s="262"/>
      <c r="E59" s="262"/>
      <c r="F59" s="263"/>
      <c r="I59" s="264"/>
    </row>
    <row r="60" spans="1:9" ht="15.75" x14ac:dyDescent="0.25">
      <c r="A60" s="43"/>
      <c r="B60" s="261"/>
      <c r="C60" s="262"/>
      <c r="E60" s="262"/>
      <c r="F60" s="263"/>
      <c r="I60" s="264"/>
    </row>
    <row r="61" spans="1:9" ht="15.75" x14ac:dyDescent="0.25">
      <c r="A61" s="43"/>
      <c r="B61" s="261"/>
      <c r="C61" s="262"/>
      <c r="E61" s="262"/>
      <c r="F61" s="263"/>
      <c r="I61" s="264"/>
    </row>
    <row r="62" spans="1:9" ht="15.75" x14ac:dyDescent="0.25">
      <c r="A62" s="43"/>
      <c r="B62" s="261"/>
      <c r="C62" s="262"/>
      <c r="E62" s="262"/>
      <c r="F62" s="263"/>
      <c r="I62" s="264"/>
    </row>
    <row r="63" spans="1:9" ht="15.75" x14ac:dyDescent="0.25">
      <c r="A63" s="43"/>
      <c r="B63" s="261"/>
      <c r="C63" s="262"/>
      <c r="E63" s="262"/>
      <c r="F63" s="263"/>
      <c r="I63" s="264"/>
    </row>
    <row r="64" spans="1:9" ht="15.75" x14ac:dyDescent="0.25">
      <c r="A64" s="43"/>
      <c r="B64" s="261"/>
      <c r="C64" s="262"/>
      <c r="E64" s="262"/>
      <c r="F64" s="263"/>
      <c r="I64" s="264"/>
    </row>
    <row r="65" spans="1:9" ht="15.75" x14ac:dyDescent="0.25">
      <c r="A65" s="43"/>
      <c r="B65" s="261"/>
      <c r="C65" s="262"/>
      <c r="E65" s="262"/>
      <c r="F65" s="263"/>
      <c r="I65" s="264"/>
    </row>
    <row r="66" spans="1:9" ht="15.75" x14ac:dyDescent="0.25">
      <c r="A66" s="43"/>
      <c r="B66" s="261"/>
      <c r="C66" s="262"/>
      <c r="E66" s="262"/>
      <c r="F66" s="263"/>
      <c r="I66" s="264"/>
    </row>
    <row r="67" spans="1:9" ht="15.75" x14ac:dyDescent="0.25">
      <c r="A67" s="43"/>
      <c r="B67" s="261"/>
      <c r="C67" s="262"/>
      <c r="E67" s="262"/>
      <c r="F67" s="263"/>
      <c r="I67" s="264"/>
    </row>
    <row r="68" spans="1:9" ht="15.75" x14ac:dyDescent="0.25">
      <c r="A68" s="43"/>
      <c r="B68" s="261"/>
      <c r="C68" s="262"/>
      <c r="E68" s="262"/>
      <c r="F68" s="263"/>
      <c r="I68" s="264"/>
    </row>
    <row r="69" spans="1:9" ht="15.75" x14ac:dyDescent="0.25">
      <c r="A69" s="43"/>
      <c r="B69" s="261"/>
      <c r="C69" s="262"/>
      <c r="E69" s="262"/>
      <c r="F69" s="263"/>
      <c r="I69" s="264"/>
    </row>
    <row r="70" spans="1:9" ht="15.75" x14ac:dyDescent="0.25">
      <c r="A70" s="43"/>
      <c r="B70" s="261"/>
      <c r="C70" s="262"/>
      <c r="E70" s="262"/>
      <c r="F70" s="263"/>
      <c r="I70" s="264"/>
    </row>
    <row r="71" spans="1:9" ht="15.75" x14ac:dyDescent="0.25">
      <c r="A71" s="43"/>
      <c r="B71" s="261"/>
      <c r="C71" s="262"/>
      <c r="E71" s="262"/>
      <c r="F71" s="263"/>
      <c r="I71" s="264"/>
    </row>
    <row r="72" spans="1:9" ht="15.75" x14ac:dyDescent="0.25">
      <c r="A72" s="43"/>
      <c r="B72" s="261"/>
      <c r="C72" s="262"/>
      <c r="E72" s="262"/>
      <c r="F72" s="263"/>
      <c r="I72" s="264"/>
    </row>
    <row r="73" spans="1:9" ht="15.75" x14ac:dyDescent="0.25">
      <c r="A73" s="43"/>
      <c r="B73" s="261"/>
      <c r="C73" s="262"/>
      <c r="E73" s="262"/>
      <c r="F73" s="263"/>
      <c r="I73" s="264"/>
    </row>
    <row r="74" spans="1:9" ht="15.75" x14ac:dyDescent="0.25">
      <c r="A74" s="43"/>
      <c r="B74" s="261"/>
      <c r="C74" s="262"/>
      <c r="E74" s="262"/>
      <c r="F74" s="263"/>
      <c r="I74" s="264"/>
    </row>
    <row r="75" spans="1:9" ht="15.75" x14ac:dyDescent="0.25">
      <c r="A75" s="43"/>
      <c r="B75" s="261"/>
      <c r="C75" s="262"/>
      <c r="E75" s="262"/>
      <c r="F75" s="263"/>
      <c r="I75" s="264"/>
    </row>
    <row r="76" spans="1:9" ht="15.75" x14ac:dyDescent="0.25">
      <c r="A76" s="43"/>
      <c r="B76" s="261"/>
      <c r="C76" s="262"/>
      <c r="E76" s="262"/>
      <c r="F76" s="263"/>
      <c r="I76" s="264"/>
    </row>
    <row r="77" spans="1:9" ht="15.75" x14ac:dyDescent="0.25">
      <c r="A77" s="43"/>
      <c r="B77" s="261"/>
      <c r="C77" s="262"/>
      <c r="E77" s="262"/>
      <c r="F77" s="263"/>
      <c r="I77" s="264"/>
    </row>
    <row r="78" spans="1:9" ht="15.75" x14ac:dyDescent="0.25">
      <c r="A78" s="43"/>
      <c r="B78" s="261"/>
      <c r="C78" s="262"/>
      <c r="E78" s="262"/>
      <c r="F78" s="263"/>
      <c r="I78" s="264"/>
    </row>
    <row r="79" spans="1:9" ht="15.75" x14ac:dyDescent="0.25">
      <c r="A79" s="43"/>
      <c r="B79" s="261"/>
      <c r="C79" s="262"/>
      <c r="E79" s="262"/>
      <c r="F79" s="263"/>
      <c r="I79" s="264"/>
    </row>
    <row r="80" spans="1:9" ht="15.75" x14ac:dyDescent="0.25">
      <c r="A80" s="43"/>
      <c r="B80" s="261"/>
      <c r="C80" s="262"/>
      <c r="E80" s="262"/>
      <c r="F80" s="263"/>
      <c r="I80" s="264"/>
    </row>
    <row r="81" spans="1:9" ht="15.75" x14ac:dyDescent="0.25">
      <c r="A81" s="43"/>
      <c r="B81" s="261"/>
      <c r="C81" s="262"/>
      <c r="E81" s="262"/>
      <c r="F81" s="263"/>
      <c r="I81" s="264"/>
    </row>
    <row r="82" spans="1:9" ht="15.75" x14ac:dyDescent="0.25">
      <c r="A82" s="43"/>
      <c r="B82" s="261"/>
      <c r="C82" s="262"/>
      <c r="E82" s="262"/>
      <c r="F82" s="263"/>
      <c r="I82" s="264"/>
    </row>
    <row r="83" spans="1:9" ht="15.75" x14ac:dyDescent="0.25">
      <c r="A83" s="43"/>
      <c r="B83" s="261"/>
      <c r="C83" s="262"/>
      <c r="E83" s="262"/>
      <c r="F83" s="263"/>
      <c r="I83" s="264"/>
    </row>
    <row r="84" spans="1:9" ht="15.75" x14ac:dyDescent="0.25">
      <c r="A84" s="43"/>
      <c r="B84" s="261"/>
      <c r="C84" s="262"/>
      <c r="E84" s="262"/>
      <c r="F84" s="263"/>
      <c r="I84" s="264"/>
    </row>
    <row r="85" spans="1:9" ht="15.75" x14ac:dyDescent="0.25">
      <c r="A85" s="43"/>
      <c r="B85" s="261"/>
      <c r="C85" s="262"/>
      <c r="E85" s="262"/>
      <c r="F85" s="263"/>
      <c r="I85" s="264"/>
    </row>
    <row r="86" spans="1:9" ht="15.75" x14ac:dyDescent="0.25">
      <c r="A86" s="43"/>
      <c r="B86" s="261"/>
      <c r="C86" s="262"/>
      <c r="E86" s="262"/>
      <c r="F86" s="263"/>
      <c r="I86" s="264"/>
    </row>
    <row r="87" spans="1:9" ht="15.75" x14ac:dyDescent="0.25">
      <c r="A87" s="43"/>
      <c r="B87" s="261"/>
      <c r="C87" s="262"/>
      <c r="E87" s="262"/>
      <c r="F87" s="263"/>
      <c r="I87" s="264"/>
    </row>
    <row r="88" spans="1:9" ht="15.75" x14ac:dyDescent="0.25">
      <c r="A88" s="43"/>
      <c r="B88" s="261"/>
      <c r="C88" s="262"/>
      <c r="E88" s="262"/>
      <c r="F88" s="263"/>
      <c r="I88" s="264"/>
    </row>
    <row r="89" spans="1:9" ht="15.75" x14ac:dyDescent="0.25">
      <c r="A89" s="43"/>
      <c r="B89" s="261"/>
      <c r="C89" s="262"/>
      <c r="E89" s="262"/>
      <c r="F89" s="263"/>
      <c r="I89" s="264"/>
    </row>
    <row r="90" spans="1:9" ht="15.75" x14ac:dyDescent="0.25">
      <c r="A90" s="43"/>
      <c r="B90" s="261"/>
      <c r="C90" s="262"/>
      <c r="E90" s="262"/>
      <c r="F90" s="263"/>
      <c r="I90" s="264"/>
    </row>
    <row r="91" spans="1:9" ht="15.75" x14ac:dyDescent="0.25">
      <c r="A91" s="43"/>
      <c r="B91" s="261"/>
      <c r="C91" s="262"/>
      <c r="E91" s="262"/>
      <c r="F91" s="263"/>
      <c r="I91" s="264"/>
    </row>
    <row r="92" spans="1:9" ht="15.75" x14ac:dyDescent="0.25">
      <c r="A92" s="43"/>
      <c r="B92" s="261"/>
      <c r="C92" s="262"/>
      <c r="E92" s="262"/>
      <c r="F92" s="263"/>
      <c r="I92" s="264"/>
    </row>
    <row r="93" spans="1:9" ht="15.75" x14ac:dyDescent="0.25">
      <c r="A93" s="43"/>
      <c r="B93" s="261"/>
      <c r="C93" s="262"/>
      <c r="E93" s="262"/>
      <c r="F93" s="263"/>
      <c r="I93" s="264"/>
    </row>
    <row r="94" spans="1:9" ht="15.75" x14ac:dyDescent="0.25">
      <c r="A94" s="43"/>
      <c r="B94" s="261"/>
      <c r="C94" s="262"/>
      <c r="E94" s="262"/>
      <c r="F94" s="263"/>
      <c r="I94" s="264"/>
    </row>
    <row r="95" spans="1:9" ht="15.75" x14ac:dyDescent="0.25">
      <c r="A95" s="43"/>
      <c r="B95" s="261"/>
      <c r="C95" s="262"/>
      <c r="E95" s="262"/>
      <c r="F95" s="263"/>
      <c r="I95" s="264"/>
    </row>
    <row r="96" spans="1:9" ht="15.75" x14ac:dyDescent="0.25">
      <c r="A96" s="43"/>
      <c r="B96" s="261"/>
      <c r="C96" s="262"/>
      <c r="E96" s="262"/>
      <c r="F96" s="263"/>
      <c r="I96" s="264"/>
    </row>
    <row r="97" spans="1:9" ht="15.75" x14ac:dyDescent="0.25">
      <c r="A97" s="43"/>
      <c r="B97" s="261"/>
      <c r="C97" s="262"/>
      <c r="E97" s="262"/>
      <c r="F97" s="263"/>
      <c r="I97" s="264"/>
    </row>
    <row r="98" spans="1:9" ht="15.75" x14ac:dyDescent="0.25">
      <c r="A98" s="43"/>
      <c r="B98" s="261"/>
      <c r="C98" s="262"/>
      <c r="E98" s="262"/>
      <c r="F98" s="263"/>
      <c r="I98" s="264"/>
    </row>
    <row r="99" spans="1:9" ht="15.75" x14ac:dyDescent="0.25">
      <c r="A99" s="43"/>
      <c r="B99" s="261"/>
      <c r="C99" s="262"/>
      <c r="E99" s="262"/>
      <c r="F99" s="263"/>
      <c r="I99" s="264"/>
    </row>
    <row r="100" spans="1:9" ht="15.75" x14ac:dyDescent="0.25">
      <c r="A100" s="43"/>
      <c r="B100" s="261"/>
      <c r="C100" s="262"/>
      <c r="E100" s="262"/>
      <c r="F100" s="263"/>
      <c r="I100" s="264"/>
    </row>
    <row r="101" spans="1:9" ht="15.75" x14ac:dyDescent="0.25">
      <c r="A101" s="43"/>
      <c r="B101" s="261"/>
      <c r="C101" s="262"/>
      <c r="E101" s="262"/>
      <c r="F101" s="263"/>
      <c r="I101" s="264"/>
    </row>
    <row r="102" spans="1:9" ht="15.75" x14ac:dyDescent="0.25">
      <c r="A102" s="43"/>
      <c r="B102" s="261"/>
      <c r="C102" s="262"/>
      <c r="E102" s="262"/>
      <c r="F102" s="263"/>
      <c r="I102" s="264"/>
    </row>
    <row r="103" spans="1:9" ht="15.75" x14ac:dyDescent="0.25">
      <c r="A103" s="43"/>
      <c r="B103" s="261"/>
      <c r="C103" s="262"/>
      <c r="E103" s="262"/>
      <c r="F103" s="263"/>
      <c r="I103" s="264"/>
    </row>
    <row r="104" spans="1:9" ht="15.75" x14ac:dyDescent="0.25">
      <c r="A104" s="43"/>
      <c r="B104" s="261"/>
      <c r="C104" s="262"/>
      <c r="E104" s="262"/>
      <c r="F104" s="263"/>
      <c r="I104" s="264"/>
    </row>
    <row r="105" spans="1:9" ht="15.75" x14ac:dyDescent="0.25">
      <c r="A105" s="43"/>
      <c r="B105" s="261"/>
      <c r="C105" s="262"/>
      <c r="E105" s="262"/>
      <c r="F105" s="263"/>
      <c r="I105" s="264"/>
    </row>
    <row r="106" spans="1:9" ht="15.75" x14ac:dyDescent="0.25">
      <c r="A106" s="43"/>
      <c r="B106" s="261"/>
      <c r="C106" s="262"/>
      <c r="E106" s="262"/>
      <c r="F106" s="263"/>
      <c r="I106" s="264"/>
    </row>
    <row r="107" spans="1:9" ht="15.75" x14ac:dyDescent="0.25">
      <c r="A107" s="43"/>
      <c r="B107" s="261"/>
      <c r="C107" s="262"/>
      <c r="E107" s="262"/>
      <c r="F107" s="263"/>
      <c r="I107" s="264"/>
    </row>
    <row r="108" spans="1:9" ht="15.75" x14ac:dyDescent="0.25">
      <c r="A108" s="43"/>
      <c r="B108" s="261"/>
      <c r="C108" s="262"/>
      <c r="E108" s="262"/>
      <c r="F108" s="263"/>
      <c r="I108" s="264"/>
    </row>
    <row r="109" spans="1:9" ht="15.75" x14ac:dyDescent="0.25">
      <c r="A109" s="43"/>
      <c r="B109" s="261"/>
      <c r="C109" s="262"/>
      <c r="E109" s="262"/>
      <c r="F109" s="263"/>
      <c r="I109" s="264"/>
    </row>
    <row r="110" spans="1:9" ht="15.75" x14ac:dyDescent="0.25">
      <c r="A110" s="43"/>
      <c r="B110" s="261"/>
      <c r="C110" s="262"/>
      <c r="E110" s="262"/>
      <c r="F110" s="263"/>
      <c r="I110" s="264"/>
    </row>
    <row r="111" spans="1:9" ht="15.75" x14ac:dyDescent="0.25">
      <c r="A111" s="43"/>
      <c r="B111" s="261"/>
      <c r="C111" s="262"/>
      <c r="E111" s="262"/>
      <c r="F111" s="263"/>
      <c r="I111" s="264"/>
    </row>
    <row r="112" spans="1:9" ht="15.75" x14ac:dyDescent="0.25">
      <c r="A112" s="43"/>
      <c r="B112" s="261"/>
      <c r="C112" s="262"/>
      <c r="E112" s="262"/>
      <c r="F112" s="263"/>
      <c r="I112" s="264"/>
    </row>
    <row r="113" spans="1:9" ht="15.75" x14ac:dyDescent="0.25">
      <c r="A113" s="43"/>
      <c r="B113" s="261"/>
      <c r="C113" s="262"/>
      <c r="E113" s="262"/>
      <c r="F113" s="263"/>
      <c r="I113" s="264"/>
    </row>
    <row r="114" spans="1:9" ht="15.75" x14ac:dyDescent="0.25">
      <c r="A114" s="43"/>
      <c r="B114" s="261"/>
      <c r="C114" s="262"/>
      <c r="E114" s="262"/>
      <c r="F114" s="263"/>
      <c r="I114" s="264"/>
    </row>
    <row r="115" spans="1:9" ht="15.75" x14ac:dyDescent="0.25">
      <c r="A115" s="43"/>
      <c r="B115" s="261"/>
      <c r="C115" s="262"/>
      <c r="E115" s="262"/>
      <c r="F115" s="263"/>
      <c r="I115" s="264"/>
    </row>
    <row r="116" spans="1:9" ht="15.75" x14ac:dyDescent="0.25">
      <c r="A116" s="43"/>
      <c r="B116" s="261"/>
      <c r="C116" s="262"/>
      <c r="E116" s="262"/>
      <c r="F116" s="263"/>
      <c r="I116" s="264"/>
    </row>
    <row r="117" spans="1:9" ht="15.75" x14ac:dyDescent="0.25">
      <c r="A117" s="43"/>
      <c r="B117" s="261"/>
      <c r="C117" s="262"/>
      <c r="E117" s="262"/>
      <c r="F117" s="263"/>
      <c r="I117" s="264"/>
    </row>
    <row r="118" spans="1:9" ht="15.75" x14ac:dyDescent="0.25">
      <c r="A118" s="43"/>
      <c r="B118" s="261"/>
      <c r="C118" s="262"/>
      <c r="E118" s="262"/>
      <c r="F118" s="263"/>
      <c r="I118" s="264"/>
    </row>
    <row r="119" spans="1:9" ht="15.75" x14ac:dyDescent="0.25">
      <c r="A119" s="43"/>
      <c r="B119" s="261"/>
      <c r="C119" s="262"/>
      <c r="E119" s="262"/>
      <c r="F119" s="263"/>
      <c r="I119" s="264"/>
    </row>
    <row r="120" spans="1:9" ht="15.75" x14ac:dyDescent="0.25">
      <c r="A120" s="43"/>
      <c r="B120" s="261"/>
      <c r="C120" s="262"/>
      <c r="E120" s="262"/>
      <c r="F120" s="263"/>
      <c r="I120" s="264"/>
    </row>
    <row r="121" spans="1:9" ht="15.75" x14ac:dyDescent="0.25">
      <c r="A121" s="43"/>
      <c r="B121" s="261"/>
      <c r="C121" s="262"/>
      <c r="E121" s="262"/>
      <c r="F121" s="263"/>
      <c r="I121" s="264"/>
    </row>
    <row r="122" spans="1:9" ht="15.75" x14ac:dyDescent="0.25">
      <c r="A122" s="43"/>
      <c r="B122" s="261"/>
      <c r="C122" s="262"/>
      <c r="E122" s="262"/>
      <c r="F122" s="263"/>
      <c r="I122" s="264"/>
    </row>
    <row r="123" spans="1:9" ht="15.75" x14ac:dyDescent="0.25">
      <c r="A123" s="43"/>
      <c r="B123" s="261"/>
      <c r="C123" s="262"/>
      <c r="E123" s="262"/>
      <c r="F123" s="263"/>
      <c r="I123" s="264"/>
    </row>
    <row r="124" spans="1:9" ht="15.75" x14ac:dyDescent="0.25">
      <c r="A124" s="43"/>
      <c r="B124" s="261"/>
      <c r="C124" s="262"/>
      <c r="E124" s="262"/>
      <c r="F124" s="263"/>
      <c r="I124" s="264"/>
    </row>
    <row r="125" spans="1:9" ht="15.75" x14ac:dyDescent="0.25">
      <c r="A125" s="43"/>
      <c r="B125" s="261"/>
      <c r="C125" s="262"/>
      <c r="E125" s="262"/>
      <c r="F125" s="263"/>
      <c r="I125" s="264"/>
    </row>
    <row r="126" spans="1:9" ht="15.75" x14ac:dyDescent="0.25">
      <c r="A126" s="43"/>
      <c r="B126" s="261"/>
      <c r="C126" s="262"/>
      <c r="E126" s="262"/>
      <c r="F126" s="263"/>
      <c r="I126" s="264"/>
    </row>
    <row r="127" spans="1:9" ht="15.75" x14ac:dyDescent="0.25">
      <c r="A127" s="43"/>
      <c r="B127" s="261"/>
      <c r="C127" s="262"/>
      <c r="E127" s="262"/>
      <c r="F127" s="263"/>
      <c r="I127" s="264"/>
    </row>
    <row r="128" spans="1:9" ht="15.75" x14ac:dyDescent="0.25">
      <c r="A128" s="43"/>
      <c r="B128" s="261"/>
      <c r="C128" s="262"/>
      <c r="E128" s="262"/>
      <c r="F128" s="263"/>
      <c r="I128" s="264"/>
    </row>
    <row r="129" spans="1:9" ht="15.75" x14ac:dyDescent="0.25">
      <c r="A129" s="43"/>
      <c r="B129" s="261"/>
      <c r="C129" s="262"/>
      <c r="E129" s="262"/>
      <c r="F129" s="263"/>
      <c r="I129" s="264"/>
    </row>
    <row r="130" spans="1:9" ht="15.75" x14ac:dyDescent="0.25">
      <c r="A130" s="43"/>
      <c r="B130" s="261"/>
      <c r="C130" s="262"/>
      <c r="E130" s="262"/>
      <c r="F130" s="263"/>
      <c r="I130" s="264"/>
    </row>
    <row r="131" spans="1:9" ht="15.75" x14ac:dyDescent="0.25">
      <c r="A131" s="43"/>
      <c r="B131" s="261"/>
      <c r="C131" s="262"/>
      <c r="E131" s="262"/>
      <c r="F131" s="263"/>
      <c r="I131" s="264"/>
    </row>
    <row r="132" spans="1:9" ht="15.75" x14ac:dyDescent="0.25">
      <c r="A132" s="43"/>
      <c r="B132" s="261"/>
      <c r="C132" s="262"/>
      <c r="E132" s="262"/>
      <c r="F132" s="263"/>
      <c r="I132" s="264"/>
    </row>
    <row r="133" spans="1:9" ht="15.75" x14ac:dyDescent="0.25">
      <c r="A133" s="43"/>
      <c r="B133" s="261"/>
      <c r="C133" s="262"/>
      <c r="E133" s="262"/>
      <c r="F133" s="263"/>
      <c r="I133" s="264"/>
    </row>
    <row r="134" spans="1:9" ht="15.75" x14ac:dyDescent="0.25">
      <c r="A134" s="43"/>
      <c r="B134" s="261"/>
      <c r="C134" s="262"/>
      <c r="E134" s="262"/>
      <c r="F134" s="263"/>
      <c r="I134" s="264"/>
    </row>
    <row r="135" spans="1:9" ht="15.75" x14ac:dyDescent="0.25">
      <c r="A135" s="43"/>
      <c r="B135" s="261"/>
      <c r="C135" s="262"/>
      <c r="E135" s="262"/>
      <c r="F135" s="263"/>
      <c r="I135" s="264"/>
    </row>
    <row r="136" spans="1:9" ht="15.75" x14ac:dyDescent="0.25">
      <c r="A136" s="43"/>
      <c r="B136" s="261"/>
      <c r="C136" s="262"/>
      <c r="E136" s="262"/>
      <c r="F136" s="263"/>
      <c r="I136" s="264"/>
    </row>
    <row r="137" spans="1:9" ht="15.75" x14ac:dyDescent="0.25">
      <c r="A137" s="43"/>
      <c r="B137" s="261"/>
      <c r="C137" s="262"/>
      <c r="E137" s="262"/>
      <c r="F137" s="263"/>
      <c r="I137" s="264"/>
    </row>
    <row r="138" spans="1:9" ht="15.75" x14ac:dyDescent="0.25">
      <c r="A138" s="43"/>
      <c r="B138" s="261"/>
      <c r="C138" s="262"/>
      <c r="E138" s="262"/>
      <c r="F138" s="263"/>
      <c r="I138" s="264"/>
    </row>
    <row r="139" spans="1:9" ht="15.75" x14ac:dyDescent="0.25">
      <c r="A139" s="43"/>
      <c r="B139" s="261"/>
      <c r="C139" s="262"/>
      <c r="E139" s="262"/>
      <c r="F139" s="263"/>
      <c r="I139" s="264"/>
    </row>
    <row r="140" spans="1:9" ht="15.75" x14ac:dyDescent="0.25">
      <c r="A140" s="43"/>
      <c r="B140" s="261"/>
      <c r="C140" s="262"/>
      <c r="E140" s="262"/>
      <c r="F140" s="263"/>
      <c r="I140" s="264"/>
    </row>
    <row r="141" spans="1:9" ht="15.75" x14ac:dyDescent="0.25">
      <c r="A141" s="43"/>
      <c r="B141" s="261"/>
      <c r="C141" s="262"/>
      <c r="E141" s="262"/>
      <c r="F141" s="263"/>
      <c r="I141" s="264"/>
    </row>
    <row r="142" spans="1:9" ht="15.75" x14ac:dyDescent="0.25">
      <c r="A142" s="43"/>
      <c r="B142" s="261"/>
      <c r="C142" s="262"/>
      <c r="E142" s="262"/>
      <c r="F142" s="263"/>
      <c r="I142" s="264"/>
    </row>
    <row r="143" spans="1:9" ht="15.75" x14ac:dyDescent="0.25">
      <c r="A143" s="43"/>
      <c r="B143" s="261"/>
      <c r="C143" s="262"/>
      <c r="E143" s="262"/>
      <c r="F143" s="263"/>
      <c r="I143" s="264"/>
    </row>
    <row r="144" spans="1:9" ht="15.75" x14ac:dyDescent="0.25">
      <c r="A144" s="43"/>
      <c r="B144" s="261"/>
      <c r="C144" s="262"/>
      <c r="E144" s="262"/>
      <c r="F144" s="263"/>
      <c r="I144" s="264"/>
    </row>
    <row r="145" spans="1:9" ht="15.75" x14ac:dyDescent="0.25">
      <c r="A145" s="43"/>
      <c r="B145" s="261"/>
      <c r="C145" s="262"/>
      <c r="E145" s="262"/>
      <c r="F145" s="263"/>
      <c r="I145" s="264"/>
    </row>
    <row r="146" spans="1:9" ht="15.75" x14ac:dyDescent="0.25">
      <c r="A146" s="43"/>
      <c r="B146" s="261"/>
      <c r="C146" s="262"/>
      <c r="E146" s="262"/>
      <c r="F146" s="263"/>
      <c r="I146" s="264"/>
    </row>
    <row r="147" spans="1:9" ht="15.75" x14ac:dyDescent="0.25">
      <c r="A147" s="43"/>
      <c r="B147" s="261"/>
      <c r="C147" s="262"/>
      <c r="E147" s="262"/>
      <c r="F147" s="263"/>
      <c r="I147" s="264"/>
    </row>
    <row r="148" spans="1:9" ht="15.75" x14ac:dyDescent="0.25">
      <c r="A148" s="43"/>
      <c r="B148" s="261"/>
      <c r="C148" s="262"/>
      <c r="E148" s="262"/>
      <c r="F148" s="263"/>
      <c r="I148" s="264"/>
    </row>
    <row r="149" spans="1:9" ht="15.75" x14ac:dyDescent="0.25">
      <c r="A149" s="43"/>
      <c r="B149" s="261"/>
      <c r="C149" s="262"/>
      <c r="E149" s="262"/>
      <c r="F149" s="263"/>
      <c r="I149" s="264"/>
    </row>
    <row r="150" spans="1:9" ht="15.75" x14ac:dyDescent="0.25">
      <c r="A150" s="43"/>
      <c r="B150" s="261"/>
      <c r="C150" s="262"/>
      <c r="E150" s="262"/>
      <c r="F150" s="263"/>
      <c r="I150" s="264"/>
    </row>
    <row r="151" spans="1:9" ht="15.75" x14ac:dyDescent="0.25">
      <c r="A151" s="43"/>
      <c r="B151" s="261"/>
      <c r="C151" s="262"/>
      <c r="E151" s="262"/>
      <c r="F151" s="263"/>
      <c r="I151" s="264"/>
    </row>
    <row r="152" spans="1:9" ht="15.75" x14ac:dyDescent="0.25">
      <c r="A152" s="43"/>
      <c r="B152" s="261"/>
      <c r="C152" s="262"/>
      <c r="E152" s="262"/>
      <c r="F152" s="263"/>
      <c r="I152" s="264"/>
    </row>
    <row r="153" spans="1:9" ht="15.75" x14ac:dyDescent="0.25">
      <c r="A153" s="43"/>
      <c r="B153" s="261"/>
      <c r="C153" s="262"/>
      <c r="E153" s="262"/>
      <c r="F153" s="263"/>
      <c r="I153" s="264"/>
    </row>
    <row r="154" spans="1:9" ht="15.75" x14ac:dyDescent="0.25">
      <c r="A154" s="43"/>
      <c r="B154" s="261"/>
      <c r="C154" s="262"/>
      <c r="E154" s="262"/>
      <c r="F154" s="263"/>
      <c r="I154" s="264"/>
    </row>
    <row r="155" spans="1:9" ht="15.75" x14ac:dyDescent="0.25">
      <c r="A155" s="43"/>
      <c r="B155" s="261"/>
      <c r="C155" s="262"/>
      <c r="E155" s="262"/>
      <c r="F155" s="263"/>
      <c r="I155" s="264"/>
    </row>
    <row r="156" spans="1:9" ht="15.75" x14ac:dyDescent="0.25">
      <c r="A156" s="43"/>
      <c r="B156" s="261"/>
      <c r="C156" s="262"/>
      <c r="E156" s="262"/>
      <c r="F156" s="263"/>
      <c r="I156" s="264"/>
    </row>
    <row r="157" spans="1:9" ht="15.75" x14ac:dyDescent="0.25">
      <c r="A157" s="43"/>
      <c r="B157" s="261"/>
      <c r="C157" s="262"/>
      <c r="E157" s="262"/>
      <c r="F157" s="263"/>
      <c r="I157" s="264"/>
    </row>
    <row r="158" spans="1:9" ht="15.75" x14ac:dyDescent="0.25">
      <c r="A158" s="43"/>
      <c r="B158" s="261"/>
      <c r="C158" s="262"/>
      <c r="E158" s="262"/>
      <c r="F158" s="263"/>
      <c r="I158" s="264"/>
    </row>
    <row r="159" spans="1:9" ht="15.75" x14ac:dyDescent="0.25">
      <c r="A159" s="43"/>
      <c r="B159" s="261"/>
      <c r="C159" s="262"/>
      <c r="E159" s="262"/>
      <c r="F159" s="263"/>
      <c r="I159" s="264"/>
    </row>
    <row r="160" spans="1:9" ht="15.75" x14ac:dyDescent="0.25">
      <c r="A160" s="43"/>
      <c r="B160" s="261"/>
      <c r="C160" s="262"/>
      <c r="E160" s="262"/>
      <c r="F160" s="263"/>
      <c r="I160" s="264"/>
    </row>
    <row r="161" spans="1:9" ht="15.75" x14ac:dyDescent="0.25">
      <c r="A161" s="43"/>
      <c r="B161" s="261"/>
      <c r="C161" s="262"/>
      <c r="E161" s="262"/>
      <c r="F161" s="263"/>
      <c r="I161" s="264"/>
    </row>
    <row r="162" spans="1:9" ht="15.75" x14ac:dyDescent="0.25">
      <c r="A162" s="43"/>
      <c r="B162" s="261"/>
      <c r="C162" s="262"/>
      <c r="E162" s="262"/>
      <c r="F162" s="263"/>
      <c r="I162" s="264"/>
    </row>
    <row r="163" spans="1:9" ht="15.75" x14ac:dyDescent="0.25">
      <c r="A163" s="43"/>
      <c r="B163" s="261"/>
      <c r="C163" s="262"/>
      <c r="E163" s="262"/>
      <c r="F163" s="263"/>
      <c r="I163" s="264"/>
    </row>
    <row r="164" spans="1:9" ht="15.75" x14ac:dyDescent="0.25">
      <c r="A164" s="43"/>
      <c r="B164" s="261"/>
      <c r="C164" s="262"/>
      <c r="E164" s="262"/>
      <c r="F164" s="263"/>
      <c r="I164" s="264"/>
    </row>
    <row r="165" spans="1:9" ht="15.75" x14ac:dyDescent="0.25">
      <c r="A165" s="43"/>
      <c r="B165" s="261"/>
      <c r="C165" s="262"/>
      <c r="E165" s="262"/>
      <c r="F165" s="263"/>
      <c r="I165" s="264"/>
    </row>
    <row r="166" spans="1:9" ht="15.75" x14ac:dyDescent="0.25">
      <c r="A166" s="43"/>
      <c r="B166" s="261"/>
      <c r="C166" s="262"/>
      <c r="E166" s="262"/>
      <c r="F166" s="263"/>
      <c r="I166" s="264"/>
    </row>
    <row r="167" spans="1:9" ht="15.75" x14ac:dyDescent="0.25">
      <c r="A167" s="43"/>
      <c r="B167" s="261"/>
      <c r="C167" s="262"/>
      <c r="E167" s="262"/>
      <c r="F167" s="263"/>
      <c r="I167" s="264"/>
    </row>
    <row r="168" spans="1:9" ht="15.75" x14ac:dyDescent="0.25">
      <c r="A168" s="43"/>
      <c r="B168" s="261"/>
      <c r="C168" s="262"/>
      <c r="E168" s="262"/>
      <c r="F168" s="263"/>
      <c r="I168" s="264"/>
    </row>
    <row r="169" spans="1:9" ht="15.75" x14ac:dyDescent="0.25">
      <c r="A169" s="43"/>
      <c r="B169" s="261"/>
      <c r="C169" s="262"/>
      <c r="E169" s="262"/>
      <c r="F169" s="263"/>
      <c r="I169" s="264"/>
    </row>
    <row r="170" spans="1:9" ht="15.75" x14ac:dyDescent="0.25">
      <c r="A170" s="43"/>
      <c r="B170" s="261"/>
      <c r="C170" s="262"/>
      <c r="E170" s="262"/>
      <c r="F170" s="263"/>
      <c r="I170" s="264"/>
    </row>
    <row r="171" spans="1:9" ht="15.75" x14ac:dyDescent="0.25">
      <c r="A171" s="43"/>
      <c r="B171" s="261"/>
      <c r="C171" s="262"/>
      <c r="E171" s="262"/>
      <c r="F171" s="263"/>
      <c r="I171" s="264"/>
    </row>
    <row r="172" spans="1:9" ht="15.75" x14ac:dyDescent="0.25">
      <c r="A172" s="43"/>
      <c r="B172" s="261"/>
      <c r="C172" s="262"/>
      <c r="E172" s="262"/>
      <c r="F172" s="263"/>
      <c r="I172" s="264"/>
    </row>
    <row r="173" spans="1:9" ht="15.75" x14ac:dyDescent="0.25">
      <c r="A173" s="43"/>
      <c r="B173" s="261"/>
      <c r="C173" s="262"/>
      <c r="E173" s="262"/>
      <c r="F173" s="263"/>
      <c r="I173" s="264"/>
    </row>
    <row r="174" spans="1:9" ht="15.75" x14ac:dyDescent="0.25">
      <c r="A174" s="43"/>
      <c r="B174" s="261"/>
      <c r="C174" s="262"/>
      <c r="E174" s="262"/>
      <c r="F174" s="263"/>
      <c r="I174" s="264"/>
    </row>
    <row r="175" spans="1:9" ht="15.75" x14ac:dyDescent="0.25">
      <c r="A175" s="43"/>
      <c r="B175" s="261"/>
      <c r="C175" s="262"/>
      <c r="E175" s="262"/>
      <c r="F175" s="263"/>
      <c r="I175" s="264"/>
    </row>
    <row r="176" spans="1:9" ht="15.75" x14ac:dyDescent="0.25">
      <c r="A176" s="43"/>
      <c r="B176" s="261"/>
      <c r="C176" s="262"/>
      <c r="E176" s="262"/>
      <c r="F176" s="263"/>
      <c r="I176" s="264"/>
    </row>
    <row r="177" spans="1:9" ht="15.75" x14ac:dyDescent="0.25">
      <c r="A177" s="43"/>
      <c r="B177" s="261"/>
      <c r="C177" s="262"/>
      <c r="E177" s="262"/>
      <c r="F177" s="263"/>
      <c r="I177" s="264"/>
    </row>
    <row r="178" spans="1:9" ht="15.75" x14ac:dyDescent="0.25">
      <c r="A178" s="43"/>
      <c r="B178" s="261"/>
      <c r="C178" s="262"/>
      <c r="E178" s="262"/>
      <c r="F178" s="263"/>
      <c r="I178" s="264"/>
    </row>
    <row r="179" spans="1:9" ht="15.75" x14ac:dyDescent="0.25">
      <c r="A179" s="43"/>
      <c r="B179" s="261"/>
      <c r="C179" s="262"/>
      <c r="E179" s="262"/>
      <c r="F179" s="263"/>
      <c r="I179" s="264"/>
    </row>
    <row r="180" spans="1:9" ht="15.75" x14ac:dyDescent="0.25">
      <c r="A180" s="43"/>
      <c r="B180" s="261"/>
      <c r="C180" s="262"/>
      <c r="E180" s="262"/>
      <c r="F180" s="263"/>
      <c r="I180" s="264"/>
    </row>
    <row r="181" spans="1:9" ht="15.75" x14ac:dyDescent="0.25">
      <c r="A181" s="43"/>
      <c r="B181" s="261"/>
      <c r="C181" s="262"/>
      <c r="E181" s="262"/>
      <c r="F181" s="263"/>
      <c r="I181" s="264"/>
    </row>
    <row r="182" spans="1:9" ht="15.75" x14ac:dyDescent="0.25">
      <c r="A182" s="43"/>
      <c r="B182" s="261"/>
      <c r="C182" s="262"/>
      <c r="E182" s="262"/>
      <c r="F182" s="263"/>
      <c r="I182" s="264"/>
    </row>
    <row r="183" spans="1:9" ht="15.75" x14ac:dyDescent="0.25">
      <c r="A183" s="43"/>
      <c r="B183" s="261"/>
      <c r="C183" s="262"/>
      <c r="E183" s="262"/>
      <c r="F183" s="263"/>
      <c r="I183" s="264"/>
    </row>
    <row r="184" spans="1:9" ht="15.75" x14ac:dyDescent="0.25">
      <c r="A184" s="43"/>
      <c r="B184" s="261"/>
      <c r="C184" s="262"/>
      <c r="E184" s="262"/>
      <c r="F184" s="263"/>
      <c r="I184" s="264"/>
    </row>
    <row r="185" spans="1:9" ht="15.75" x14ac:dyDescent="0.25">
      <c r="A185" s="43"/>
      <c r="B185" s="261"/>
      <c r="C185" s="262"/>
      <c r="E185" s="262"/>
      <c r="F185" s="263"/>
      <c r="I185" s="264"/>
    </row>
    <row r="186" spans="1:9" ht="15.75" x14ac:dyDescent="0.25">
      <c r="A186" s="43"/>
      <c r="B186" s="261"/>
      <c r="C186" s="262"/>
      <c r="E186" s="262"/>
      <c r="F186" s="263"/>
      <c r="I186" s="264"/>
    </row>
    <row r="187" spans="1:9" ht="15.75" x14ac:dyDescent="0.25">
      <c r="A187" s="43"/>
      <c r="B187" s="261"/>
      <c r="C187" s="262"/>
      <c r="E187" s="262"/>
      <c r="F187" s="263"/>
      <c r="I187" s="264"/>
    </row>
    <row r="188" spans="1:9" ht="15.75" x14ac:dyDescent="0.25">
      <c r="A188" s="43"/>
      <c r="B188" s="261"/>
      <c r="C188" s="262"/>
      <c r="E188" s="262"/>
      <c r="F188" s="263"/>
      <c r="I188" s="264"/>
    </row>
    <row r="189" spans="1:9" ht="15.75" x14ac:dyDescent="0.25">
      <c r="A189" s="43"/>
      <c r="B189" s="261"/>
      <c r="C189" s="262"/>
      <c r="E189" s="262"/>
      <c r="F189" s="263"/>
      <c r="I189" s="264"/>
    </row>
    <row r="190" spans="1:9" ht="15.75" x14ac:dyDescent="0.25">
      <c r="A190" s="43"/>
      <c r="B190" s="261"/>
      <c r="C190" s="262"/>
      <c r="E190" s="262"/>
      <c r="F190" s="263"/>
      <c r="I190" s="264"/>
    </row>
    <row r="191" spans="1:9" ht="15.75" x14ac:dyDescent="0.25">
      <c r="A191" s="43"/>
      <c r="B191" s="261"/>
      <c r="C191" s="262"/>
      <c r="E191" s="262"/>
      <c r="F191" s="263"/>
      <c r="I191" s="264"/>
    </row>
    <row r="192" spans="1:9" ht="15.75" x14ac:dyDescent="0.25">
      <c r="A192" s="43"/>
      <c r="B192" s="261"/>
      <c r="C192" s="262"/>
      <c r="E192" s="262"/>
      <c r="F192" s="263"/>
      <c r="I192" s="264"/>
    </row>
    <row r="193" spans="1:9" ht="15.75" x14ac:dyDescent="0.25">
      <c r="A193" s="43"/>
      <c r="B193" s="261"/>
      <c r="C193" s="262"/>
      <c r="E193" s="262"/>
      <c r="F193" s="263"/>
      <c r="I193" s="264"/>
    </row>
    <row r="194" spans="1:9" ht="15.75" x14ac:dyDescent="0.25">
      <c r="A194" s="43"/>
      <c r="B194" s="261"/>
      <c r="C194" s="262"/>
      <c r="E194" s="262"/>
      <c r="F194" s="263"/>
      <c r="I194" s="264"/>
    </row>
    <row r="195" spans="1:9" ht="15.75" x14ac:dyDescent="0.25">
      <c r="A195" s="43"/>
      <c r="B195" s="261"/>
      <c r="C195" s="262"/>
      <c r="E195" s="262"/>
      <c r="F195" s="263"/>
      <c r="I195" s="264"/>
    </row>
    <row r="196" spans="1:9" ht="15.75" x14ac:dyDescent="0.25">
      <c r="A196" s="43"/>
      <c r="B196" s="261"/>
      <c r="C196" s="262"/>
      <c r="E196" s="262"/>
      <c r="F196" s="263"/>
      <c r="I196" s="264"/>
    </row>
    <row r="197" spans="1:9" ht="15.75" x14ac:dyDescent="0.25">
      <c r="A197" s="43"/>
      <c r="B197" s="261"/>
      <c r="C197" s="262"/>
      <c r="E197" s="262"/>
      <c r="F197" s="263"/>
      <c r="I197" s="264"/>
    </row>
    <row r="198" spans="1:9" ht="15.75" x14ac:dyDescent="0.25">
      <c r="A198" s="43"/>
      <c r="B198" s="261"/>
      <c r="C198" s="262"/>
      <c r="E198" s="262"/>
      <c r="F198" s="263"/>
      <c r="I198" s="264"/>
    </row>
    <row r="199" spans="1:9" ht="15.75" x14ac:dyDescent="0.25">
      <c r="A199" s="43"/>
      <c r="B199" s="261"/>
      <c r="C199" s="262"/>
      <c r="E199" s="262"/>
      <c r="F199" s="263"/>
      <c r="I199" s="264"/>
    </row>
    <row r="200" spans="1:9" ht="15.75" x14ac:dyDescent="0.25">
      <c r="A200" s="43"/>
      <c r="B200" s="261"/>
      <c r="C200" s="262"/>
      <c r="E200" s="262"/>
      <c r="F200" s="263"/>
      <c r="I200" s="264"/>
    </row>
    <row r="201" spans="1:9" ht="15.75" x14ac:dyDescent="0.25">
      <c r="A201" s="43"/>
      <c r="B201" s="261"/>
      <c r="C201" s="262"/>
      <c r="E201" s="262"/>
      <c r="F201" s="263"/>
      <c r="I201" s="264"/>
    </row>
    <row r="202" spans="1:9" ht="15.75" x14ac:dyDescent="0.25">
      <c r="A202" s="43"/>
      <c r="B202" s="261"/>
      <c r="C202" s="262"/>
      <c r="E202" s="262"/>
      <c r="F202" s="263"/>
      <c r="I202" s="264"/>
    </row>
    <row r="203" spans="1:9" ht="15.75" x14ac:dyDescent="0.25">
      <c r="A203" s="43"/>
      <c r="B203" s="261"/>
      <c r="C203" s="262"/>
      <c r="E203" s="262"/>
      <c r="F203" s="263"/>
      <c r="I203" s="264"/>
    </row>
    <row r="204" spans="1:9" ht="15.75" x14ac:dyDescent="0.25">
      <c r="A204" s="43"/>
      <c r="B204" s="261"/>
      <c r="C204" s="262"/>
      <c r="E204" s="262"/>
      <c r="F204" s="263"/>
      <c r="I204" s="264"/>
    </row>
    <row r="205" spans="1:9" ht="15.75" x14ac:dyDescent="0.25">
      <c r="A205" s="43"/>
      <c r="B205" s="261"/>
      <c r="C205" s="262"/>
      <c r="E205" s="262"/>
      <c r="F205" s="263"/>
      <c r="I205" s="264"/>
    </row>
    <row r="206" spans="1:9" ht="15.75" x14ac:dyDescent="0.25">
      <c r="A206" s="43"/>
      <c r="B206" s="261"/>
      <c r="C206" s="262"/>
      <c r="E206" s="262"/>
      <c r="F206" s="263"/>
      <c r="I206" s="264"/>
    </row>
    <row r="207" spans="1:9" ht="15.75" x14ac:dyDescent="0.25">
      <c r="A207" s="43"/>
      <c r="B207" s="261"/>
      <c r="C207" s="262"/>
      <c r="E207" s="262"/>
      <c r="F207" s="263"/>
      <c r="I207" s="264"/>
    </row>
    <row r="208" spans="1:9" ht="15.75" x14ac:dyDescent="0.25">
      <c r="A208" s="43"/>
      <c r="B208" s="261"/>
      <c r="C208" s="262"/>
      <c r="E208" s="262"/>
      <c r="F208" s="263"/>
      <c r="I208" s="264"/>
    </row>
    <row r="209" spans="1:9" ht="15.75" x14ac:dyDescent="0.25">
      <c r="A209" s="43"/>
      <c r="B209" s="261"/>
      <c r="C209" s="262"/>
      <c r="E209" s="262"/>
      <c r="F209" s="263"/>
      <c r="I209" s="264"/>
    </row>
    <row r="210" spans="1:9" ht="15.75" x14ac:dyDescent="0.25">
      <c r="A210" s="43"/>
      <c r="B210" s="261"/>
      <c r="C210" s="262"/>
      <c r="E210" s="262"/>
      <c r="F210" s="263"/>
      <c r="I210" s="264"/>
    </row>
    <row r="211" spans="1:9" ht="15.75" x14ac:dyDescent="0.25">
      <c r="A211" s="43"/>
      <c r="B211" s="261"/>
      <c r="C211" s="262"/>
      <c r="E211" s="262"/>
      <c r="F211" s="263"/>
      <c r="I211" s="264"/>
    </row>
    <row r="212" spans="1:9" ht="15.75" x14ac:dyDescent="0.25">
      <c r="A212" s="43"/>
      <c r="B212" s="261"/>
      <c r="C212" s="262"/>
      <c r="E212" s="262"/>
      <c r="F212" s="263"/>
      <c r="I212" s="264"/>
    </row>
    <row r="213" spans="1:9" ht="15.75" x14ac:dyDescent="0.25">
      <c r="A213" s="43"/>
      <c r="B213" s="261"/>
      <c r="C213" s="262"/>
      <c r="E213" s="262"/>
      <c r="F213" s="263"/>
      <c r="I213" s="264"/>
    </row>
    <row r="214" spans="1:9" ht="15.75" x14ac:dyDescent="0.25">
      <c r="A214" s="43"/>
      <c r="B214" s="261"/>
      <c r="C214" s="262"/>
      <c r="E214" s="262"/>
      <c r="F214" s="263"/>
      <c r="I214" s="264"/>
    </row>
    <row r="215" spans="1:9" ht="15.75" x14ac:dyDescent="0.25">
      <c r="A215" s="43"/>
      <c r="B215" s="261"/>
      <c r="C215" s="262"/>
      <c r="E215" s="262"/>
      <c r="F215" s="263"/>
      <c r="I215" s="264"/>
    </row>
    <row r="216" spans="1:9" ht="15.75" x14ac:dyDescent="0.25">
      <c r="A216" s="43"/>
      <c r="B216" s="261"/>
      <c r="C216" s="262"/>
      <c r="E216" s="262"/>
      <c r="F216" s="263"/>
      <c r="I216" s="264"/>
    </row>
    <row r="217" spans="1:9" ht="15.75" x14ac:dyDescent="0.25">
      <c r="A217" s="43"/>
      <c r="B217" s="261"/>
      <c r="C217" s="262"/>
      <c r="E217" s="262"/>
      <c r="F217" s="263"/>
      <c r="I217" s="264"/>
    </row>
    <row r="218" spans="1:9" ht="15.75" x14ac:dyDescent="0.25">
      <c r="A218" s="43"/>
      <c r="B218" s="261"/>
      <c r="C218" s="262"/>
      <c r="E218" s="262"/>
      <c r="F218" s="263"/>
      <c r="I218" s="264"/>
    </row>
    <row r="219" spans="1:9" ht="15.75" x14ac:dyDescent="0.25">
      <c r="A219" s="43"/>
      <c r="B219" s="261"/>
      <c r="C219" s="262"/>
      <c r="E219" s="262"/>
      <c r="F219" s="263"/>
      <c r="I219" s="264"/>
    </row>
    <row r="220" spans="1:9" ht="15.75" x14ac:dyDescent="0.25">
      <c r="A220" s="43"/>
      <c r="B220" s="261"/>
      <c r="C220" s="262"/>
      <c r="E220" s="262"/>
      <c r="F220" s="263"/>
      <c r="I220" s="264"/>
    </row>
    <row r="221" spans="1:9" ht="15.75" x14ac:dyDescent="0.25">
      <c r="A221" s="43"/>
      <c r="B221" s="261"/>
      <c r="C221" s="262"/>
      <c r="E221" s="262"/>
      <c r="F221" s="263"/>
      <c r="I221" s="264"/>
    </row>
    <row r="222" spans="1:9" ht="15.75" x14ac:dyDescent="0.25">
      <c r="A222" s="43"/>
      <c r="B222" s="261"/>
      <c r="C222" s="262"/>
      <c r="E222" s="262"/>
      <c r="F222" s="263"/>
      <c r="I222" s="264"/>
    </row>
    <row r="223" spans="1:9" ht="15.75" x14ac:dyDescent="0.25">
      <c r="A223" s="43"/>
      <c r="B223" s="261"/>
      <c r="C223" s="262"/>
      <c r="E223" s="262"/>
      <c r="F223" s="263"/>
      <c r="I223" s="264"/>
    </row>
    <row r="224" spans="1:9" ht="15.75" x14ac:dyDescent="0.25">
      <c r="A224" s="43"/>
      <c r="B224" s="261"/>
      <c r="C224" s="262"/>
      <c r="E224" s="262"/>
      <c r="F224" s="263"/>
      <c r="I224" s="264"/>
    </row>
    <row r="225" spans="1:9" ht="15.75" x14ac:dyDescent="0.25">
      <c r="A225" s="43"/>
      <c r="B225" s="261"/>
      <c r="C225" s="262"/>
      <c r="E225" s="262"/>
      <c r="F225" s="263"/>
      <c r="I225" s="264"/>
    </row>
    <row r="226" spans="1:9" ht="15.75" x14ac:dyDescent="0.25">
      <c r="A226" s="43"/>
      <c r="B226" s="261"/>
      <c r="C226" s="262"/>
      <c r="E226" s="262"/>
      <c r="F226" s="263"/>
      <c r="I226" s="264"/>
    </row>
    <row r="227" spans="1:9" ht="15.75" x14ac:dyDescent="0.25">
      <c r="A227" s="43"/>
      <c r="B227" s="261"/>
      <c r="C227" s="262"/>
      <c r="E227" s="262"/>
      <c r="F227" s="263"/>
      <c r="I227" s="264"/>
    </row>
    <row r="228" spans="1:9" ht="15.75" x14ac:dyDescent="0.25">
      <c r="A228" s="43"/>
      <c r="B228" s="261"/>
      <c r="C228" s="262"/>
      <c r="E228" s="262"/>
      <c r="F228" s="263"/>
      <c r="I228" s="264"/>
    </row>
    <row r="229" spans="1:9" ht="15.75" x14ac:dyDescent="0.25">
      <c r="A229" s="43"/>
      <c r="B229" s="261"/>
      <c r="C229" s="262"/>
      <c r="E229" s="262"/>
      <c r="F229" s="263"/>
      <c r="I229" s="264"/>
    </row>
    <row r="230" spans="1:9" ht="15.75" x14ac:dyDescent="0.25">
      <c r="A230" s="43"/>
      <c r="B230" s="261"/>
      <c r="C230" s="262"/>
      <c r="E230" s="262"/>
      <c r="F230" s="263"/>
      <c r="I230" s="264"/>
    </row>
    <row r="231" spans="1:9" ht="15.75" x14ac:dyDescent="0.25">
      <c r="A231" s="43"/>
      <c r="B231" s="261"/>
      <c r="C231" s="262"/>
      <c r="E231" s="262"/>
      <c r="F231" s="263"/>
      <c r="I231" s="264"/>
    </row>
    <row r="232" spans="1:9" ht="15.75" x14ac:dyDescent="0.25">
      <c r="A232" s="43"/>
      <c r="B232" s="261"/>
      <c r="C232" s="262"/>
      <c r="E232" s="262"/>
      <c r="F232" s="263"/>
      <c r="I232" s="264"/>
    </row>
    <row r="233" spans="1:9" ht="15.75" x14ac:dyDescent="0.25">
      <c r="A233" s="43"/>
      <c r="B233" s="261"/>
      <c r="C233" s="262"/>
      <c r="E233" s="262"/>
      <c r="F233" s="263"/>
      <c r="I233" s="264"/>
    </row>
    <row r="234" spans="1:9" ht="15.75" x14ac:dyDescent="0.25">
      <c r="A234" s="43"/>
      <c r="B234" s="261"/>
      <c r="C234" s="262"/>
      <c r="E234" s="262"/>
      <c r="F234" s="263"/>
      <c r="I234" s="264"/>
    </row>
    <row r="235" spans="1:9" ht="15.75" x14ac:dyDescent="0.25">
      <c r="A235" s="43"/>
      <c r="B235" s="261"/>
      <c r="C235" s="262"/>
      <c r="E235" s="262"/>
      <c r="F235" s="263"/>
      <c r="I235" s="264"/>
    </row>
    <row r="236" spans="1:9" ht="15.75" x14ac:dyDescent="0.25">
      <c r="A236" s="43"/>
      <c r="B236" s="261"/>
      <c r="C236" s="262"/>
      <c r="E236" s="262"/>
      <c r="F236" s="263"/>
      <c r="I236" s="264"/>
    </row>
    <row r="237" spans="1:9" ht="15.75" x14ac:dyDescent="0.25">
      <c r="A237" s="43"/>
      <c r="B237" s="261"/>
      <c r="C237" s="262"/>
      <c r="E237" s="262"/>
      <c r="F237" s="263"/>
      <c r="I237" s="264"/>
    </row>
    <row r="238" spans="1:9" ht="15.75" x14ac:dyDescent="0.25">
      <c r="A238" s="43"/>
      <c r="B238" s="261"/>
      <c r="C238" s="262"/>
      <c r="E238" s="262"/>
      <c r="F238" s="263"/>
      <c r="I238" s="264"/>
    </row>
    <row r="239" spans="1:9" ht="15.75" x14ac:dyDescent="0.25">
      <c r="A239" s="43"/>
      <c r="B239" s="261"/>
      <c r="C239" s="262"/>
      <c r="E239" s="262"/>
      <c r="F239" s="263"/>
      <c r="I239" s="264"/>
    </row>
    <row r="240" spans="1:9" ht="15.75" x14ac:dyDescent="0.25">
      <c r="A240" s="43"/>
      <c r="B240" s="261"/>
      <c r="C240" s="262"/>
      <c r="E240" s="262"/>
      <c r="F240" s="263"/>
      <c r="I240" s="264"/>
    </row>
    <row r="241" spans="1:9" ht="15.75" x14ac:dyDescent="0.25">
      <c r="A241" s="43"/>
      <c r="B241" s="261"/>
      <c r="C241" s="262"/>
      <c r="E241" s="262"/>
      <c r="F241" s="263"/>
      <c r="I241" s="264"/>
    </row>
    <row r="242" spans="1:9" ht="15.75" x14ac:dyDescent="0.25">
      <c r="A242" s="43"/>
      <c r="B242" s="261"/>
      <c r="C242" s="262"/>
      <c r="E242" s="262"/>
      <c r="F242" s="263"/>
      <c r="I242" s="264"/>
    </row>
    <row r="243" spans="1:9" ht="15.75" x14ac:dyDescent="0.25">
      <c r="A243" s="43"/>
      <c r="B243" s="261"/>
      <c r="C243" s="262"/>
      <c r="E243" s="262"/>
      <c r="F243" s="263"/>
      <c r="I243" s="264"/>
    </row>
    <row r="244" spans="1:9" ht="15.75" x14ac:dyDescent="0.25">
      <c r="A244" s="43"/>
      <c r="B244" s="261"/>
      <c r="C244" s="262"/>
      <c r="E244" s="262"/>
      <c r="F244" s="263"/>
      <c r="I244" s="264"/>
    </row>
    <row r="245" spans="1:9" ht="15.75" x14ac:dyDescent="0.25">
      <c r="A245" s="43"/>
      <c r="B245" s="261"/>
      <c r="C245" s="262"/>
      <c r="E245" s="262"/>
      <c r="F245" s="263"/>
      <c r="I245" s="264"/>
    </row>
    <row r="246" spans="1:9" ht="15.75" x14ac:dyDescent="0.25">
      <c r="A246" s="43"/>
      <c r="B246" s="261"/>
      <c r="C246" s="262"/>
      <c r="E246" s="262"/>
      <c r="F246" s="263"/>
      <c r="I246" s="264"/>
    </row>
    <row r="247" spans="1:9" ht="15.75" x14ac:dyDescent="0.25">
      <c r="A247" s="43"/>
      <c r="B247" s="261"/>
      <c r="C247" s="262"/>
      <c r="E247" s="262"/>
      <c r="F247" s="263"/>
      <c r="I247" s="264"/>
    </row>
    <row r="248" spans="1:9" ht="15.75" x14ac:dyDescent="0.25">
      <c r="A248" s="43"/>
      <c r="B248" s="261"/>
      <c r="C248" s="262"/>
      <c r="E248" s="262"/>
      <c r="F248" s="263"/>
      <c r="I248" s="264"/>
    </row>
    <row r="249" spans="1:9" ht="15.75" x14ac:dyDescent="0.25">
      <c r="A249" s="43"/>
      <c r="B249" s="261"/>
      <c r="C249" s="262"/>
      <c r="E249" s="262"/>
      <c r="F249" s="263"/>
      <c r="I249" s="264"/>
    </row>
    <row r="250" spans="1:9" ht="15.75" x14ac:dyDescent="0.25">
      <c r="A250" s="43"/>
      <c r="B250" s="261"/>
      <c r="C250" s="262"/>
      <c r="E250" s="262"/>
      <c r="F250" s="263"/>
      <c r="I250" s="264"/>
    </row>
    <row r="251" spans="1:9" ht="15.75" x14ac:dyDescent="0.25">
      <c r="A251" s="43"/>
      <c r="B251" s="261"/>
      <c r="C251" s="262"/>
      <c r="E251" s="262"/>
      <c r="F251" s="263"/>
      <c r="I251" s="264"/>
    </row>
    <row r="252" spans="1:9" ht="15.75" x14ac:dyDescent="0.25">
      <c r="A252" s="43"/>
      <c r="B252" s="261"/>
      <c r="C252" s="262"/>
      <c r="E252" s="262"/>
      <c r="F252" s="263"/>
      <c r="I252" s="264"/>
    </row>
    <row r="253" spans="1:9" ht="15.75" x14ac:dyDescent="0.25">
      <c r="A253" s="43"/>
      <c r="B253" s="261"/>
      <c r="C253" s="262"/>
      <c r="E253" s="262"/>
      <c r="F253" s="263"/>
      <c r="I253" s="264"/>
    </row>
    <row r="254" spans="1:9" ht="15.75" x14ac:dyDescent="0.25">
      <c r="A254" s="43"/>
      <c r="B254" s="261"/>
      <c r="C254" s="262"/>
      <c r="E254" s="262"/>
      <c r="F254" s="263"/>
      <c r="I254" s="264"/>
    </row>
    <row r="255" spans="1:9" ht="15.75" x14ac:dyDescent="0.25">
      <c r="A255" s="43"/>
      <c r="B255" s="261"/>
      <c r="C255" s="262"/>
      <c r="E255" s="262"/>
      <c r="F255" s="263"/>
      <c r="I255" s="264"/>
    </row>
    <row r="256" spans="1:9" ht="15.75" x14ac:dyDescent="0.25">
      <c r="A256" s="43"/>
      <c r="B256" s="261"/>
      <c r="C256" s="262"/>
      <c r="E256" s="262"/>
      <c r="F256" s="263"/>
      <c r="I256" s="264"/>
    </row>
    <row r="257" spans="1:9" ht="15.75" x14ac:dyDescent="0.25">
      <c r="A257" s="43"/>
      <c r="B257" s="261"/>
      <c r="C257" s="262"/>
      <c r="E257" s="262"/>
      <c r="F257" s="263"/>
      <c r="I257" s="264"/>
    </row>
    <row r="258" spans="1:9" ht="15.75" x14ac:dyDescent="0.25">
      <c r="A258" s="43"/>
      <c r="B258" s="261"/>
      <c r="C258" s="262"/>
      <c r="E258" s="262"/>
      <c r="F258" s="263"/>
      <c r="I258" s="264"/>
    </row>
    <row r="259" spans="1:9" ht="15.75" x14ac:dyDescent="0.25">
      <c r="A259" s="43"/>
      <c r="B259" s="261"/>
      <c r="C259" s="262"/>
      <c r="E259" s="262"/>
      <c r="F259" s="263"/>
      <c r="I259" s="264"/>
    </row>
    <row r="260" spans="1:9" ht="15.75" x14ac:dyDescent="0.25">
      <c r="A260" s="43"/>
      <c r="B260" s="261"/>
      <c r="C260" s="262"/>
      <c r="E260" s="262"/>
      <c r="F260" s="263"/>
      <c r="I260" s="264"/>
    </row>
    <row r="261" spans="1:9" ht="15.75" x14ac:dyDescent="0.25">
      <c r="A261" s="43"/>
      <c r="B261" s="261"/>
      <c r="C261" s="262"/>
      <c r="E261" s="262"/>
      <c r="F261" s="263"/>
      <c r="I261" s="264"/>
    </row>
    <row r="262" spans="1:9" ht="15.75" x14ac:dyDescent="0.25">
      <c r="A262" s="43"/>
      <c r="B262" s="261"/>
      <c r="C262" s="262"/>
      <c r="E262" s="262"/>
      <c r="F262" s="263"/>
      <c r="I262" s="264"/>
    </row>
    <row r="263" spans="1:9" ht="15.75" x14ac:dyDescent="0.25">
      <c r="A263" s="43"/>
      <c r="B263" s="261"/>
      <c r="C263" s="262"/>
      <c r="E263" s="262"/>
      <c r="F263" s="263"/>
      <c r="I263" s="264"/>
    </row>
    <row r="264" spans="1:9" ht="15.75" x14ac:dyDescent="0.25">
      <c r="A264" s="43"/>
      <c r="B264" s="261"/>
      <c r="C264" s="262"/>
      <c r="E264" s="262"/>
      <c r="F264" s="263"/>
      <c r="I264" s="264"/>
    </row>
    <row r="265" spans="1:9" ht="15.75" x14ac:dyDescent="0.25">
      <c r="A265" s="43"/>
      <c r="B265" s="261"/>
      <c r="C265" s="262"/>
      <c r="E265" s="262"/>
      <c r="F265" s="263"/>
      <c r="I265" s="264"/>
    </row>
    <row r="266" spans="1:9" ht="15.75" x14ac:dyDescent="0.25">
      <c r="A266" s="43"/>
      <c r="B266" s="261"/>
      <c r="C266" s="262"/>
      <c r="E266" s="262"/>
      <c r="F266" s="263"/>
      <c r="I266" s="264"/>
    </row>
    <row r="267" spans="1:9" ht="15.75" x14ac:dyDescent="0.25">
      <c r="A267" s="43"/>
      <c r="B267" s="261"/>
      <c r="C267" s="262"/>
      <c r="E267" s="262"/>
      <c r="F267" s="263"/>
      <c r="I267" s="264"/>
    </row>
    <row r="268" spans="1:9" ht="15.75" x14ac:dyDescent="0.25">
      <c r="A268" s="43"/>
      <c r="B268" s="261"/>
      <c r="C268" s="262"/>
      <c r="E268" s="262"/>
      <c r="F268" s="263"/>
      <c r="I268" s="264"/>
    </row>
    <row r="269" spans="1:9" ht="15.75" x14ac:dyDescent="0.25">
      <c r="A269" s="43"/>
      <c r="B269" s="261"/>
      <c r="C269" s="262"/>
      <c r="E269" s="262"/>
      <c r="F269" s="263"/>
      <c r="I269" s="264"/>
    </row>
    <row r="270" spans="1:9" ht="15.75" x14ac:dyDescent="0.25">
      <c r="A270" s="43"/>
      <c r="B270" s="261"/>
      <c r="C270" s="262"/>
      <c r="E270" s="262"/>
      <c r="F270" s="263"/>
      <c r="I270" s="264"/>
    </row>
    <row r="271" spans="1:9" ht="15.75" x14ac:dyDescent="0.25">
      <c r="A271" s="43"/>
      <c r="B271" s="261"/>
      <c r="C271" s="262"/>
      <c r="E271" s="262"/>
      <c r="F271" s="263"/>
      <c r="I271" s="264"/>
    </row>
    <row r="272" spans="1:9" ht="15.75" x14ac:dyDescent="0.25">
      <c r="A272" s="43"/>
      <c r="B272" s="261"/>
      <c r="C272" s="262"/>
      <c r="E272" s="262"/>
      <c r="F272" s="263"/>
      <c r="I272" s="264"/>
    </row>
    <row r="273" spans="1:9" ht="15.75" x14ac:dyDescent="0.25">
      <c r="A273" s="43"/>
      <c r="B273" s="261"/>
      <c r="C273" s="262"/>
      <c r="E273" s="262"/>
      <c r="F273" s="263"/>
      <c r="I273" s="264"/>
    </row>
    <row r="274" spans="1:9" ht="15.75" x14ac:dyDescent="0.25">
      <c r="A274" s="43"/>
      <c r="B274" s="261"/>
      <c r="C274" s="262"/>
      <c r="E274" s="262"/>
      <c r="F274" s="263"/>
      <c r="I274" s="264"/>
    </row>
    <row r="275" spans="1:9" ht="15.75" x14ac:dyDescent="0.25">
      <c r="A275" s="43"/>
      <c r="B275" s="261"/>
      <c r="C275" s="262"/>
      <c r="E275" s="262"/>
      <c r="F275" s="263"/>
      <c r="I275" s="264"/>
    </row>
    <row r="276" spans="1:9" ht="15.75" x14ac:dyDescent="0.25">
      <c r="A276" s="43"/>
      <c r="B276" s="261"/>
      <c r="C276" s="262"/>
      <c r="E276" s="262"/>
      <c r="F276" s="263"/>
      <c r="I276" s="264"/>
    </row>
    <row r="277" spans="1:9" ht="15.75" x14ac:dyDescent="0.25">
      <c r="A277" s="43"/>
      <c r="B277" s="261"/>
      <c r="C277" s="262"/>
      <c r="E277" s="262"/>
      <c r="F277" s="263"/>
      <c r="I277" s="264"/>
    </row>
    <row r="278" spans="1:9" ht="15.75" x14ac:dyDescent="0.25">
      <c r="A278" s="43"/>
      <c r="B278" s="261"/>
      <c r="C278" s="262"/>
      <c r="E278" s="262"/>
      <c r="F278" s="263"/>
      <c r="I278" s="264"/>
    </row>
    <row r="279" spans="1:9" ht="15.75" x14ac:dyDescent="0.25">
      <c r="A279" s="43"/>
      <c r="B279" s="261"/>
      <c r="C279" s="262"/>
      <c r="E279" s="262"/>
      <c r="F279" s="263"/>
      <c r="I279" s="264"/>
    </row>
    <row r="280" spans="1:9" ht="15.75" x14ac:dyDescent="0.25">
      <c r="A280" s="43"/>
      <c r="B280" s="261"/>
      <c r="C280" s="262"/>
      <c r="E280" s="262"/>
      <c r="F280" s="263"/>
      <c r="I280" s="264"/>
    </row>
    <row r="281" spans="1:9" ht="15.75" x14ac:dyDescent="0.25">
      <c r="A281" s="43"/>
      <c r="B281" s="261"/>
      <c r="C281" s="262"/>
      <c r="E281" s="262"/>
      <c r="F281" s="263"/>
      <c r="I281" s="264"/>
    </row>
    <row r="282" spans="1:9" ht="15.75" x14ac:dyDescent="0.25">
      <c r="A282" s="43"/>
      <c r="B282" s="261"/>
      <c r="C282" s="262"/>
      <c r="E282" s="262"/>
      <c r="F282" s="263"/>
      <c r="I282" s="264"/>
    </row>
    <row r="283" spans="1:9" ht="15.75" x14ac:dyDescent="0.25">
      <c r="A283" s="43"/>
      <c r="B283" s="261"/>
      <c r="C283" s="262"/>
      <c r="E283" s="262"/>
      <c r="F283" s="263"/>
      <c r="I283" s="264"/>
    </row>
    <row r="284" spans="1:9" ht="15.75" x14ac:dyDescent="0.25">
      <c r="A284" s="43"/>
      <c r="B284" s="261"/>
      <c r="C284" s="262"/>
      <c r="E284" s="262"/>
      <c r="F284" s="263"/>
      <c r="I284" s="264"/>
    </row>
    <row r="285" spans="1:9" ht="15.75" x14ac:dyDescent="0.25">
      <c r="A285" s="43"/>
      <c r="B285" s="261"/>
      <c r="C285" s="262"/>
      <c r="E285" s="262"/>
      <c r="F285" s="263"/>
      <c r="I285" s="264"/>
    </row>
    <row r="286" spans="1:9" ht="15.75" x14ac:dyDescent="0.25">
      <c r="A286" s="43"/>
      <c r="B286" s="261"/>
      <c r="C286" s="262"/>
      <c r="E286" s="262"/>
      <c r="F286" s="263"/>
      <c r="I286" s="264"/>
    </row>
    <row r="287" spans="1:9" ht="15.75" x14ac:dyDescent="0.25">
      <c r="A287" s="43"/>
      <c r="B287" s="261"/>
      <c r="C287" s="262"/>
      <c r="E287" s="262"/>
      <c r="F287" s="263"/>
      <c r="I287" s="264"/>
    </row>
    <row r="288" spans="1:9" ht="15.75" x14ac:dyDescent="0.25">
      <c r="A288" s="43"/>
      <c r="B288" s="261"/>
      <c r="C288" s="262"/>
      <c r="E288" s="262"/>
      <c r="F288" s="263"/>
      <c r="I288" s="264"/>
    </row>
    <row r="289" spans="1:9" ht="15.75" x14ac:dyDescent="0.25">
      <c r="A289" s="43"/>
      <c r="B289" s="261"/>
      <c r="C289" s="262"/>
      <c r="E289" s="262"/>
      <c r="F289" s="263"/>
      <c r="I289" s="264"/>
    </row>
    <row r="290" spans="1:9" ht="15.75" x14ac:dyDescent="0.25">
      <c r="A290" s="43"/>
      <c r="B290" s="261"/>
      <c r="C290" s="262"/>
      <c r="E290" s="262"/>
      <c r="F290" s="263"/>
      <c r="I290" s="264"/>
    </row>
    <row r="291" spans="1:9" ht="15.75" x14ac:dyDescent="0.25">
      <c r="A291" s="43"/>
      <c r="B291" s="261"/>
      <c r="C291" s="262"/>
      <c r="E291" s="262"/>
      <c r="F291" s="263"/>
      <c r="I291" s="264"/>
    </row>
    <row r="292" spans="1:9" ht="15.75" x14ac:dyDescent="0.25">
      <c r="A292" s="43"/>
      <c r="B292" s="261"/>
      <c r="C292" s="262"/>
      <c r="E292" s="262"/>
      <c r="F292" s="263"/>
      <c r="I292" s="264"/>
    </row>
    <row r="293" spans="1:9" ht="15.75" x14ac:dyDescent="0.25">
      <c r="A293" s="43"/>
      <c r="B293" s="261"/>
      <c r="C293" s="262"/>
      <c r="E293" s="262"/>
      <c r="F293" s="263"/>
      <c r="I293" s="264"/>
    </row>
    <row r="294" spans="1:9" ht="15.75" x14ac:dyDescent="0.25">
      <c r="A294" s="43"/>
      <c r="B294" s="261"/>
      <c r="C294" s="262"/>
      <c r="E294" s="262"/>
      <c r="F294" s="263"/>
      <c r="I294" s="264"/>
    </row>
    <row r="295" spans="1:9" ht="15.75" x14ac:dyDescent="0.25">
      <c r="A295" s="43"/>
      <c r="B295" s="261"/>
      <c r="C295" s="262"/>
      <c r="E295" s="262"/>
      <c r="F295" s="263"/>
      <c r="I295" s="264"/>
    </row>
    <row r="296" spans="1:9" ht="15.75" x14ac:dyDescent="0.25">
      <c r="A296" s="43"/>
      <c r="B296" s="261"/>
      <c r="C296" s="262"/>
      <c r="E296" s="262"/>
      <c r="F296" s="263"/>
      <c r="I296" s="264"/>
    </row>
    <row r="297" spans="1:9" ht="15.75" x14ac:dyDescent="0.25">
      <c r="A297" s="43"/>
      <c r="B297" s="261"/>
      <c r="C297" s="262"/>
      <c r="E297" s="262"/>
      <c r="F297" s="263"/>
      <c r="I297" s="264"/>
    </row>
    <row r="298" spans="1:9" ht="15.75" x14ac:dyDescent="0.25">
      <c r="A298" s="43"/>
      <c r="B298" s="261"/>
      <c r="C298" s="262"/>
      <c r="E298" s="262"/>
      <c r="F298" s="263"/>
      <c r="I298" s="264"/>
    </row>
    <row r="299" spans="1:9" ht="15.75" x14ac:dyDescent="0.25">
      <c r="A299" s="43"/>
      <c r="B299" s="261"/>
      <c r="C299" s="262"/>
      <c r="E299" s="262"/>
      <c r="F299" s="263"/>
      <c r="I299" s="264"/>
    </row>
    <row r="300" spans="1:9" ht="15.75" x14ac:dyDescent="0.25">
      <c r="A300" s="43"/>
      <c r="B300" s="261"/>
      <c r="C300" s="262"/>
      <c r="E300" s="262"/>
      <c r="F300" s="263"/>
      <c r="I300" s="264"/>
    </row>
    <row r="301" spans="1:9" ht="15.75" x14ac:dyDescent="0.25">
      <c r="A301" s="43"/>
      <c r="B301" s="261"/>
      <c r="C301" s="262"/>
      <c r="E301" s="262"/>
      <c r="F301" s="263"/>
      <c r="I301" s="264"/>
    </row>
    <row r="302" spans="1:9" ht="15.75" x14ac:dyDescent="0.25">
      <c r="A302" s="43"/>
      <c r="B302" s="261"/>
      <c r="C302" s="262"/>
      <c r="E302" s="262"/>
      <c r="F302" s="263"/>
      <c r="I302" s="264"/>
    </row>
    <row r="303" spans="1:9" ht="15.75" x14ac:dyDescent="0.25">
      <c r="A303" s="43"/>
      <c r="B303" s="261"/>
      <c r="C303" s="262"/>
      <c r="E303" s="262"/>
      <c r="F303" s="263"/>
      <c r="I303" s="264"/>
    </row>
    <row r="304" spans="1:9" ht="15.75" x14ac:dyDescent="0.25">
      <c r="A304" s="43"/>
      <c r="B304" s="261"/>
      <c r="C304" s="262"/>
      <c r="E304" s="262"/>
      <c r="F304" s="263"/>
      <c r="I304" s="264"/>
    </row>
    <row r="305" spans="1:9" ht="15.75" x14ac:dyDescent="0.25">
      <c r="A305" s="43"/>
      <c r="B305" s="261"/>
      <c r="C305" s="262"/>
      <c r="E305" s="262"/>
      <c r="F305" s="263"/>
      <c r="I305" s="264"/>
    </row>
    <row r="306" spans="1:9" ht="15.75" x14ac:dyDescent="0.25">
      <c r="A306" s="43"/>
      <c r="B306" s="261"/>
      <c r="C306" s="262"/>
      <c r="E306" s="262"/>
      <c r="F306" s="263"/>
      <c r="I306" s="264"/>
    </row>
    <row r="307" spans="1:9" ht="15.75" x14ac:dyDescent="0.25">
      <c r="A307" s="43"/>
      <c r="B307" s="261"/>
      <c r="C307" s="262"/>
      <c r="E307" s="262"/>
      <c r="F307" s="263"/>
      <c r="I307" s="264"/>
    </row>
    <row r="308" spans="1:9" ht="15.75" x14ac:dyDescent="0.25">
      <c r="A308" s="43"/>
      <c r="B308" s="261"/>
      <c r="C308" s="262"/>
      <c r="E308" s="262"/>
      <c r="F308" s="263"/>
      <c r="I308" s="264"/>
    </row>
    <row r="309" spans="1:9" ht="15.75" x14ac:dyDescent="0.25">
      <c r="A309" s="43"/>
      <c r="B309" s="261"/>
      <c r="C309" s="262"/>
      <c r="E309" s="262"/>
      <c r="F309" s="263"/>
      <c r="I309" s="264"/>
    </row>
    <row r="310" spans="1:9" ht="15.75" x14ac:dyDescent="0.25">
      <c r="A310" s="43"/>
      <c r="B310" s="261"/>
      <c r="C310" s="262"/>
      <c r="E310" s="262"/>
      <c r="F310" s="263"/>
      <c r="I310" s="264"/>
    </row>
    <row r="311" spans="1:9" ht="15.75" x14ac:dyDescent="0.25">
      <c r="A311" s="43"/>
      <c r="B311" s="261"/>
      <c r="C311" s="262"/>
      <c r="E311" s="262"/>
      <c r="F311" s="263"/>
      <c r="I311" s="264"/>
    </row>
    <row r="312" spans="1:9" ht="15.75" x14ac:dyDescent="0.25">
      <c r="A312" s="43"/>
      <c r="B312" s="261"/>
      <c r="C312" s="262"/>
      <c r="E312" s="262"/>
      <c r="F312" s="263"/>
      <c r="I312" s="264"/>
    </row>
    <row r="313" spans="1:9" ht="15.75" x14ac:dyDescent="0.25">
      <c r="A313" s="43"/>
      <c r="B313" s="261"/>
      <c r="C313" s="262"/>
      <c r="E313" s="262"/>
      <c r="F313" s="263"/>
      <c r="I313" s="264"/>
    </row>
    <row r="314" spans="1:9" ht="15.75" x14ac:dyDescent="0.25">
      <c r="A314" s="43"/>
      <c r="B314" s="261"/>
      <c r="C314" s="262"/>
      <c r="E314" s="262"/>
      <c r="F314" s="263"/>
      <c r="I314" s="264"/>
    </row>
    <row r="315" spans="1:9" ht="15.75" x14ac:dyDescent="0.25">
      <c r="A315" s="43"/>
      <c r="B315" s="261"/>
      <c r="C315" s="262"/>
      <c r="E315" s="262"/>
      <c r="F315" s="263"/>
      <c r="I315" s="264"/>
    </row>
    <row r="316" spans="1:9" ht="15.75" x14ac:dyDescent="0.25">
      <c r="A316" s="43"/>
      <c r="B316" s="261"/>
      <c r="C316" s="262"/>
      <c r="E316" s="262"/>
      <c r="F316" s="263"/>
      <c r="I316" s="264"/>
    </row>
    <row r="317" spans="1:9" ht="15.75" x14ac:dyDescent="0.25">
      <c r="A317" s="43"/>
      <c r="B317" s="261"/>
      <c r="C317" s="262"/>
      <c r="E317" s="262"/>
      <c r="F317" s="263"/>
      <c r="I317" s="264"/>
    </row>
    <row r="318" spans="1:9" ht="15.75" x14ac:dyDescent="0.25">
      <c r="A318" s="43"/>
      <c r="B318" s="261"/>
      <c r="C318" s="262"/>
      <c r="E318" s="262"/>
      <c r="F318" s="263"/>
      <c r="I318" s="264"/>
    </row>
    <row r="319" spans="1:9" ht="15.75" x14ac:dyDescent="0.25">
      <c r="A319" s="43"/>
      <c r="B319" s="261"/>
      <c r="C319" s="262"/>
      <c r="E319" s="262"/>
      <c r="F319" s="263"/>
      <c r="I319" s="264"/>
    </row>
    <row r="320" spans="1:9" ht="15.75" x14ac:dyDescent="0.25">
      <c r="A320" s="43"/>
      <c r="B320" s="261"/>
      <c r="C320" s="262"/>
      <c r="E320" s="262"/>
      <c r="F320" s="263"/>
      <c r="I320" s="264"/>
    </row>
    <row r="321" spans="1:9" ht="15.75" x14ac:dyDescent="0.25">
      <c r="A321" s="43"/>
      <c r="B321" s="261"/>
      <c r="C321" s="262"/>
      <c r="E321" s="262"/>
      <c r="F321" s="263"/>
      <c r="I321" s="264"/>
    </row>
    <row r="322" spans="1:9" ht="15.75" x14ac:dyDescent="0.25">
      <c r="A322" s="43"/>
      <c r="B322" s="261"/>
      <c r="C322" s="262"/>
      <c r="E322" s="262"/>
      <c r="F322" s="263"/>
      <c r="I322" s="264"/>
    </row>
    <row r="323" spans="1:9" ht="15.75" x14ac:dyDescent="0.25">
      <c r="A323" s="43"/>
      <c r="B323" s="261"/>
      <c r="C323" s="262"/>
      <c r="E323" s="262"/>
      <c r="F323" s="263"/>
      <c r="I323" s="264"/>
    </row>
    <row r="324" spans="1:9" ht="15.75" x14ac:dyDescent="0.25">
      <c r="A324" s="43"/>
      <c r="B324" s="261"/>
      <c r="C324" s="262"/>
      <c r="E324" s="262"/>
      <c r="F324" s="263"/>
      <c r="I324" s="264"/>
    </row>
    <row r="325" spans="1:9" ht="15.75" x14ac:dyDescent="0.25">
      <c r="A325" s="43"/>
      <c r="B325" s="261"/>
      <c r="C325" s="262"/>
      <c r="E325" s="262"/>
      <c r="F325" s="263"/>
      <c r="I325" s="264"/>
    </row>
    <row r="326" spans="1:9" ht="15.75" x14ac:dyDescent="0.25">
      <c r="A326" s="43"/>
      <c r="B326" s="261"/>
      <c r="C326" s="262"/>
      <c r="E326" s="262"/>
      <c r="F326" s="263"/>
      <c r="I326" s="264"/>
    </row>
    <row r="327" spans="1:9" ht="15.75" x14ac:dyDescent="0.25">
      <c r="A327" s="43"/>
      <c r="B327" s="261"/>
      <c r="C327" s="262"/>
      <c r="E327" s="262"/>
      <c r="F327" s="263"/>
      <c r="I327" s="264"/>
    </row>
    <row r="328" spans="1:9" ht="15.75" x14ac:dyDescent="0.25">
      <c r="A328" s="43"/>
      <c r="B328" s="261"/>
      <c r="C328" s="262"/>
      <c r="E328" s="262"/>
      <c r="F328" s="263"/>
      <c r="I328" s="264"/>
    </row>
    <row r="329" spans="1:9" ht="15.75" x14ac:dyDescent="0.25">
      <c r="A329" s="43"/>
      <c r="B329" s="261"/>
      <c r="C329" s="262"/>
      <c r="E329" s="262"/>
      <c r="F329" s="263"/>
      <c r="I329" s="264"/>
    </row>
    <row r="330" spans="1:9" ht="15.75" x14ac:dyDescent="0.25">
      <c r="A330" s="43"/>
      <c r="B330" s="261"/>
      <c r="C330" s="262"/>
      <c r="E330" s="262"/>
      <c r="F330" s="263"/>
      <c r="I330" s="264"/>
    </row>
    <row r="331" spans="1:9" ht="15.75" x14ac:dyDescent="0.25">
      <c r="A331" s="43"/>
      <c r="B331" s="261"/>
      <c r="C331" s="262"/>
      <c r="E331" s="262"/>
      <c r="F331" s="263"/>
      <c r="I331" s="264"/>
    </row>
    <row r="332" spans="1:9" ht="15.75" x14ac:dyDescent="0.25">
      <c r="A332" s="43"/>
      <c r="B332" s="261"/>
      <c r="C332" s="262"/>
      <c r="E332" s="262"/>
      <c r="F332" s="263"/>
      <c r="I332" s="264"/>
    </row>
    <row r="333" spans="1:9" ht="15.75" x14ac:dyDescent="0.25">
      <c r="A333" s="43"/>
      <c r="B333" s="261"/>
      <c r="C333" s="262"/>
      <c r="E333" s="262"/>
      <c r="F333" s="263"/>
      <c r="I333" s="264"/>
    </row>
    <row r="334" spans="1:9" ht="15.75" x14ac:dyDescent="0.25">
      <c r="A334" s="43"/>
      <c r="B334" s="261"/>
      <c r="C334" s="262"/>
      <c r="E334" s="262"/>
      <c r="F334" s="263"/>
      <c r="I334" s="264"/>
    </row>
    <row r="335" spans="1:9" ht="15.75" x14ac:dyDescent="0.25">
      <c r="A335" s="43"/>
      <c r="B335" s="261"/>
      <c r="C335" s="262"/>
      <c r="E335" s="262"/>
      <c r="F335" s="263"/>
      <c r="I335" s="264"/>
    </row>
    <row r="336" spans="1:9" ht="15.75" x14ac:dyDescent="0.25">
      <c r="A336" s="43"/>
      <c r="B336" s="261"/>
      <c r="C336" s="262"/>
      <c r="E336" s="262"/>
      <c r="F336" s="263"/>
      <c r="I336" s="264"/>
    </row>
    <row r="337" spans="1:9" ht="15.75" x14ac:dyDescent="0.25">
      <c r="A337" s="43"/>
      <c r="B337" s="261"/>
      <c r="C337" s="262"/>
      <c r="E337" s="262"/>
      <c r="F337" s="263"/>
      <c r="I337" s="264"/>
    </row>
    <row r="338" spans="1:9" ht="15.75" x14ac:dyDescent="0.25">
      <c r="A338" s="43"/>
      <c r="B338" s="261"/>
      <c r="C338" s="262"/>
      <c r="E338" s="262"/>
      <c r="F338" s="263"/>
      <c r="I338" s="264"/>
    </row>
    <row r="339" spans="1:9" ht="15.75" x14ac:dyDescent="0.25">
      <c r="A339" s="43"/>
      <c r="B339" s="261"/>
      <c r="C339" s="262"/>
      <c r="E339" s="262"/>
      <c r="F339" s="263"/>
      <c r="I339" s="264"/>
    </row>
    <row r="340" spans="1:9" ht="15.75" x14ac:dyDescent="0.25">
      <c r="A340" s="43"/>
      <c r="B340" s="261"/>
      <c r="C340" s="262"/>
      <c r="E340" s="262"/>
      <c r="F340" s="263"/>
      <c r="I340" s="264"/>
    </row>
    <row r="341" spans="1:9" ht="15.75" x14ac:dyDescent="0.25">
      <c r="A341" s="43"/>
      <c r="B341" s="261"/>
      <c r="C341" s="262"/>
      <c r="E341" s="262"/>
      <c r="F341" s="263"/>
      <c r="I341" s="264"/>
    </row>
    <row r="342" spans="1:9" ht="15.75" x14ac:dyDescent="0.25">
      <c r="A342" s="43"/>
      <c r="B342" s="261"/>
      <c r="C342" s="262"/>
      <c r="E342" s="262"/>
      <c r="F342" s="263"/>
      <c r="I342" s="264"/>
    </row>
    <row r="343" spans="1:9" ht="15.75" x14ac:dyDescent="0.25">
      <c r="A343" s="43"/>
      <c r="B343" s="261"/>
      <c r="C343" s="262"/>
      <c r="E343" s="262"/>
      <c r="F343" s="263"/>
      <c r="I343" s="264"/>
    </row>
    <row r="344" spans="1:9" ht="15.75" x14ac:dyDescent="0.25">
      <c r="A344" s="43"/>
      <c r="B344" s="261"/>
      <c r="C344" s="262"/>
      <c r="E344" s="262"/>
      <c r="F344" s="263"/>
      <c r="I344" s="264"/>
    </row>
    <row r="345" spans="1:9" ht="15.75" x14ac:dyDescent="0.25">
      <c r="A345" s="43"/>
      <c r="B345" s="261"/>
      <c r="C345" s="262"/>
      <c r="E345" s="262"/>
      <c r="F345" s="263"/>
      <c r="I345" s="264"/>
    </row>
    <row r="346" spans="1:9" ht="15.75" x14ac:dyDescent="0.25">
      <c r="A346" s="43"/>
      <c r="B346" s="261"/>
      <c r="C346" s="262"/>
      <c r="E346" s="262"/>
      <c r="F346" s="263"/>
      <c r="I346" s="264"/>
    </row>
    <row r="347" spans="1:9" ht="15.75" x14ac:dyDescent="0.25">
      <c r="A347" s="43"/>
      <c r="B347" s="261"/>
      <c r="C347" s="262"/>
      <c r="E347" s="262"/>
      <c r="F347" s="263"/>
      <c r="I347" s="264"/>
    </row>
    <row r="348" spans="1:9" ht="15.75" x14ac:dyDescent="0.25">
      <c r="A348" s="43"/>
      <c r="B348" s="261"/>
      <c r="C348" s="262"/>
      <c r="E348" s="262"/>
      <c r="F348" s="263"/>
      <c r="I348" s="264"/>
    </row>
    <row r="349" spans="1:9" ht="15.75" x14ac:dyDescent="0.25">
      <c r="A349" s="43"/>
      <c r="B349" s="261"/>
      <c r="C349" s="262"/>
      <c r="E349" s="262"/>
      <c r="F349" s="263"/>
      <c r="I349" s="264"/>
    </row>
    <row r="350" spans="1:9" ht="15.75" x14ac:dyDescent="0.25">
      <c r="A350" s="43"/>
      <c r="B350" s="261"/>
      <c r="C350" s="262"/>
      <c r="E350" s="262"/>
      <c r="F350" s="263"/>
      <c r="I350" s="264"/>
    </row>
    <row r="351" spans="1:9" ht="15.75" x14ac:dyDescent="0.25">
      <c r="A351" s="43"/>
      <c r="B351" s="261"/>
      <c r="C351" s="262"/>
      <c r="E351" s="262"/>
      <c r="F351" s="263"/>
      <c r="I351" s="264"/>
    </row>
    <row r="352" spans="1:9" ht="15.75" x14ac:dyDescent="0.25">
      <c r="A352" s="43"/>
      <c r="B352" s="261"/>
      <c r="C352" s="262"/>
      <c r="E352" s="262"/>
      <c r="F352" s="263"/>
      <c r="I352" s="264"/>
    </row>
    <row r="353" spans="1:9" ht="15.75" x14ac:dyDescent="0.25">
      <c r="A353" s="43"/>
      <c r="B353" s="261"/>
      <c r="C353" s="262"/>
      <c r="E353" s="262"/>
      <c r="F353" s="263"/>
      <c r="I353" s="264"/>
    </row>
    <row r="354" spans="1:9" ht="15.75" x14ac:dyDescent="0.25">
      <c r="A354" s="43"/>
      <c r="B354" s="261"/>
      <c r="C354" s="262"/>
      <c r="E354" s="262"/>
      <c r="F354" s="263"/>
      <c r="I354" s="264"/>
    </row>
    <row r="355" spans="1:9" ht="15.75" x14ac:dyDescent="0.25">
      <c r="A355" s="43"/>
      <c r="B355" s="261"/>
      <c r="C355" s="262"/>
      <c r="E355" s="262"/>
      <c r="F355" s="263"/>
      <c r="I355" s="264"/>
    </row>
    <row r="356" spans="1:9" ht="15.75" x14ac:dyDescent="0.25">
      <c r="A356" s="43"/>
      <c r="B356" s="261"/>
      <c r="C356" s="262"/>
      <c r="E356" s="262"/>
      <c r="F356" s="263"/>
      <c r="I356" s="264"/>
    </row>
    <row r="357" spans="1:9" ht="15.75" x14ac:dyDescent="0.25">
      <c r="A357" s="43"/>
      <c r="B357" s="261"/>
      <c r="C357" s="262"/>
      <c r="E357" s="262"/>
      <c r="F357" s="263"/>
      <c r="I357" s="264"/>
    </row>
    <row r="358" spans="1:9" ht="15.75" x14ac:dyDescent="0.25">
      <c r="A358" s="43"/>
      <c r="B358" s="261"/>
      <c r="C358" s="262"/>
      <c r="E358" s="262"/>
      <c r="F358" s="263"/>
      <c r="I358" s="264"/>
    </row>
    <row r="359" spans="1:9" ht="15.75" x14ac:dyDescent="0.25">
      <c r="A359" s="43"/>
      <c r="B359" s="261"/>
      <c r="C359" s="262"/>
      <c r="E359" s="262"/>
      <c r="F359" s="263"/>
      <c r="I359" s="264"/>
    </row>
    <row r="360" spans="1:9" ht="15.75" x14ac:dyDescent="0.25">
      <c r="A360" s="43"/>
      <c r="B360" s="261"/>
      <c r="C360" s="262"/>
      <c r="E360" s="262"/>
      <c r="F360" s="263"/>
      <c r="I360" s="264"/>
    </row>
    <row r="361" spans="1:9" ht="15.75" x14ac:dyDescent="0.25">
      <c r="A361" s="43"/>
      <c r="B361" s="261"/>
      <c r="C361" s="262"/>
      <c r="E361" s="262"/>
      <c r="F361" s="263"/>
      <c r="I361" s="264"/>
    </row>
    <row r="362" spans="1:9" ht="15.75" x14ac:dyDescent="0.25">
      <c r="A362" s="43"/>
      <c r="B362" s="261"/>
      <c r="C362" s="262"/>
      <c r="E362" s="262"/>
      <c r="F362" s="263"/>
      <c r="I362" s="264"/>
    </row>
    <row r="363" spans="1:9" ht="15.75" x14ac:dyDescent="0.25">
      <c r="A363" s="43"/>
      <c r="B363" s="261"/>
      <c r="C363" s="262"/>
      <c r="E363" s="262"/>
      <c r="F363" s="263"/>
      <c r="I363" s="264"/>
    </row>
    <row r="364" spans="1:9" ht="15.75" x14ac:dyDescent="0.25">
      <c r="A364" s="43"/>
      <c r="B364" s="261"/>
      <c r="C364" s="262"/>
      <c r="E364" s="262"/>
      <c r="F364" s="263"/>
      <c r="I364" s="264"/>
    </row>
    <row r="365" spans="1:9" ht="15.75" x14ac:dyDescent="0.25">
      <c r="A365" s="43"/>
      <c r="B365" s="261"/>
      <c r="C365" s="262"/>
      <c r="E365" s="262"/>
      <c r="F365" s="263"/>
      <c r="I365" s="264"/>
    </row>
    <row r="366" spans="1:9" ht="15.75" x14ac:dyDescent="0.25">
      <c r="A366" s="43"/>
      <c r="B366" s="261"/>
      <c r="C366" s="262"/>
      <c r="E366" s="262"/>
      <c r="F366" s="263"/>
      <c r="I366" s="264"/>
    </row>
    <row r="367" spans="1:9" ht="15.75" x14ac:dyDescent="0.25">
      <c r="A367" s="43"/>
      <c r="B367" s="261"/>
      <c r="C367" s="262"/>
      <c r="E367" s="262"/>
      <c r="F367" s="263"/>
      <c r="I367" s="264"/>
    </row>
    <row r="368" spans="1:9" ht="15.75" x14ac:dyDescent="0.25">
      <c r="A368" s="43"/>
      <c r="B368" s="261"/>
      <c r="C368" s="262"/>
      <c r="E368" s="262"/>
      <c r="F368" s="263"/>
      <c r="I368" s="264"/>
    </row>
    <row r="369" spans="1:9" ht="15.75" x14ac:dyDescent="0.25">
      <c r="A369" s="43"/>
      <c r="B369" s="261"/>
      <c r="C369" s="262"/>
      <c r="E369" s="262"/>
      <c r="F369" s="263"/>
      <c r="I369" s="264"/>
    </row>
    <row r="370" spans="1:9" ht="15.75" x14ac:dyDescent="0.25">
      <c r="A370" s="43"/>
      <c r="B370" s="261"/>
      <c r="C370" s="262"/>
      <c r="E370" s="262"/>
      <c r="F370" s="263"/>
      <c r="I370" s="264"/>
    </row>
    <row r="371" spans="1:9" ht="15.75" x14ac:dyDescent="0.25">
      <c r="A371" s="43"/>
      <c r="B371" s="261"/>
      <c r="C371" s="262"/>
      <c r="E371" s="262"/>
      <c r="F371" s="263"/>
      <c r="I371" s="264"/>
    </row>
    <row r="372" spans="1:9" ht="15.75" x14ac:dyDescent="0.25">
      <c r="A372" s="43"/>
      <c r="B372" s="261"/>
      <c r="C372" s="262"/>
      <c r="E372" s="262"/>
      <c r="F372" s="263"/>
      <c r="I372" s="264"/>
    </row>
    <row r="373" spans="1:9" ht="15.75" x14ac:dyDescent="0.25">
      <c r="A373" s="43"/>
      <c r="B373" s="261"/>
      <c r="C373" s="262"/>
      <c r="E373" s="262"/>
      <c r="F373" s="263"/>
      <c r="I373" s="264"/>
    </row>
    <row r="374" spans="1:9" ht="15.75" x14ac:dyDescent="0.25">
      <c r="A374" s="43"/>
      <c r="B374" s="261"/>
      <c r="C374" s="262"/>
      <c r="E374" s="262"/>
      <c r="F374" s="263"/>
      <c r="I374" s="264"/>
    </row>
    <row r="375" spans="1:9" ht="15.75" x14ac:dyDescent="0.25">
      <c r="A375" s="43"/>
      <c r="B375" s="261"/>
      <c r="C375" s="262"/>
      <c r="E375" s="262"/>
      <c r="F375" s="263"/>
      <c r="I375" s="264"/>
    </row>
    <row r="376" spans="1:9" ht="15.75" x14ac:dyDescent="0.25">
      <c r="A376" s="43"/>
      <c r="B376" s="261"/>
      <c r="C376" s="262"/>
      <c r="E376" s="262"/>
      <c r="F376" s="263"/>
      <c r="I376" s="264"/>
    </row>
    <row r="377" spans="1:9" ht="15.75" x14ac:dyDescent="0.25">
      <c r="A377" s="43"/>
      <c r="B377" s="261"/>
      <c r="C377" s="262"/>
      <c r="E377" s="262"/>
      <c r="F377" s="263"/>
      <c r="I377" s="264"/>
    </row>
    <row r="378" spans="1:9" ht="15.75" x14ac:dyDescent="0.25">
      <c r="A378" s="43"/>
      <c r="B378" s="261"/>
      <c r="C378" s="262"/>
      <c r="E378" s="262"/>
      <c r="F378" s="263"/>
      <c r="I378" s="264"/>
    </row>
    <row r="379" spans="1:9" ht="15.75" x14ac:dyDescent="0.25">
      <c r="A379" s="43"/>
      <c r="B379" s="261"/>
      <c r="C379" s="262"/>
      <c r="E379" s="262"/>
      <c r="F379" s="263"/>
      <c r="I379" s="264"/>
    </row>
    <row r="380" spans="1:9" ht="15.75" x14ac:dyDescent="0.25">
      <c r="A380" s="43"/>
      <c r="B380" s="261"/>
      <c r="C380" s="262"/>
      <c r="E380" s="262"/>
      <c r="F380" s="263"/>
      <c r="I380" s="264"/>
    </row>
    <row r="381" spans="1:9" ht="15.75" x14ac:dyDescent="0.25">
      <c r="A381" s="43"/>
      <c r="B381" s="261"/>
      <c r="C381" s="262"/>
      <c r="E381" s="262"/>
      <c r="F381" s="263"/>
      <c r="I381" s="264"/>
    </row>
    <row r="382" spans="1:9" ht="15.75" x14ac:dyDescent="0.25">
      <c r="A382" s="43"/>
      <c r="B382" s="261"/>
      <c r="C382" s="262"/>
      <c r="E382" s="262"/>
      <c r="F382" s="263"/>
      <c r="I382" s="264"/>
    </row>
    <row r="383" spans="1:9" ht="15.75" x14ac:dyDescent="0.25">
      <c r="A383" s="43"/>
      <c r="B383" s="261"/>
      <c r="C383" s="262"/>
      <c r="E383" s="262"/>
      <c r="F383" s="263"/>
      <c r="I383" s="264"/>
    </row>
    <row r="384" spans="1:9" ht="15.75" x14ac:dyDescent="0.25">
      <c r="A384" s="43"/>
      <c r="B384" s="261"/>
      <c r="C384" s="262"/>
      <c r="E384" s="262"/>
      <c r="F384" s="263"/>
      <c r="I384" s="264"/>
    </row>
    <row r="385" spans="1:9" ht="15.75" x14ac:dyDescent="0.25">
      <c r="A385" s="43"/>
      <c r="B385" s="261"/>
      <c r="C385" s="262"/>
      <c r="E385" s="262"/>
      <c r="F385" s="263"/>
      <c r="I385" s="264"/>
    </row>
    <row r="386" spans="1:9" ht="15.75" x14ac:dyDescent="0.25">
      <c r="A386" s="43"/>
      <c r="B386" s="261"/>
      <c r="C386" s="262"/>
      <c r="E386" s="262"/>
      <c r="F386" s="263"/>
      <c r="I386" s="264"/>
    </row>
    <row r="387" spans="1:9" ht="15.75" x14ac:dyDescent="0.25">
      <c r="A387" s="43"/>
      <c r="B387" s="261"/>
      <c r="C387" s="262"/>
      <c r="E387" s="262"/>
      <c r="F387" s="263"/>
      <c r="I387" s="264"/>
    </row>
    <row r="388" spans="1:9" ht="15.75" x14ac:dyDescent="0.25">
      <c r="A388" s="43"/>
      <c r="B388" s="261"/>
      <c r="C388" s="262"/>
      <c r="E388" s="262"/>
      <c r="F388" s="263"/>
      <c r="I388" s="264"/>
    </row>
    <row r="389" spans="1:9" ht="15.75" x14ac:dyDescent="0.25">
      <c r="A389" s="43"/>
      <c r="B389" s="261"/>
      <c r="C389" s="262"/>
      <c r="E389" s="262"/>
      <c r="F389" s="263"/>
      <c r="I389" s="264"/>
    </row>
    <row r="390" spans="1:9" ht="15.75" x14ac:dyDescent="0.25">
      <c r="A390" s="43"/>
      <c r="B390" s="261"/>
      <c r="C390" s="262"/>
      <c r="E390" s="262"/>
      <c r="F390" s="263"/>
      <c r="I390" s="264"/>
    </row>
    <row r="391" spans="1:9" ht="15.75" x14ac:dyDescent="0.25">
      <c r="A391" s="43"/>
      <c r="B391" s="261"/>
      <c r="C391" s="262"/>
      <c r="E391" s="262"/>
      <c r="F391" s="263"/>
      <c r="I391" s="264"/>
    </row>
    <row r="392" spans="1:9" ht="15.75" x14ac:dyDescent="0.25">
      <c r="A392" s="43"/>
      <c r="B392" s="261"/>
      <c r="C392" s="262"/>
      <c r="E392" s="262"/>
      <c r="F392" s="263"/>
      <c r="I392" s="264"/>
    </row>
    <row r="393" spans="1:9" ht="15.75" x14ac:dyDescent="0.25">
      <c r="A393" s="43"/>
      <c r="B393" s="261"/>
      <c r="C393" s="262"/>
      <c r="E393" s="262"/>
      <c r="F393" s="263"/>
      <c r="I393" s="264"/>
    </row>
    <row r="394" spans="1:9" ht="15.75" x14ac:dyDescent="0.25">
      <c r="A394" s="43"/>
      <c r="B394" s="261"/>
      <c r="C394" s="262"/>
      <c r="E394" s="262"/>
      <c r="F394" s="263"/>
      <c r="I394" s="264"/>
    </row>
    <row r="395" spans="1:9" ht="15.75" x14ac:dyDescent="0.25">
      <c r="A395" s="43"/>
      <c r="B395" s="261"/>
      <c r="C395" s="262"/>
      <c r="E395" s="262"/>
      <c r="F395" s="263"/>
      <c r="I395" s="264"/>
    </row>
    <row r="396" spans="1:9" ht="15.75" x14ac:dyDescent="0.25">
      <c r="A396" s="43"/>
      <c r="B396" s="261"/>
      <c r="C396" s="262"/>
      <c r="E396" s="262"/>
      <c r="F396" s="263"/>
      <c r="I396" s="264"/>
    </row>
    <row r="397" spans="1:9" ht="15.75" x14ac:dyDescent="0.25">
      <c r="A397" s="43"/>
      <c r="B397" s="261"/>
      <c r="C397" s="262"/>
      <c r="E397" s="262"/>
      <c r="F397" s="263"/>
      <c r="I397" s="264"/>
    </row>
    <row r="398" spans="1:9" ht="15.75" x14ac:dyDescent="0.25">
      <c r="A398" s="43"/>
      <c r="B398" s="261"/>
      <c r="C398" s="262"/>
      <c r="E398" s="262"/>
      <c r="F398" s="263"/>
      <c r="I398" s="264"/>
    </row>
    <row r="399" spans="1:9" ht="15.75" x14ac:dyDescent="0.25">
      <c r="A399" s="43"/>
      <c r="B399" s="261"/>
      <c r="C399" s="262"/>
      <c r="E399" s="262"/>
      <c r="F399" s="263"/>
      <c r="I399" s="264"/>
    </row>
    <row r="400" spans="1:9" ht="15.75" x14ac:dyDescent="0.25">
      <c r="A400" s="43"/>
      <c r="B400" s="261"/>
      <c r="C400" s="262"/>
      <c r="E400" s="262"/>
      <c r="F400" s="263"/>
      <c r="I400" s="264"/>
    </row>
    <row r="401" spans="1:9" ht="15.75" x14ac:dyDescent="0.25">
      <c r="A401" s="43"/>
      <c r="B401" s="261"/>
      <c r="C401" s="262"/>
      <c r="E401" s="262"/>
      <c r="F401" s="263"/>
      <c r="I401" s="264"/>
    </row>
    <row r="402" spans="1:9" ht="15.75" x14ac:dyDescent="0.25">
      <c r="A402" s="43"/>
      <c r="B402" s="261"/>
      <c r="C402" s="262"/>
      <c r="E402" s="262"/>
      <c r="F402" s="263"/>
      <c r="I402" s="264"/>
    </row>
    <row r="403" spans="1:9" ht="15.75" x14ac:dyDescent="0.25">
      <c r="A403" s="43"/>
      <c r="B403" s="261"/>
      <c r="C403" s="262"/>
      <c r="E403" s="262"/>
      <c r="F403" s="263"/>
      <c r="I403" s="264"/>
    </row>
    <row r="404" spans="1:9" ht="15.75" x14ac:dyDescent="0.25">
      <c r="A404" s="43"/>
      <c r="B404" s="261"/>
      <c r="C404" s="262"/>
      <c r="E404" s="262"/>
      <c r="F404" s="263"/>
      <c r="I404" s="264"/>
    </row>
    <row r="405" spans="1:9" ht="15.75" x14ac:dyDescent="0.25">
      <c r="A405" s="43"/>
      <c r="B405" s="261"/>
      <c r="C405" s="262"/>
      <c r="E405" s="262"/>
      <c r="F405" s="263"/>
      <c r="I405" s="264"/>
    </row>
    <row r="406" spans="1:9" ht="15.75" x14ac:dyDescent="0.25">
      <c r="A406" s="43"/>
      <c r="B406" s="261"/>
      <c r="C406" s="262"/>
      <c r="E406" s="262"/>
      <c r="F406" s="263"/>
      <c r="I406" s="264"/>
    </row>
    <row r="407" spans="1:9" ht="15.75" x14ac:dyDescent="0.25">
      <c r="A407" s="43"/>
      <c r="B407" s="261"/>
      <c r="C407" s="262"/>
      <c r="E407" s="262"/>
      <c r="F407" s="263"/>
      <c r="I407" s="264"/>
    </row>
    <row r="408" spans="1:9" ht="15.75" x14ac:dyDescent="0.25">
      <c r="A408" s="43"/>
      <c r="B408" s="261"/>
      <c r="C408" s="262"/>
      <c r="E408" s="262"/>
      <c r="F408" s="263"/>
      <c r="I408" s="264"/>
    </row>
    <row r="409" spans="1:9" ht="15.75" x14ac:dyDescent="0.25">
      <c r="A409" s="43"/>
      <c r="B409" s="261"/>
      <c r="C409" s="262"/>
      <c r="E409" s="262"/>
      <c r="F409" s="263"/>
      <c r="I409" s="264"/>
    </row>
    <row r="410" spans="1:9" ht="15.75" x14ac:dyDescent="0.25">
      <c r="A410" s="43"/>
      <c r="B410" s="261"/>
      <c r="C410" s="262"/>
      <c r="E410" s="262"/>
      <c r="F410" s="263"/>
      <c r="I410" s="264"/>
    </row>
    <row r="411" spans="1:9" ht="15.75" x14ac:dyDescent="0.25">
      <c r="A411" s="43"/>
      <c r="B411" s="261"/>
      <c r="C411" s="262"/>
      <c r="E411" s="262"/>
      <c r="F411" s="263"/>
      <c r="I411" s="264"/>
    </row>
    <row r="412" spans="1:9" ht="15.75" x14ac:dyDescent="0.25">
      <c r="A412" s="43"/>
      <c r="B412" s="261"/>
      <c r="C412" s="262"/>
      <c r="E412" s="262"/>
      <c r="F412" s="263"/>
      <c r="I412" s="264"/>
    </row>
    <row r="413" spans="1:9" ht="15.75" x14ac:dyDescent="0.25">
      <c r="A413" s="43"/>
      <c r="B413" s="261"/>
      <c r="C413" s="262"/>
      <c r="E413" s="262"/>
      <c r="F413" s="263"/>
      <c r="I413" s="264"/>
    </row>
    <row r="414" spans="1:9" ht="15.75" x14ac:dyDescent="0.25">
      <c r="A414" s="43"/>
      <c r="B414" s="261"/>
      <c r="C414" s="262"/>
      <c r="E414" s="262"/>
      <c r="F414" s="263"/>
      <c r="I414" s="264"/>
    </row>
    <row r="415" spans="1:9" ht="15.75" x14ac:dyDescent="0.25">
      <c r="A415" s="43"/>
      <c r="B415" s="261"/>
      <c r="C415" s="262"/>
      <c r="E415" s="262"/>
      <c r="F415" s="263"/>
      <c r="I415" s="264"/>
    </row>
    <row r="416" spans="1:9" ht="15.75" x14ac:dyDescent="0.25">
      <c r="A416" s="43"/>
      <c r="B416" s="261"/>
      <c r="C416" s="262"/>
      <c r="E416" s="262"/>
      <c r="F416" s="263"/>
      <c r="I416" s="264"/>
    </row>
    <row r="417" spans="1:9" ht="15.75" x14ac:dyDescent="0.25">
      <c r="A417" s="43"/>
      <c r="B417" s="261"/>
      <c r="C417" s="262"/>
      <c r="E417" s="262"/>
      <c r="F417" s="263"/>
      <c r="I417" s="264"/>
    </row>
    <row r="418" spans="1:9" ht="15.75" x14ac:dyDescent="0.25">
      <c r="A418" s="43"/>
      <c r="B418" s="261"/>
      <c r="C418" s="262"/>
      <c r="E418" s="262"/>
      <c r="F418" s="263"/>
      <c r="I418" s="264"/>
    </row>
    <row r="419" spans="1:9" ht="15.75" x14ac:dyDescent="0.25">
      <c r="A419" s="43"/>
      <c r="B419" s="261"/>
      <c r="C419" s="262"/>
      <c r="E419" s="262"/>
      <c r="F419" s="263"/>
      <c r="I419" s="264"/>
    </row>
    <row r="420" spans="1:9" ht="15.75" x14ac:dyDescent="0.25">
      <c r="A420" s="43"/>
      <c r="B420" s="261"/>
      <c r="C420" s="262"/>
      <c r="E420" s="262"/>
      <c r="F420" s="263"/>
      <c r="I420" s="264"/>
    </row>
    <row r="421" spans="1:9" ht="15.75" x14ac:dyDescent="0.25">
      <c r="A421" s="43"/>
      <c r="B421" s="261"/>
      <c r="C421" s="262"/>
      <c r="E421" s="262"/>
      <c r="F421" s="263"/>
      <c r="I421" s="264"/>
    </row>
    <row r="422" spans="1:9" ht="15.75" x14ac:dyDescent="0.25">
      <c r="A422" s="43"/>
      <c r="B422" s="261"/>
      <c r="C422" s="262"/>
      <c r="E422" s="262"/>
      <c r="F422" s="263"/>
      <c r="I422" s="264"/>
    </row>
    <row r="423" spans="1:9" ht="15.75" x14ac:dyDescent="0.25">
      <c r="A423" s="43"/>
      <c r="B423" s="261"/>
      <c r="C423" s="262"/>
      <c r="E423" s="262"/>
      <c r="F423" s="263"/>
      <c r="I423" s="264"/>
    </row>
    <row r="424" spans="1:9" ht="15.75" x14ac:dyDescent="0.25">
      <c r="A424" s="43"/>
      <c r="B424" s="261"/>
      <c r="C424" s="262"/>
      <c r="E424" s="262"/>
      <c r="F424" s="263"/>
      <c r="I424" s="264"/>
    </row>
    <row r="425" spans="1:9" ht="15.75" x14ac:dyDescent="0.25">
      <c r="A425" s="43"/>
      <c r="B425" s="261"/>
      <c r="C425" s="262"/>
      <c r="E425" s="262"/>
      <c r="F425" s="263"/>
      <c r="I425" s="264"/>
    </row>
    <row r="426" spans="1:9" ht="15.75" x14ac:dyDescent="0.25">
      <c r="A426" s="43"/>
      <c r="B426" s="261"/>
      <c r="C426" s="262"/>
      <c r="E426" s="262"/>
      <c r="F426" s="263"/>
      <c r="I426" s="264"/>
    </row>
    <row r="427" spans="1:9" ht="15.75" x14ac:dyDescent="0.25">
      <c r="A427" s="43"/>
      <c r="B427" s="261"/>
      <c r="C427" s="262"/>
      <c r="E427" s="262"/>
      <c r="F427" s="263"/>
      <c r="I427" s="264"/>
    </row>
    <row r="428" spans="1:9" ht="15.75" x14ac:dyDescent="0.25">
      <c r="A428" s="43"/>
      <c r="B428" s="261"/>
      <c r="C428" s="262"/>
      <c r="E428" s="262"/>
      <c r="F428" s="263"/>
      <c r="I428" s="264"/>
    </row>
    <row r="429" spans="1:9" ht="15.75" x14ac:dyDescent="0.25">
      <c r="A429" s="43"/>
      <c r="B429" s="261"/>
      <c r="C429" s="262"/>
      <c r="E429" s="262"/>
      <c r="F429" s="263"/>
      <c r="I429" s="264"/>
    </row>
    <row r="430" spans="1:9" ht="15.75" x14ac:dyDescent="0.25">
      <c r="A430" s="43"/>
      <c r="B430" s="261"/>
      <c r="C430" s="262"/>
      <c r="E430" s="262"/>
      <c r="F430" s="263"/>
      <c r="I430" s="264"/>
    </row>
    <row r="431" spans="1:9" ht="15.75" x14ac:dyDescent="0.25">
      <c r="A431" s="43"/>
      <c r="B431" s="261"/>
      <c r="C431" s="262"/>
      <c r="E431" s="262"/>
      <c r="F431" s="263"/>
      <c r="I431" s="264"/>
    </row>
    <row r="432" spans="1:9" ht="15.75" x14ac:dyDescent="0.25">
      <c r="A432" s="43"/>
      <c r="B432" s="261"/>
      <c r="C432" s="262"/>
      <c r="E432" s="262"/>
      <c r="F432" s="263"/>
      <c r="I432" s="264"/>
    </row>
    <row r="433" spans="1:9" ht="15.75" x14ac:dyDescent="0.25">
      <c r="A433" s="43"/>
      <c r="B433" s="261"/>
      <c r="C433" s="262"/>
      <c r="E433" s="262"/>
      <c r="F433" s="263"/>
      <c r="I433" s="264"/>
    </row>
    <row r="434" spans="1:9" ht="15.75" x14ac:dyDescent="0.25">
      <c r="A434" s="43"/>
      <c r="B434" s="261"/>
      <c r="C434" s="262"/>
      <c r="E434" s="262"/>
      <c r="F434" s="263"/>
      <c r="I434" s="264"/>
    </row>
    <row r="435" spans="1:9" ht="15.75" x14ac:dyDescent="0.25">
      <c r="A435" s="43"/>
      <c r="B435" s="261"/>
      <c r="C435" s="262"/>
      <c r="E435" s="262"/>
      <c r="F435" s="263"/>
      <c r="I435" s="264"/>
    </row>
    <row r="436" spans="1:9" ht="15.75" x14ac:dyDescent="0.25">
      <c r="A436" s="43"/>
      <c r="B436" s="261"/>
      <c r="C436" s="262"/>
      <c r="E436" s="262"/>
      <c r="F436" s="263"/>
      <c r="I436" s="264"/>
    </row>
    <row r="437" spans="1:9" ht="15.75" x14ac:dyDescent="0.25">
      <c r="A437" s="43"/>
      <c r="B437" s="261"/>
      <c r="C437" s="262"/>
      <c r="E437" s="262"/>
      <c r="F437" s="263"/>
      <c r="I437" s="264"/>
    </row>
    <row r="438" spans="1:9" ht="15.75" x14ac:dyDescent="0.25">
      <c r="A438" s="43"/>
      <c r="B438" s="261"/>
      <c r="C438" s="262"/>
      <c r="E438" s="262"/>
      <c r="F438" s="263"/>
      <c r="I438" s="264"/>
    </row>
    <row r="439" spans="1:9" ht="15.75" x14ac:dyDescent="0.25">
      <c r="A439" s="43"/>
      <c r="B439" s="261"/>
      <c r="C439" s="262"/>
      <c r="E439" s="262"/>
      <c r="F439" s="263"/>
      <c r="I439" s="264"/>
    </row>
    <row r="440" spans="1:9" ht="15.75" x14ac:dyDescent="0.25">
      <c r="A440" s="43"/>
      <c r="B440" s="261"/>
      <c r="C440" s="262"/>
      <c r="E440" s="262"/>
      <c r="F440" s="263"/>
      <c r="I440" s="264"/>
    </row>
    <row r="441" spans="1:9" ht="15.75" x14ac:dyDescent="0.25">
      <c r="A441" s="43"/>
      <c r="B441" s="261"/>
      <c r="C441" s="262"/>
      <c r="E441" s="262"/>
      <c r="F441" s="263"/>
      <c r="I441" s="264"/>
    </row>
    <row r="442" spans="1:9" ht="15.75" x14ac:dyDescent="0.25">
      <c r="A442" s="43"/>
      <c r="B442" s="261"/>
      <c r="C442" s="262"/>
      <c r="E442" s="262"/>
      <c r="F442" s="263"/>
      <c r="I442" s="264"/>
    </row>
    <row r="443" spans="1:9" ht="15.75" x14ac:dyDescent="0.25">
      <c r="A443" s="43"/>
      <c r="B443" s="261"/>
      <c r="C443" s="262"/>
      <c r="E443" s="262"/>
      <c r="F443" s="263"/>
      <c r="I443" s="264"/>
    </row>
    <row r="444" spans="1:9" ht="15.75" x14ac:dyDescent="0.25">
      <c r="A444" s="43"/>
      <c r="B444" s="261"/>
      <c r="C444" s="262"/>
      <c r="E444" s="262"/>
      <c r="F444" s="263"/>
      <c r="I444" s="264"/>
    </row>
    <row r="445" spans="1:9" ht="15.75" x14ac:dyDescent="0.25">
      <c r="A445" s="43"/>
      <c r="B445" s="261"/>
      <c r="C445" s="262"/>
      <c r="E445" s="262"/>
      <c r="F445" s="263"/>
      <c r="I445" s="264"/>
    </row>
    <row r="446" spans="1:9" ht="15.75" x14ac:dyDescent="0.25">
      <c r="A446" s="43"/>
      <c r="B446" s="261"/>
      <c r="C446" s="262"/>
      <c r="E446" s="262"/>
      <c r="F446" s="263"/>
      <c r="I446" s="264"/>
    </row>
    <row r="447" spans="1:9" ht="15.75" x14ac:dyDescent="0.25">
      <c r="A447" s="43"/>
      <c r="B447" s="261"/>
      <c r="C447" s="262"/>
      <c r="E447" s="262"/>
      <c r="F447" s="263"/>
      <c r="I447" s="264"/>
    </row>
    <row r="448" spans="1:9" ht="15.75" x14ac:dyDescent="0.25">
      <c r="A448" s="43"/>
      <c r="B448" s="261"/>
      <c r="C448" s="262"/>
      <c r="E448" s="262"/>
      <c r="F448" s="263"/>
      <c r="I448" s="264"/>
    </row>
    <row r="449" spans="1:9" ht="15.75" x14ac:dyDescent="0.25">
      <c r="A449" s="43"/>
      <c r="B449" s="261"/>
      <c r="C449" s="262"/>
      <c r="E449" s="262"/>
      <c r="F449" s="263"/>
      <c r="I449" s="264"/>
    </row>
    <row r="450" spans="1:9" ht="15.75" x14ac:dyDescent="0.25">
      <c r="A450" s="43"/>
      <c r="B450" s="261"/>
      <c r="C450" s="262"/>
      <c r="E450" s="262"/>
      <c r="F450" s="263"/>
      <c r="I450" s="264"/>
    </row>
    <row r="451" spans="1:9" ht="15.75" x14ac:dyDescent="0.25">
      <c r="A451" s="43"/>
      <c r="B451" s="261"/>
      <c r="C451" s="262"/>
      <c r="E451" s="262"/>
      <c r="F451" s="263"/>
      <c r="I451" s="264"/>
    </row>
    <row r="452" spans="1:9" ht="15.75" x14ac:dyDescent="0.25">
      <c r="A452" s="43"/>
      <c r="B452" s="261"/>
      <c r="C452" s="262"/>
      <c r="E452" s="262"/>
      <c r="F452" s="263"/>
      <c r="I452" s="264"/>
    </row>
    <row r="453" spans="1:9" ht="15.75" x14ac:dyDescent="0.25">
      <c r="A453" s="43"/>
      <c r="B453" s="261"/>
      <c r="C453" s="262"/>
      <c r="E453" s="262"/>
      <c r="F453" s="263"/>
      <c r="I453" s="264"/>
    </row>
    <row r="454" spans="1:9" ht="15.75" x14ac:dyDescent="0.25">
      <c r="A454" s="43"/>
      <c r="B454" s="261"/>
      <c r="C454" s="262"/>
      <c r="E454" s="262"/>
      <c r="F454" s="263"/>
      <c r="I454" s="264"/>
    </row>
    <row r="455" spans="1:9" ht="15.75" x14ac:dyDescent="0.25">
      <c r="A455" s="43"/>
      <c r="B455" s="261"/>
      <c r="C455" s="262"/>
      <c r="E455" s="262"/>
      <c r="F455" s="263"/>
      <c r="I455" s="264"/>
    </row>
    <row r="456" spans="1:9" ht="15.75" x14ac:dyDescent="0.25">
      <c r="A456" s="43"/>
      <c r="B456" s="261"/>
      <c r="C456" s="262"/>
      <c r="E456" s="262"/>
      <c r="F456" s="263"/>
      <c r="I456" s="264"/>
    </row>
    <row r="457" spans="1:9" ht="15.75" x14ac:dyDescent="0.25">
      <c r="A457" s="43"/>
      <c r="B457" s="261"/>
      <c r="C457" s="262"/>
      <c r="E457" s="262"/>
      <c r="F457" s="263"/>
      <c r="I457" s="264"/>
    </row>
    <row r="458" spans="1:9" ht="15.75" x14ac:dyDescent="0.25">
      <c r="A458" s="43"/>
      <c r="B458" s="261"/>
      <c r="C458" s="262"/>
      <c r="E458" s="262"/>
      <c r="F458" s="263"/>
      <c r="I458" s="264"/>
    </row>
    <row r="459" spans="1:9" ht="15.75" x14ac:dyDescent="0.25">
      <c r="A459" s="43"/>
      <c r="B459" s="261"/>
      <c r="C459" s="262"/>
      <c r="E459" s="262"/>
      <c r="F459" s="263"/>
      <c r="I459" s="264"/>
    </row>
    <row r="460" spans="1:9" ht="15.75" x14ac:dyDescent="0.25">
      <c r="A460" s="43"/>
      <c r="B460" s="261"/>
      <c r="C460" s="262"/>
      <c r="E460" s="262"/>
      <c r="F460" s="263"/>
      <c r="I460" s="264"/>
    </row>
    <row r="461" spans="1:9" ht="15.75" x14ac:dyDescent="0.25">
      <c r="A461" s="43"/>
      <c r="B461" s="261"/>
      <c r="C461" s="262"/>
      <c r="E461" s="262"/>
      <c r="F461" s="263"/>
      <c r="I461" s="264"/>
    </row>
    <row r="462" spans="1:9" ht="15.75" x14ac:dyDescent="0.25">
      <c r="A462" s="43"/>
      <c r="B462" s="261"/>
      <c r="C462" s="262"/>
      <c r="E462" s="262"/>
      <c r="F462" s="263"/>
      <c r="I462" s="264"/>
    </row>
    <row r="463" spans="1:9" ht="15.75" x14ac:dyDescent="0.25">
      <c r="A463" s="43"/>
      <c r="B463" s="261"/>
      <c r="C463" s="262"/>
      <c r="E463" s="262"/>
      <c r="F463" s="263"/>
      <c r="I463" s="264"/>
    </row>
    <row r="464" spans="1:9" ht="15.75" x14ac:dyDescent="0.25">
      <c r="A464" s="43"/>
      <c r="B464" s="261"/>
      <c r="C464" s="262"/>
      <c r="E464" s="262"/>
      <c r="F464" s="263"/>
      <c r="I464" s="264"/>
    </row>
    <row r="465" spans="1:9" ht="15.75" x14ac:dyDescent="0.25">
      <c r="A465" s="43"/>
      <c r="B465" s="261"/>
      <c r="C465" s="262"/>
      <c r="E465" s="262"/>
      <c r="F465" s="263"/>
      <c r="I465" s="264"/>
    </row>
    <row r="466" spans="1:9" ht="15.75" x14ac:dyDescent="0.25">
      <c r="A466" s="43"/>
      <c r="B466" s="261"/>
      <c r="C466" s="262"/>
      <c r="E466" s="262"/>
      <c r="F466" s="263"/>
      <c r="I466" s="264"/>
    </row>
    <row r="467" spans="1:9" ht="15.75" x14ac:dyDescent="0.25">
      <c r="A467" s="43"/>
      <c r="B467" s="261"/>
      <c r="C467" s="262"/>
      <c r="E467" s="262"/>
      <c r="F467" s="263"/>
      <c r="I467" s="264"/>
    </row>
    <row r="468" spans="1:9" ht="15.75" x14ac:dyDescent="0.25">
      <c r="A468" s="43"/>
      <c r="B468" s="261"/>
      <c r="C468" s="262"/>
      <c r="E468" s="262"/>
      <c r="F468" s="263"/>
      <c r="I468" s="264"/>
    </row>
    <row r="469" spans="1:9" ht="15.75" x14ac:dyDescent="0.25">
      <c r="A469" s="43"/>
      <c r="B469" s="261"/>
      <c r="C469" s="262"/>
      <c r="E469" s="262"/>
      <c r="F469" s="263"/>
      <c r="I469" s="264"/>
    </row>
    <row r="470" spans="1:9" ht="15.75" x14ac:dyDescent="0.25">
      <c r="A470" s="43"/>
      <c r="B470" s="261"/>
      <c r="C470" s="262"/>
      <c r="E470" s="262"/>
      <c r="F470" s="263"/>
      <c r="I470" s="264"/>
    </row>
    <row r="471" spans="1:9" ht="15.75" x14ac:dyDescent="0.25">
      <c r="A471" s="43"/>
      <c r="B471" s="261"/>
      <c r="C471" s="262"/>
      <c r="E471" s="262"/>
      <c r="F471" s="263"/>
      <c r="I471" s="264"/>
    </row>
    <row r="472" spans="1:9" ht="15.75" x14ac:dyDescent="0.25">
      <c r="A472" s="43"/>
      <c r="B472" s="261"/>
      <c r="C472" s="262"/>
      <c r="E472" s="262"/>
      <c r="F472" s="263"/>
      <c r="I472" s="264"/>
    </row>
    <row r="473" spans="1:9" ht="15.75" x14ac:dyDescent="0.25">
      <c r="A473" s="43"/>
      <c r="B473" s="261"/>
      <c r="C473" s="262"/>
      <c r="E473" s="262"/>
      <c r="F473" s="263"/>
      <c r="I473" s="264"/>
    </row>
    <row r="474" spans="1:9" ht="15.75" x14ac:dyDescent="0.25">
      <c r="A474" s="43"/>
      <c r="B474" s="261"/>
      <c r="C474" s="262"/>
      <c r="E474" s="262"/>
      <c r="F474" s="263"/>
      <c r="I474" s="264"/>
    </row>
    <row r="475" spans="1:9" ht="15.75" x14ac:dyDescent="0.25">
      <c r="A475" s="43"/>
      <c r="B475" s="261"/>
      <c r="C475" s="262"/>
      <c r="E475" s="262"/>
      <c r="F475" s="263"/>
      <c r="I475" s="264"/>
    </row>
    <row r="476" spans="1:9" ht="15.75" x14ac:dyDescent="0.25">
      <c r="A476" s="43"/>
      <c r="B476" s="261"/>
      <c r="C476" s="262"/>
      <c r="E476" s="262"/>
      <c r="F476" s="263"/>
      <c r="I476" s="264"/>
    </row>
    <row r="477" spans="1:9" ht="15.75" x14ac:dyDescent="0.25">
      <c r="A477" s="43"/>
      <c r="B477" s="261"/>
      <c r="C477" s="262"/>
      <c r="E477" s="262"/>
      <c r="F477" s="263"/>
      <c r="I477" s="264"/>
    </row>
    <row r="478" spans="1:9" ht="15.75" x14ac:dyDescent="0.25">
      <c r="A478" s="43"/>
      <c r="B478" s="261"/>
      <c r="C478" s="262"/>
      <c r="E478" s="262"/>
      <c r="F478" s="263"/>
      <c r="I478" s="264"/>
    </row>
    <row r="479" spans="1:9" ht="15.75" x14ac:dyDescent="0.25">
      <c r="A479" s="43"/>
      <c r="B479" s="261"/>
      <c r="C479" s="262"/>
      <c r="E479" s="262"/>
      <c r="F479" s="263"/>
      <c r="I479" s="264"/>
    </row>
    <row r="480" spans="1:9" ht="15.75" x14ac:dyDescent="0.25">
      <c r="A480" s="43"/>
      <c r="B480" s="261"/>
      <c r="C480" s="262"/>
      <c r="E480" s="262"/>
      <c r="F480" s="263"/>
      <c r="I480" s="264"/>
    </row>
    <row r="481" spans="1:9" ht="15.75" x14ac:dyDescent="0.25">
      <c r="A481" s="43"/>
      <c r="B481" s="261"/>
      <c r="C481" s="262"/>
      <c r="E481" s="262"/>
      <c r="F481" s="263"/>
      <c r="I481" s="264"/>
    </row>
    <row r="482" spans="1:9" ht="15.75" x14ac:dyDescent="0.25">
      <c r="A482" s="43"/>
      <c r="B482" s="261"/>
      <c r="C482" s="262"/>
      <c r="E482" s="262"/>
      <c r="F482" s="263"/>
      <c r="I482" s="264"/>
    </row>
    <row r="483" spans="1:9" ht="15.75" x14ac:dyDescent="0.25">
      <c r="A483" s="43"/>
      <c r="B483" s="261"/>
      <c r="C483" s="262"/>
      <c r="E483" s="262"/>
      <c r="F483" s="263"/>
      <c r="I483" s="264"/>
    </row>
    <row r="484" spans="1:9" ht="15.75" x14ac:dyDescent="0.25">
      <c r="A484" s="43"/>
      <c r="B484" s="261"/>
      <c r="C484" s="262"/>
      <c r="E484" s="262"/>
      <c r="F484" s="263"/>
      <c r="I484" s="264"/>
    </row>
    <row r="485" spans="1:9" ht="15.75" x14ac:dyDescent="0.25">
      <c r="A485" s="43"/>
      <c r="B485" s="261"/>
      <c r="C485" s="262"/>
      <c r="E485" s="262"/>
      <c r="F485" s="263"/>
      <c r="I485" s="264"/>
    </row>
    <row r="486" spans="1:9" ht="15.75" x14ac:dyDescent="0.25">
      <c r="A486" s="43"/>
      <c r="B486" s="261"/>
      <c r="C486" s="262"/>
      <c r="E486" s="262"/>
      <c r="F486" s="263"/>
      <c r="I486" s="264"/>
    </row>
    <row r="487" spans="1:9" ht="15.75" x14ac:dyDescent="0.25">
      <c r="A487" s="43"/>
      <c r="B487" s="261"/>
      <c r="C487" s="262"/>
      <c r="E487" s="262"/>
      <c r="F487" s="263"/>
      <c r="I487" s="264"/>
    </row>
    <row r="488" spans="1:9" ht="15.75" x14ac:dyDescent="0.25">
      <c r="A488" s="43"/>
      <c r="B488" s="261"/>
      <c r="C488" s="262"/>
      <c r="E488" s="262"/>
      <c r="F488" s="263"/>
      <c r="I488" s="264"/>
    </row>
    <row r="489" spans="1:9" ht="15.75" x14ac:dyDescent="0.25">
      <c r="A489" s="43"/>
      <c r="B489" s="261"/>
      <c r="C489" s="262"/>
      <c r="E489" s="262"/>
      <c r="F489" s="263"/>
      <c r="I489" s="264"/>
    </row>
    <row r="490" spans="1:9" ht="15.75" x14ac:dyDescent="0.25">
      <c r="A490" s="43"/>
      <c r="B490" s="261"/>
      <c r="C490" s="262"/>
      <c r="E490" s="262"/>
      <c r="F490" s="263"/>
      <c r="I490" s="264"/>
    </row>
    <row r="491" spans="1:9" ht="15.75" x14ac:dyDescent="0.25">
      <c r="A491" s="43"/>
      <c r="B491" s="261"/>
      <c r="C491" s="262"/>
      <c r="E491" s="262"/>
      <c r="F491" s="263"/>
      <c r="I491" s="264"/>
    </row>
    <row r="492" spans="1:9" ht="15.75" x14ac:dyDescent="0.25">
      <c r="A492" s="43"/>
      <c r="B492" s="261"/>
      <c r="C492" s="262"/>
      <c r="E492" s="262"/>
      <c r="F492" s="263"/>
      <c r="I492" s="264"/>
    </row>
    <row r="493" spans="1:9" ht="15.75" x14ac:dyDescent="0.25">
      <c r="A493" s="43"/>
      <c r="B493" s="261"/>
      <c r="C493" s="262"/>
      <c r="E493" s="262"/>
      <c r="F493" s="263"/>
      <c r="I493" s="264"/>
    </row>
    <row r="494" spans="1:9" ht="15.75" x14ac:dyDescent="0.25">
      <c r="A494" s="43"/>
      <c r="B494" s="261"/>
      <c r="C494" s="262"/>
      <c r="E494" s="262"/>
      <c r="F494" s="263"/>
      <c r="I494" s="264"/>
    </row>
    <row r="495" spans="1:9" ht="15.75" x14ac:dyDescent="0.25">
      <c r="A495" s="43"/>
      <c r="B495" s="261"/>
      <c r="C495" s="262"/>
      <c r="E495" s="262"/>
      <c r="F495" s="263"/>
      <c r="I495" s="264"/>
    </row>
    <row r="496" spans="1:9" ht="15.75" x14ac:dyDescent="0.25">
      <c r="A496" s="43"/>
      <c r="B496" s="261"/>
      <c r="C496" s="262"/>
      <c r="E496" s="262"/>
      <c r="F496" s="263"/>
      <c r="I496" s="264"/>
    </row>
    <row r="497" spans="1:9" ht="15.75" x14ac:dyDescent="0.25">
      <c r="A497" s="43"/>
      <c r="B497" s="261"/>
      <c r="C497" s="262"/>
      <c r="E497" s="262"/>
      <c r="F497" s="263"/>
      <c r="I497" s="264"/>
    </row>
    <row r="498" spans="1:9" ht="15.75" x14ac:dyDescent="0.25">
      <c r="A498" s="43"/>
      <c r="B498" s="261"/>
      <c r="C498" s="262"/>
      <c r="E498" s="262"/>
      <c r="F498" s="263"/>
      <c r="I498" s="264"/>
    </row>
    <row r="499" spans="1:9" ht="15.75" x14ac:dyDescent="0.25">
      <c r="A499" s="43"/>
      <c r="B499" s="261"/>
      <c r="C499" s="262"/>
      <c r="E499" s="262"/>
      <c r="F499" s="263"/>
      <c r="I499" s="264"/>
    </row>
    <row r="500" spans="1:9" ht="15.75" x14ac:dyDescent="0.25">
      <c r="A500" s="43"/>
      <c r="B500" s="261"/>
      <c r="C500" s="262"/>
      <c r="E500" s="262"/>
      <c r="F500" s="263"/>
      <c r="I500" s="264"/>
    </row>
    <row r="501" spans="1:9" ht="15.75" x14ac:dyDescent="0.25">
      <c r="A501" s="43"/>
      <c r="B501" s="261"/>
      <c r="C501" s="262"/>
      <c r="E501" s="262"/>
      <c r="F501" s="263"/>
      <c r="I501" s="264"/>
    </row>
    <row r="502" spans="1:9" ht="15.75" x14ac:dyDescent="0.25">
      <c r="A502" s="43"/>
      <c r="B502" s="261"/>
      <c r="C502" s="262"/>
      <c r="E502" s="262"/>
      <c r="F502" s="263"/>
      <c r="I502" s="264"/>
    </row>
    <row r="503" spans="1:9" ht="15.75" x14ac:dyDescent="0.25">
      <c r="A503" s="43"/>
      <c r="B503" s="261"/>
      <c r="C503" s="262"/>
      <c r="E503" s="262"/>
      <c r="F503" s="263"/>
      <c r="I503" s="264"/>
    </row>
    <row r="504" spans="1:9" ht="15.75" x14ac:dyDescent="0.25">
      <c r="A504" s="43"/>
      <c r="B504" s="261"/>
      <c r="C504" s="262"/>
      <c r="E504" s="262"/>
      <c r="F504" s="263"/>
      <c r="I504" s="264"/>
    </row>
    <row r="505" spans="1:9" ht="15.75" x14ac:dyDescent="0.25">
      <c r="A505" s="43"/>
      <c r="B505" s="261"/>
      <c r="C505" s="262"/>
      <c r="E505" s="262"/>
      <c r="F505" s="263"/>
      <c r="I505" s="264"/>
    </row>
    <row r="506" spans="1:9" ht="15.75" x14ac:dyDescent="0.25">
      <c r="A506" s="43"/>
      <c r="B506" s="261"/>
      <c r="C506" s="262"/>
      <c r="E506" s="262"/>
      <c r="F506" s="263"/>
      <c r="I506" s="264"/>
    </row>
    <row r="507" spans="1:9" ht="15.75" x14ac:dyDescent="0.25">
      <c r="A507" s="43"/>
      <c r="B507" s="261"/>
      <c r="C507" s="262"/>
      <c r="E507" s="262"/>
      <c r="F507" s="263"/>
      <c r="I507" s="264"/>
    </row>
    <row r="508" spans="1:9" ht="15.75" x14ac:dyDescent="0.25">
      <c r="A508" s="43"/>
      <c r="B508" s="261"/>
      <c r="C508" s="262"/>
      <c r="E508" s="262"/>
      <c r="F508" s="263"/>
      <c r="I508" s="264"/>
    </row>
    <row r="509" spans="1:9" ht="15.75" x14ac:dyDescent="0.25">
      <c r="A509" s="43"/>
      <c r="B509" s="261"/>
      <c r="C509" s="262"/>
      <c r="E509" s="262"/>
      <c r="F509" s="263"/>
      <c r="I509" s="264"/>
    </row>
    <row r="510" spans="1:9" ht="15.75" x14ac:dyDescent="0.25">
      <c r="A510" s="43"/>
      <c r="B510" s="261"/>
      <c r="C510" s="262"/>
      <c r="E510" s="262"/>
      <c r="F510" s="263"/>
      <c r="I510" s="264"/>
    </row>
    <row r="511" spans="1:9" ht="15.75" x14ac:dyDescent="0.25">
      <c r="A511" s="43"/>
      <c r="B511" s="261"/>
      <c r="C511" s="262"/>
      <c r="E511" s="262"/>
      <c r="F511" s="263"/>
      <c r="I511" s="264"/>
    </row>
    <row r="512" spans="1:9" ht="15.75" x14ac:dyDescent="0.25">
      <c r="A512" s="43"/>
      <c r="B512" s="261"/>
      <c r="C512" s="262"/>
      <c r="E512" s="262"/>
      <c r="F512" s="263"/>
      <c r="I512" s="264"/>
    </row>
    <row r="513" spans="1:9" ht="15.75" x14ac:dyDescent="0.25">
      <c r="A513" s="43"/>
      <c r="B513" s="261"/>
      <c r="C513" s="262"/>
      <c r="E513" s="262"/>
      <c r="F513" s="263"/>
      <c r="I513" s="264"/>
    </row>
    <row r="514" spans="1:9" ht="15.75" x14ac:dyDescent="0.25">
      <c r="A514" s="43"/>
      <c r="B514" s="261"/>
      <c r="C514" s="262"/>
      <c r="E514" s="262"/>
      <c r="F514" s="263"/>
      <c r="I514" s="264"/>
    </row>
    <row r="515" spans="1:9" ht="15.75" x14ac:dyDescent="0.25">
      <c r="A515" s="43"/>
      <c r="B515" s="261"/>
      <c r="C515" s="262"/>
      <c r="E515" s="262"/>
      <c r="F515" s="263"/>
      <c r="I515" s="264"/>
    </row>
    <row r="516" spans="1:9" ht="15.75" x14ac:dyDescent="0.25">
      <c r="A516" s="43"/>
      <c r="B516" s="261"/>
      <c r="C516" s="262"/>
      <c r="E516" s="262"/>
      <c r="F516" s="263"/>
      <c r="I516" s="264"/>
    </row>
    <row r="517" spans="1:9" ht="15.75" x14ac:dyDescent="0.25">
      <c r="A517" s="43"/>
      <c r="B517" s="261"/>
      <c r="C517" s="262"/>
      <c r="E517" s="262"/>
      <c r="F517" s="263"/>
      <c r="I517" s="264"/>
    </row>
    <row r="518" spans="1:9" ht="15.75" x14ac:dyDescent="0.25">
      <c r="A518" s="43"/>
      <c r="B518" s="261"/>
      <c r="C518" s="262"/>
      <c r="E518" s="262"/>
      <c r="F518" s="263"/>
      <c r="I518" s="264"/>
    </row>
    <row r="519" spans="1:9" ht="15.75" x14ac:dyDescent="0.25">
      <c r="A519" s="43"/>
      <c r="B519" s="261"/>
      <c r="C519" s="262"/>
      <c r="E519" s="262"/>
      <c r="F519" s="263"/>
      <c r="I519" s="264"/>
    </row>
    <row r="520" spans="1:9" ht="15.75" x14ac:dyDescent="0.25">
      <c r="A520" s="43"/>
      <c r="B520" s="261"/>
      <c r="C520" s="262"/>
      <c r="E520" s="262"/>
      <c r="F520" s="263"/>
      <c r="I520" s="264"/>
    </row>
    <row r="521" spans="1:9" ht="15.75" x14ac:dyDescent="0.25">
      <c r="A521" s="43"/>
      <c r="B521" s="261"/>
      <c r="C521" s="262"/>
      <c r="E521" s="262"/>
      <c r="F521" s="263"/>
      <c r="I521" s="264"/>
    </row>
    <row r="522" spans="1:9" ht="15.75" x14ac:dyDescent="0.25">
      <c r="A522" s="43"/>
      <c r="B522" s="261"/>
      <c r="C522" s="262"/>
      <c r="E522" s="262"/>
      <c r="F522" s="263"/>
      <c r="I522" s="264"/>
    </row>
    <row r="523" spans="1:9" ht="15.75" x14ac:dyDescent="0.25">
      <c r="A523" s="43"/>
      <c r="B523" s="261"/>
      <c r="C523" s="262"/>
      <c r="E523" s="262"/>
      <c r="F523" s="263"/>
      <c r="I523" s="264"/>
    </row>
    <row r="524" spans="1:9" ht="15.75" x14ac:dyDescent="0.25">
      <c r="A524" s="43"/>
      <c r="B524" s="261"/>
      <c r="C524" s="262"/>
      <c r="E524" s="262"/>
      <c r="F524" s="263"/>
      <c r="I524" s="264"/>
    </row>
    <row r="525" spans="1:9" ht="15.75" x14ac:dyDescent="0.25">
      <c r="A525" s="43"/>
      <c r="B525" s="261"/>
      <c r="C525" s="262"/>
      <c r="E525" s="262"/>
      <c r="F525" s="263"/>
      <c r="I525" s="264"/>
    </row>
    <row r="526" spans="1:9" ht="15.75" x14ac:dyDescent="0.25">
      <c r="A526" s="43"/>
      <c r="B526" s="261"/>
      <c r="C526" s="262"/>
      <c r="E526" s="262"/>
      <c r="F526" s="263"/>
      <c r="I526" s="264"/>
    </row>
    <row r="527" spans="1:9" ht="15.75" x14ac:dyDescent="0.25">
      <c r="A527" s="43"/>
      <c r="B527" s="261"/>
      <c r="C527" s="262"/>
      <c r="E527" s="262"/>
      <c r="F527" s="263"/>
      <c r="I527" s="264"/>
    </row>
    <row r="528" spans="1:9" ht="15.75" x14ac:dyDescent="0.25">
      <c r="A528" s="43"/>
      <c r="B528" s="261"/>
      <c r="C528" s="262"/>
      <c r="E528" s="262"/>
      <c r="F528" s="263"/>
      <c r="I528" s="264"/>
    </row>
    <row r="529" spans="1:9" ht="15.75" x14ac:dyDescent="0.25">
      <c r="A529" s="43"/>
      <c r="B529" s="261"/>
      <c r="C529" s="262"/>
      <c r="E529" s="262"/>
      <c r="F529" s="263"/>
      <c r="I529" s="264"/>
    </row>
    <row r="530" spans="1:9" ht="15.75" x14ac:dyDescent="0.25">
      <c r="A530" s="43"/>
      <c r="B530" s="261"/>
      <c r="C530" s="262"/>
      <c r="E530" s="262"/>
      <c r="F530" s="263"/>
      <c r="I530" s="264"/>
    </row>
    <row r="531" spans="1:9" ht="15.75" x14ac:dyDescent="0.25">
      <c r="A531" s="43"/>
      <c r="B531" s="261"/>
      <c r="C531" s="262"/>
      <c r="E531" s="262"/>
      <c r="F531" s="263"/>
      <c r="I531" s="264"/>
    </row>
    <row r="532" spans="1:9" ht="15.75" x14ac:dyDescent="0.25">
      <c r="A532" s="43"/>
      <c r="B532" s="261"/>
      <c r="C532" s="262"/>
      <c r="E532" s="262"/>
      <c r="F532" s="263"/>
      <c r="I532" s="264"/>
    </row>
    <row r="533" spans="1:9" ht="15.75" x14ac:dyDescent="0.25">
      <c r="A533" s="43"/>
      <c r="B533" s="261"/>
      <c r="C533" s="262"/>
      <c r="E533" s="262"/>
      <c r="F533" s="263"/>
      <c r="I533" s="264"/>
    </row>
    <row r="534" spans="1:9" ht="15.75" x14ac:dyDescent="0.25">
      <c r="A534" s="43"/>
      <c r="B534" s="261"/>
      <c r="C534" s="262"/>
      <c r="E534" s="262"/>
      <c r="F534" s="263"/>
      <c r="I534" s="264"/>
    </row>
    <row r="535" spans="1:9" ht="15.75" x14ac:dyDescent="0.25">
      <c r="A535" s="43"/>
      <c r="B535" s="261"/>
      <c r="C535" s="262"/>
      <c r="E535" s="262"/>
      <c r="F535" s="263"/>
      <c r="I535" s="264"/>
    </row>
    <row r="536" spans="1:9" ht="15.75" x14ac:dyDescent="0.25">
      <c r="A536" s="43"/>
      <c r="B536" s="261"/>
      <c r="C536" s="262"/>
      <c r="E536" s="262"/>
      <c r="F536" s="263"/>
      <c r="I536" s="264"/>
    </row>
    <row r="537" spans="1:9" ht="15.75" x14ac:dyDescent="0.25">
      <c r="A537" s="43"/>
      <c r="B537" s="261"/>
      <c r="C537" s="262"/>
      <c r="E537" s="262"/>
      <c r="F537" s="263"/>
      <c r="I537" s="264"/>
    </row>
    <row r="538" spans="1:9" ht="15.75" x14ac:dyDescent="0.25">
      <c r="A538" s="43"/>
      <c r="B538" s="261"/>
      <c r="C538" s="262"/>
      <c r="E538" s="262"/>
      <c r="F538" s="263"/>
      <c r="I538" s="264"/>
    </row>
    <row r="539" spans="1:9" ht="15.75" x14ac:dyDescent="0.25">
      <c r="A539" s="43"/>
      <c r="B539" s="261"/>
      <c r="C539" s="262"/>
      <c r="E539" s="262"/>
      <c r="F539" s="263"/>
      <c r="I539" s="264"/>
    </row>
    <row r="540" spans="1:9" ht="15.75" x14ac:dyDescent="0.25">
      <c r="A540" s="43"/>
      <c r="B540" s="261"/>
      <c r="C540" s="262"/>
      <c r="E540" s="262"/>
      <c r="F540" s="263"/>
      <c r="I540" s="264"/>
    </row>
    <row r="541" spans="1:9" ht="15.75" x14ac:dyDescent="0.25">
      <c r="A541" s="43"/>
      <c r="B541" s="261"/>
      <c r="C541" s="262"/>
      <c r="E541" s="262"/>
      <c r="F541" s="263"/>
      <c r="I541" s="264"/>
    </row>
    <row r="542" spans="1:9" ht="15.75" x14ac:dyDescent="0.25">
      <c r="A542" s="43"/>
      <c r="B542" s="261"/>
      <c r="C542" s="262"/>
      <c r="E542" s="262"/>
      <c r="F542" s="263"/>
      <c r="I542" s="264"/>
    </row>
    <row r="543" spans="1:9" ht="15.75" x14ac:dyDescent="0.25">
      <c r="A543" s="43"/>
      <c r="B543" s="261"/>
      <c r="C543" s="262"/>
      <c r="E543" s="262"/>
      <c r="F543" s="263"/>
      <c r="I543" s="264"/>
    </row>
    <row r="544" spans="1:9" ht="15.75" x14ac:dyDescent="0.25">
      <c r="A544" s="43"/>
      <c r="B544" s="261"/>
      <c r="C544" s="262"/>
      <c r="E544" s="262"/>
      <c r="F544" s="263"/>
      <c r="I544" s="264"/>
    </row>
    <row r="545" spans="1:9" ht="15.75" x14ac:dyDescent="0.25">
      <c r="A545" s="43"/>
      <c r="B545" s="261"/>
      <c r="C545" s="262"/>
      <c r="E545" s="262"/>
      <c r="F545" s="263"/>
      <c r="I545" s="264"/>
    </row>
    <row r="546" spans="1:9" ht="15.75" x14ac:dyDescent="0.25">
      <c r="A546" s="43"/>
      <c r="B546" s="261"/>
      <c r="C546" s="262"/>
      <c r="E546" s="262"/>
      <c r="F546" s="263"/>
      <c r="I546" s="264"/>
    </row>
    <row r="547" spans="1:9" ht="15.75" x14ac:dyDescent="0.25">
      <c r="A547" s="43"/>
      <c r="B547" s="261"/>
      <c r="C547" s="262"/>
      <c r="E547" s="262"/>
      <c r="F547" s="263"/>
      <c r="I547" s="264"/>
    </row>
    <row r="548" spans="1:9" ht="15.75" x14ac:dyDescent="0.25">
      <c r="A548" s="43"/>
      <c r="B548" s="261"/>
      <c r="C548" s="262"/>
      <c r="E548" s="262"/>
      <c r="F548" s="263"/>
      <c r="I548" s="264"/>
    </row>
    <row r="549" spans="1:9" ht="15.75" x14ac:dyDescent="0.25">
      <c r="A549" s="43"/>
      <c r="B549" s="261"/>
      <c r="C549" s="262"/>
      <c r="E549" s="262"/>
      <c r="F549" s="263"/>
      <c r="I549" s="264"/>
    </row>
    <row r="550" spans="1:9" ht="15.75" x14ac:dyDescent="0.25">
      <c r="A550" s="43"/>
      <c r="B550" s="261"/>
      <c r="C550" s="262"/>
      <c r="E550" s="262"/>
      <c r="F550" s="263"/>
      <c r="I550" s="264"/>
    </row>
    <row r="551" spans="1:9" ht="15.75" x14ac:dyDescent="0.25">
      <c r="A551" s="43"/>
      <c r="B551" s="261"/>
      <c r="C551" s="262"/>
      <c r="E551" s="262"/>
      <c r="F551" s="263"/>
      <c r="I551" s="264"/>
    </row>
    <row r="552" spans="1:9" ht="15.75" x14ac:dyDescent="0.25">
      <c r="A552" s="43"/>
      <c r="B552" s="261"/>
      <c r="C552" s="262"/>
      <c r="E552" s="262"/>
      <c r="F552" s="263"/>
      <c r="I552" s="264"/>
    </row>
    <row r="553" spans="1:9" ht="15.75" x14ac:dyDescent="0.25">
      <c r="A553" s="43"/>
      <c r="B553" s="261"/>
      <c r="C553" s="262"/>
      <c r="E553" s="262"/>
      <c r="F553" s="263"/>
      <c r="I553" s="264"/>
    </row>
    <row r="554" spans="1:9" ht="15.75" x14ac:dyDescent="0.25">
      <c r="A554" s="43"/>
      <c r="B554" s="261"/>
      <c r="C554" s="262"/>
      <c r="E554" s="262"/>
      <c r="F554" s="263"/>
      <c r="I554" s="264"/>
    </row>
    <row r="555" spans="1:9" ht="15.75" x14ac:dyDescent="0.25">
      <c r="A555" s="43"/>
      <c r="B555" s="261"/>
      <c r="C555" s="262"/>
      <c r="E555" s="262"/>
      <c r="F555" s="263"/>
      <c r="I555" s="264"/>
    </row>
    <row r="556" spans="1:9" ht="15.75" x14ac:dyDescent="0.25">
      <c r="A556" s="43"/>
      <c r="B556" s="261"/>
      <c r="C556" s="262"/>
      <c r="E556" s="262"/>
      <c r="F556" s="263"/>
      <c r="I556" s="264"/>
    </row>
    <row r="557" spans="1:9" ht="15.75" x14ac:dyDescent="0.25">
      <c r="A557" s="43"/>
      <c r="B557" s="261"/>
      <c r="C557" s="262"/>
      <c r="E557" s="262"/>
      <c r="F557" s="263"/>
      <c r="I557" s="264"/>
    </row>
    <row r="558" spans="1:9" ht="15.75" x14ac:dyDescent="0.25">
      <c r="A558" s="43"/>
      <c r="B558" s="261"/>
      <c r="C558" s="262"/>
      <c r="E558" s="262"/>
      <c r="F558" s="263"/>
      <c r="I558" s="264"/>
    </row>
    <row r="559" spans="1:9" ht="15.75" x14ac:dyDescent="0.25">
      <c r="A559" s="43"/>
      <c r="B559" s="261"/>
      <c r="C559" s="262"/>
      <c r="E559" s="262"/>
      <c r="F559" s="263"/>
      <c r="I559" s="264"/>
    </row>
    <row r="560" spans="1:9" ht="15.75" x14ac:dyDescent="0.25">
      <c r="A560" s="43"/>
      <c r="B560" s="261"/>
      <c r="C560" s="262"/>
      <c r="E560" s="262"/>
      <c r="F560" s="263"/>
      <c r="I560" s="264"/>
    </row>
    <row r="561" spans="1:9" ht="15.75" x14ac:dyDescent="0.25">
      <c r="A561" s="43"/>
      <c r="B561" s="261"/>
      <c r="C561" s="262"/>
      <c r="E561" s="262"/>
      <c r="F561" s="263"/>
      <c r="I561" s="264"/>
    </row>
    <row r="562" spans="1:9" ht="15.75" x14ac:dyDescent="0.25">
      <c r="A562" s="43"/>
      <c r="B562" s="261"/>
      <c r="C562" s="262"/>
      <c r="E562" s="262"/>
      <c r="F562" s="263"/>
      <c r="I562" s="264"/>
    </row>
    <row r="563" spans="1:9" ht="15.75" x14ac:dyDescent="0.25">
      <c r="A563" s="43"/>
      <c r="B563" s="261"/>
      <c r="C563" s="262"/>
      <c r="E563" s="262"/>
      <c r="F563" s="263"/>
      <c r="I563" s="264"/>
    </row>
    <row r="564" spans="1:9" ht="15.75" x14ac:dyDescent="0.25">
      <c r="A564" s="43"/>
      <c r="B564" s="261"/>
      <c r="C564" s="262"/>
      <c r="E564" s="262"/>
      <c r="F564" s="263"/>
      <c r="I564" s="264"/>
    </row>
    <row r="565" spans="1:9" ht="15.75" x14ac:dyDescent="0.25">
      <c r="A565" s="43"/>
      <c r="B565" s="261"/>
      <c r="C565" s="262"/>
      <c r="E565" s="262"/>
      <c r="F565" s="263"/>
      <c r="I565" s="264"/>
    </row>
    <row r="566" spans="1:9" ht="15.75" x14ac:dyDescent="0.25">
      <c r="A566" s="43"/>
      <c r="B566" s="261"/>
      <c r="C566" s="262"/>
      <c r="E566" s="262"/>
      <c r="F566" s="263"/>
      <c r="I566" s="264"/>
    </row>
    <row r="567" spans="1:9" ht="15.75" x14ac:dyDescent="0.25">
      <c r="A567" s="43"/>
      <c r="B567" s="261"/>
      <c r="C567" s="262"/>
      <c r="E567" s="262"/>
      <c r="F567" s="263"/>
      <c r="I567" s="264"/>
    </row>
    <row r="568" spans="1:9" ht="15.75" x14ac:dyDescent="0.25">
      <c r="A568" s="43"/>
      <c r="B568" s="261"/>
      <c r="C568" s="262"/>
      <c r="E568" s="262"/>
      <c r="F568" s="263"/>
      <c r="I568" s="264"/>
    </row>
    <row r="569" spans="1:9" ht="15.75" x14ac:dyDescent="0.25">
      <c r="A569" s="43"/>
      <c r="B569" s="261"/>
      <c r="C569" s="262"/>
      <c r="E569" s="262"/>
      <c r="F569" s="263"/>
      <c r="I569" s="264"/>
    </row>
    <row r="570" spans="1:9" ht="15.75" x14ac:dyDescent="0.25">
      <c r="A570" s="43"/>
      <c r="B570" s="261"/>
      <c r="C570" s="262"/>
      <c r="E570" s="262"/>
      <c r="F570" s="263"/>
      <c r="I570" s="264"/>
    </row>
    <row r="571" spans="1:9" ht="15.75" x14ac:dyDescent="0.25">
      <c r="A571" s="43"/>
      <c r="B571" s="261"/>
      <c r="C571" s="262"/>
      <c r="E571" s="262"/>
      <c r="F571" s="263"/>
      <c r="I571" s="264"/>
    </row>
    <row r="572" spans="1:9" ht="15.75" x14ac:dyDescent="0.25">
      <c r="A572" s="43"/>
      <c r="B572" s="261"/>
      <c r="C572" s="262"/>
      <c r="E572" s="262"/>
      <c r="F572" s="263"/>
      <c r="I572" s="264"/>
    </row>
    <row r="573" spans="1:9" ht="15.75" x14ac:dyDescent="0.25">
      <c r="A573" s="43"/>
      <c r="B573" s="261"/>
      <c r="C573" s="262"/>
      <c r="E573" s="262"/>
      <c r="F573" s="263"/>
      <c r="I573" s="264"/>
    </row>
    <row r="574" spans="1:9" ht="15.75" x14ac:dyDescent="0.25">
      <c r="A574" s="43"/>
      <c r="B574" s="261"/>
      <c r="C574" s="262"/>
      <c r="E574" s="262"/>
      <c r="F574" s="263"/>
      <c r="I574" s="264"/>
    </row>
    <row r="575" spans="1:9" ht="15.75" x14ac:dyDescent="0.25">
      <c r="A575" s="43"/>
      <c r="B575" s="261"/>
      <c r="C575" s="262"/>
      <c r="E575" s="262"/>
      <c r="F575" s="263"/>
      <c r="I575" s="264"/>
    </row>
    <row r="576" spans="1:9" ht="15.75" x14ac:dyDescent="0.25">
      <c r="A576" s="43"/>
      <c r="B576" s="261"/>
      <c r="C576" s="262"/>
      <c r="E576" s="262"/>
      <c r="F576" s="263"/>
      <c r="I576" s="264"/>
    </row>
    <row r="577" spans="1:9" ht="15.75" x14ac:dyDescent="0.25">
      <c r="A577" s="43"/>
      <c r="B577" s="261"/>
      <c r="C577" s="262"/>
      <c r="E577" s="262"/>
      <c r="F577" s="263"/>
      <c r="I577" s="264"/>
    </row>
    <row r="578" spans="1:9" ht="15.75" x14ac:dyDescent="0.25">
      <c r="A578" s="43"/>
      <c r="B578" s="261"/>
      <c r="C578" s="262"/>
      <c r="E578" s="262"/>
      <c r="F578" s="263"/>
      <c r="I578" s="264"/>
    </row>
    <row r="579" spans="1:9" ht="15.75" x14ac:dyDescent="0.25">
      <c r="A579" s="43"/>
      <c r="B579" s="261"/>
      <c r="C579" s="262"/>
      <c r="E579" s="262"/>
      <c r="F579" s="263"/>
      <c r="I579" s="264"/>
    </row>
    <row r="580" spans="1:9" ht="15.75" x14ac:dyDescent="0.25">
      <c r="A580" s="43"/>
      <c r="B580" s="261"/>
      <c r="C580" s="262"/>
      <c r="E580" s="262"/>
      <c r="F580" s="263"/>
      <c r="I580" s="264"/>
    </row>
    <row r="581" spans="1:9" ht="15.75" x14ac:dyDescent="0.25">
      <c r="A581" s="43"/>
      <c r="B581" s="261"/>
      <c r="C581" s="262"/>
      <c r="E581" s="262"/>
      <c r="F581" s="263"/>
      <c r="I581" s="264"/>
    </row>
    <row r="582" spans="1:9" ht="15.75" x14ac:dyDescent="0.25">
      <c r="A582" s="43"/>
      <c r="B582" s="261"/>
      <c r="C582" s="262"/>
      <c r="E582" s="262"/>
      <c r="F582" s="263"/>
      <c r="I582" s="264"/>
    </row>
    <row r="583" spans="1:9" ht="15.75" x14ac:dyDescent="0.25">
      <c r="A583" s="43"/>
      <c r="B583" s="261"/>
      <c r="C583" s="262"/>
      <c r="E583" s="262"/>
      <c r="F583" s="263"/>
      <c r="I583" s="264"/>
    </row>
    <row r="584" spans="1:9" ht="15.75" x14ac:dyDescent="0.25">
      <c r="A584" s="43"/>
      <c r="B584" s="261"/>
      <c r="C584" s="262"/>
      <c r="E584" s="262"/>
      <c r="F584" s="263"/>
      <c r="I584" s="264"/>
    </row>
    <row r="585" spans="1:9" ht="15.75" x14ac:dyDescent="0.25">
      <c r="A585" s="43"/>
      <c r="B585" s="261"/>
      <c r="C585" s="262"/>
      <c r="E585" s="262"/>
      <c r="F585" s="263"/>
      <c r="I585" s="264"/>
    </row>
    <row r="586" spans="1:9" ht="15.75" x14ac:dyDescent="0.25">
      <c r="A586" s="43"/>
      <c r="B586" s="261"/>
      <c r="C586" s="262"/>
      <c r="E586" s="262"/>
      <c r="F586" s="263"/>
      <c r="I586" s="264"/>
    </row>
    <row r="587" spans="1:9" ht="15.75" x14ac:dyDescent="0.25">
      <c r="A587" s="43"/>
      <c r="B587" s="261"/>
      <c r="C587" s="262"/>
      <c r="E587" s="262"/>
      <c r="F587" s="263"/>
      <c r="I587" s="264"/>
    </row>
    <row r="588" spans="1:9" ht="15.75" x14ac:dyDescent="0.25">
      <c r="A588" s="43"/>
      <c r="B588" s="261"/>
      <c r="C588" s="262"/>
      <c r="E588" s="262"/>
      <c r="F588" s="263"/>
      <c r="I588" s="264"/>
    </row>
    <row r="589" spans="1:9" ht="15.75" x14ac:dyDescent="0.25">
      <c r="A589" s="43"/>
      <c r="B589" s="261"/>
      <c r="C589" s="262"/>
      <c r="E589" s="262"/>
      <c r="F589" s="263"/>
      <c r="I589" s="264"/>
    </row>
    <row r="590" spans="1:9" ht="15.75" x14ac:dyDescent="0.25">
      <c r="A590" s="43"/>
      <c r="B590" s="261"/>
      <c r="C590" s="262"/>
      <c r="E590" s="262"/>
      <c r="F590" s="263"/>
      <c r="I590" s="264"/>
    </row>
    <row r="591" spans="1:9" ht="15.75" x14ac:dyDescent="0.25">
      <c r="A591" s="43"/>
      <c r="B591" s="261"/>
      <c r="C591" s="262"/>
      <c r="E591" s="262"/>
      <c r="F591" s="263"/>
      <c r="I591" s="264"/>
    </row>
    <row r="592" spans="1:9" ht="15.75" x14ac:dyDescent="0.25">
      <c r="A592" s="43"/>
      <c r="B592" s="261"/>
      <c r="C592" s="262"/>
      <c r="E592" s="262"/>
      <c r="F592" s="263"/>
      <c r="I592" s="264"/>
    </row>
    <row r="593" spans="1:9" ht="15.75" x14ac:dyDescent="0.25">
      <c r="A593" s="43"/>
      <c r="B593" s="261"/>
      <c r="C593" s="262"/>
      <c r="E593" s="262"/>
      <c r="F593" s="263"/>
      <c r="I593" s="264"/>
    </row>
    <row r="594" spans="1:9" ht="15.75" x14ac:dyDescent="0.25">
      <c r="A594" s="43"/>
      <c r="B594" s="261"/>
      <c r="C594" s="262"/>
      <c r="E594" s="262"/>
      <c r="F594" s="263"/>
      <c r="I594" s="264"/>
    </row>
    <row r="595" spans="1:9" ht="15.75" x14ac:dyDescent="0.25">
      <c r="A595" s="43"/>
      <c r="B595" s="261"/>
      <c r="C595" s="262"/>
      <c r="E595" s="262"/>
      <c r="F595" s="263"/>
      <c r="I595" s="264"/>
    </row>
    <row r="596" spans="1:9" ht="15.75" x14ac:dyDescent="0.25">
      <c r="A596" s="43"/>
      <c r="B596" s="261"/>
      <c r="C596" s="262"/>
      <c r="E596" s="262"/>
      <c r="F596" s="263"/>
      <c r="I596" s="264"/>
    </row>
    <row r="597" spans="1:9" ht="15.75" x14ac:dyDescent="0.25">
      <c r="A597" s="43"/>
      <c r="B597" s="261"/>
      <c r="C597" s="262"/>
      <c r="E597" s="262"/>
      <c r="F597" s="263"/>
      <c r="I597" s="264"/>
    </row>
    <row r="598" spans="1:9" ht="15.75" x14ac:dyDescent="0.25">
      <c r="A598" s="43"/>
      <c r="B598" s="261"/>
      <c r="C598" s="262"/>
      <c r="E598" s="262"/>
      <c r="F598" s="263"/>
      <c r="I598" s="264"/>
    </row>
    <row r="599" spans="1:9" ht="15.75" x14ac:dyDescent="0.25">
      <c r="A599" s="43"/>
      <c r="B599" s="261"/>
      <c r="C599" s="262"/>
      <c r="E599" s="262"/>
      <c r="F599" s="263"/>
      <c r="I599" s="264"/>
    </row>
    <row r="600" spans="1:9" ht="15.75" x14ac:dyDescent="0.25">
      <c r="A600" s="43"/>
      <c r="B600" s="261"/>
      <c r="C600" s="262"/>
      <c r="E600" s="262"/>
      <c r="F600" s="263"/>
      <c r="I600" s="264"/>
    </row>
    <row r="601" spans="1:9" ht="15.75" x14ac:dyDescent="0.25">
      <c r="A601" s="43"/>
      <c r="B601" s="261"/>
      <c r="C601" s="262"/>
      <c r="E601" s="262"/>
      <c r="F601" s="263"/>
      <c r="I601" s="264"/>
    </row>
    <row r="602" spans="1:9" ht="15.75" x14ac:dyDescent="0.25">
      <c r="A602" s="43"/>
      <c r="B602" s="261"/>
      <c r="C602" s="262"/>
      <c r="E602" s="262"/>
      <c r="F602" s="263"/>
      <c r="I602" s="264"/>
    </row>
    <row r="603" spans="1:9" ht="15.75" x14ac:dyDescent="0.25">
      <c r="A603" s="43"/>
      <c r="B603" s="261"/>
      <c r="C603" s="262"/>
      <c r="E603" s="262"/>
      <c r="F603" s="263"/>
      <c r="I603" s="264"/>
    </row>
    <row r="604" spans="1:9" ht="15.75" x14ac:dyDescent="0.25">
      <c r="A604" s="43"/>
      <c r="B604" s="261"/>
      <c r="C604" s="262"/>
      <c r="E604" s="262"/>
      <c r="F604" s="263"/>
      <c r="I604" s="264"/>
    </row>
    <row r="605" spans="1:9" ht="15.75" x14ac:dyDescent="0.25">
      <c r="A605" s="43"/>
      <c r="B605" s="261"/>
      <c r="C605" s="262"/>
      <c r="E605" s="262"/>
      <c r="F605" s="263"/>
      <c r="I605" s="264"/>
    </row>
    <row r="606" spans="1:9" ht="15.75" x14ac:dyDescent="0.25">
      <c r="A606" s="43"/>
      <c r="B606" s="261"/>
      <c r="C606" s="262"/>
      <c r="E606" s="262"/>
      <c r="F606" s="263"/>
      <c r="I606" s="264"/>
    </row>
    <row r="607" spans="1:9" ht="15.75" x14ac:dyDescent="0.25">
      <c r="A607" s="43"/>
      <c r="B607" s="261"/>
      <c r="C607" s="262"/>
      <c r="E607" s="262"/>
      <c r="F607" s="263"/>
      <c r="I607" s="264"/>
    </row>
    <row r="608" spans="1:9" ht="15.75" x14ac:dyDescent="0.25">
      <c r="A608" s="43"/>
      <c r="B608" s="261"/>
      <c r="C608" s="262"/>
      <c r="E608" s="262"/>
      <c r="F608" s="263"/>
      <c r="I608" s="264"/>
    </row>
    <row r="609" spans="1:9" ht="15.75" x14ac:dyDescent="0.25">
      <c r="A609" s="43"/>
      <c r="B609" s="261"/>
      <c r="C609" s="262"/>
      <c r="E609" s="262"/>
      <c r="F609" s="263"/>
      <c r="I609" s="264"/>
    </row>
    <row r="610" spans="1:9" ht="15.75" x14ac:dyDescent="0.25">
      <c r="A610" s="43"/>
      <c r="B610" s="261"/>
      <c r="C610" s="262"/>
      <c r="E610" s="262"/>
      <c r="F610" s="263"/>
      <c r="I610" s="264"/>
    </row>
    <row r="611" spans="1:9" ht="15.75" x14ac:dyDescent="0.25">
      <c r="A611" s="43"/>
      <c r="B611" s="261"/>
      <c r="C611" s="262"/>
      <c r="E611" s="262"/>
      <c r="F611" s="263"/>
      <c r="I611" s="264"/>
    </row>
    <row r="612" spans="1:9" ht="15.75" x14ac:dyDescent="0.25">
      <c r="A612" s="43"/>
      <c r="B612" s="261"/>
      <c r="C612" s="262"/>
      <c r="E612" s="262"/>
      <c r="F612" s="263"/>
      <c r="I612" s="264"/>
    </row>
    <row r="613" spans="1:9" ht="15.75" x14ac:dyDescent="0.25">
      <c r="A613" s="43"/>
      <c r="B613" s="261"/>
      <c r="C613" s="262"/>
      <c r="E613" s="262"/>
      <c r="F613" s="263"/>
      <c r="I613" s="264"/>
    </row>
    <row r="614" spans="1:9" ht="15.75" x14ac:dyDescent="0.25">
      <c r="A614" s="43"/>
      <c r="B614" s="261"/>
      <c r="C614" s="262"/>
      <c r="E614" s="262"/>
      <c r="F614" s="263"/>
      <c r="I614" s="264"/>
    </row>
    <row r="615" spans="1:9" ht="15.75" x14ac:dyDescent="0.25">
      <c r="A615" s="43"/>
      <c r="B615" s="261"/>
      <c r="C615" s="262"/>
      <c r="E615" s="262"/>
      <c r="F615" s="263"/>
      <c r="I615" s="264"/>
    </row>
    <row r="616" spans="1:9" ht="15.75" x14ac:dyDescent="0.25">
      <c r="A616" s="43"/>
      <c r="B616" s="261"/>
      <c r="C616" s="262"/>
      <c r="E616" s="262"/>
      <c r="F616" s="263"/>
      <c r="I616" s="264"/>
    </row>
    <row r="617" spans="1:9" ht="15.75" x14ac:dyDescent="0.25">
      <c r="A617" s="43"/>
      <c r="B617" s="261"/>
      <c r="C617" s="262"/>
      <c r="E617" s="262"/>
      <c r="F617" s="263"/>
      <c r="I617" s="264"/>
    </row>
    <row r="618" spans="1:9" ht="15.75" x14ac:dyDescent="0.25">
      <c r="A618" s="43"/>
      <c r="B618" s="261"/>
      <c r="C618" s="262"/>
      <c r="E618" s="262"/>
      <c r="F618" s="263"/>
      <c r="I618" s="264"/>
    </row>
    <row r="619" spans="1:9" ht="15.75" x14ac:dyDescent="0.25">
      <c r="A619" s="43"/>
      <c r="B619" s="261"/>
      <c r="C619" s="262"/>
      <c r="E619" s="262"/>
      <c r="F619" s="263"/>
      <c r="I619" s="264"/>
    </row>
    <row r="620" spans="1:9" ht="15.75" x14ac:dyDescent="0.25">
      <c r="A620" s="43"/>
      <c r="B620" s="261"/>
      <c r="C620" s="262"/>
      <c r="E620" s="262"/>
      <c r="F620" s="263"/>
      <c r="I620" s="264"/>
    </row>
    <row r="621" spans="1:9" ht="15.75" x14ac:dyDescent="0.25">
      <c r="A621" s="43"/>
      <c r="B621" s="261"/>
      <c r="C621" s="262"/>
      <c r="E621" s="262"/>
      <c r="F621" s="263"/>
      <c r="I621" s="264"/>
    </row>
    <row r="622" spans="1:9" ht="15.75" x14ac:dyDescent="0.25">
      <c r="A622" s="43"/>
      <c r="B622" s="261"/>
      <c r="C622" s="262"/>
      <c r="E622" s="262"/>
      <c r="F622" s="263"/>
      <c r="I622" s="264"/>
    </row>
    <row r="623" spans="1:9" ht="15.75" x14ac:dyDescent="0.25">
      <c r="A623" s="43"/>
      <c r="B623" s="261"/>
      <c r="C623" s="262"/>
      <c r="E623" s="262"/>
      <c r="F623" s="263"/>
      <c r="I623" s="264"/>
    </row>
    <row r="624" spans="1:9" ht="15.75" x14ac:dyDescent="0.25">
      <c r="A624" s="43"/>
      <c r="B624" s="261"/>
      <c r="C624" s="262"/>
      <c r="E624" s="262"/>
      <c r="F624" s="263"/>
      <c r="I624" s="264"/>
    </row>
    <row r="625" spans="1:9" ht="15.75" x14ac:dyDescent="0.25">
      <c r="A625" s="43"/>
      <c r="B625" s="261"/>
      <c r="C625" s="262"/>
      <c r="E625" s="262"/>
      <c r="F625" s="263"/>
      <c r="I625" s="264"/>
    </row>
    <row r="626" spans="1:9" ht="15.75" x14ac:dyDescent="0.25">
      <c r="A626" s="43"/>
      <c r="B626" s="261"/>
      <c r="C626" s="262"/>
      <c r="E626" s="262"/>
      <c r="F626" s="263"/>
      <c r="I626" s="264"/>
    </row>
    <row r="627" spans="1:9" ht="15.75" x14ac:dyDescent="0.25">
      <c r="A627" s="43"/>
      <c r="B627" s="261"/>
      <c r="C627" s="262"/>
      <c r="E627" s="262"/>
      <c r="F627" s="263"/>
      <c r="I627" s="264"/>
    </row>
    <row r="628" spans="1:9" ht="15.75" x14ac:dyDescent="0.25">
      <c r="A628" s="43"/>
      <c r="B628" s="261"/>
      <c r="C628" s="262"/>
      <c r="E628" s="262"/>
      <c r="F628" s="263"/>
      <c r="I628" s="264"/>
    </row>
    <row r="629" spans="1:9" ht="15.75" x14ac:dyDescent="0.25">
      <c r="A629" s="43"/>
      <c r="B629" s="261"/>
      <c r="C629" s="262"/>
      <c r="E629" s="262"/>
      <c r="F629" s="263"/>
      <c r="I629" s="264"/>
    </row>
    <row r="630" spans="1:9" ht="15.75" x14ac:dyDescent="0.25">
      <c r="A630" s="43"/>
      <c r="B630" s="261"/>
      <c r="C630" s="262"/>
      <c r="E630" s="262"/>
      <c r="F630" s="263"/>
      <c r="I630" s="264"/>
    </row>
    <row r="631" spans="1:9" ht="15.75" x14ac:dyDescent="0.25">
      <c r="A631" s="43"/>
      <c r="B631" s="261"/>
      <c r="C631" s="262"/>
      <c r="E631" s="262"/>
      <c r="F631" s="263"/>
      <c r="I631" s="264"/>
    </row>
    <row r="632" spans="1:9" ht="15.75" x14ac:dyDescent="0.25">
      <c r="A632" s="43"/>
      <c r="B632" s="261"/>
      <c r="C632" s="262"/>
      <c r="E632" s="262"/>
      <c r="F632" s="263"/>
      <c r="I632" s="264"/>
    </row>
    <row r="633" spans="1:9" ht="15.75" x14ac:dyDescent="0.25">
      <c r="A633" s="43"/>
      <c r="B633" s="261"/>
      <c r="C633" s="262"/>
      <c r="E633" s="262"/>
      <c r="F633" s="263"/>
      <c r="I633" s="264"/>
    </row>
    <row r="634" spans="1:9" ht="15.75" x14ac:dyDescent="0.25">
      <c r="A634" s="43"/>
      <c r="B634" s="261"/>
      <c r="C634" s="262"/>
      <c r="E634" s="262"/>
      <c r="F634" s="263"/>
      <c r="I634" s="264"/>
    </row>
    <row r="635" spans="1:9" ht="15.75" x14ac:dyDescent="0.25">
      <c r="A635" s="43"/>
      <c r="B635" s="261"/>
      <c r="C635" s="262"/>
      <c r="E635" s="262"/>
      <c r="F635" s="263"/>
      <c r="I635" s="264"/>
    </row>
    <row r="636" spans="1:9" ht="15.75" x14ac:dyDescent="0.25">
      <c r="A636" s="43"/>
      <c r="B636" s="261"/>
      <c r="C636" s="262"/>
      <c r="E636" s="262"/>
      <c r="F636" s="263"/>
      <c r="I636" s="264"/>
    </row>
    <row r="637" spans="1:9" ht="15.75" x14ac:dyDescent="0.25">
      <c r="A637" s="43"/>
      <c r="B637" s="261"/>
      <c r="C637" s="262"/>
      <c r="E637" s="262"/>
      <c r="F637" s="263"/>
      <c r="I637" s="264"/>
    </row>
    <row r="638" spans="1:9" ht="15.75" x14ac:dyDescent="0.25">
      <c r="A638" s="43"/>
      <c r="B638" s="261"/>
      <c r="C638" s="262"/>
      <c r="E638" s="262"/>
      <c r="F638" s="263"/>
      <c r="I638" s="264"/>
    </row>
    <row r="639" spans="1:9" ht="15.75" x14ac:dyDescent="0.25">
      <c r="A639" s="43"/>
      <c r="B639" s="261"/>
      <c r="C639" s="262"/>
      <c r="E639" s="262"/>
      <c r="F639" s="263"/>
      <c r="I639" s="264"/>
    </row>
    <row r="640" spans="1:9" ht="15.75" x14ac:dyDescent="0.25">
      <c r="A640" s="43"/>
      <c r="B640" s="261"/>
      <c r="C640" s="262"/>
      <c r="E640" s="262"/>
      <c r="F640" s="263"/>
      <c r="I640" s="264"/>
    </row>
    <row r="641" spans="1:9" ht="15.75" x14ac:dyDescent="0.25">
      <c r="A641" s="43"/>
      <c r="B641" s="261"/>
      <c r="C641" s="262"/>
      <c r="E641" s="262"/>
      <c r="F641" s="263"/>
      <c r="I641" s="264"/>
    </row>
    <row r="642" spans="1:9" ht="15.75" x14ac:dyDescent="0.25">
      <c r="A642" s="43"/>
      <c r="B642" s="261"/>
      <c r="C642" s="262"/>
      <c r="E642" s="262"/>
      <c r="F642" s="263"/>
      <c r="I642" s="264"/>
    </row>
    <row r="643" spans="1:9" ht="15.75" x14ac:dyDescent="0.25">
      <c r="A643" s="43"/>
      <c r="B643" s="261"/>
      <c r="C643" s="262"/>
      <c r="E643" s="262"/>
      <c r="F643" s="263"/>
      <c r="I643" s="264"/>
    </row>
    <row r="644" spans="1:9" ht="15.75" x14ac:dyDescent="0.25">
      <c r="A644" s="43"/>
      <c r="B644" s="261"/>
      <c r="C644" s="262"/>
      <c r="E644" s="262"/>
      <c r="F644" s="263"/>
      <c r="I644" s="264"/>
    </row>
    <row r="645" spans="1:9" ht="15.75" x14ac:dyDescent="0.25">
      <c r="A645" s="43"/>
      <c r="B645" s="261"/>
      <c r="C645" s="262"/>
      <c r="E645" s="262"/>
      <c r="F645" s="263"/>
      <c r="I645" s="264"/>
    </row>
    <row r="646" spans="1:9" ht="15.75" x14ac:dyDescent="0.25">
      <c r="A646" s="43"/>
      <c r="B646" s="261"/>
      <c r="C646" s="262"/>
      <c r="E646" s="262"/>
      <c r="F646" s="263"/>
      <c r="I646" s="264"/>
    </row>
    <row r="647" spans="1:9" ht="15.75" x14ac:dyDescent="0.25">
      <c r="A647" s="43"/>
      <c r="B647" s="261"/>
      <c r="C647" s="262"/>
      <c r="E647" s="262"/>
      <c r="F647" s="263"/>
      <c r="I647" s="264"/>
    </row>
    <row r="648" spans="1:9" ht="15.75" x14ac:dyDescent="0.25">
      <c r="A648" s="43"/>
      <c r="B648" s="261"/>
      <c r="C648" s="262"/>
      <c r="E648" s="262"/>
      <c r="F648" s="263"/>
      <c r="I648" s="264"/>
    </row>
    <row r="649" spans="1:9" ht="15.75" x14ac:dyDescent="0.25">
      <c r="A649" s="43"/>
      <c r="B649" s="261"/>
      <c r="C649" s="262"/>
      <c r="E649" s="262"/>
      <c r="F649" s="263"/>
      <c r="I649" s="264"/>
    </row>
    <row r="650" spans="1:9" ht="15.75" x14ac:dyDescent="0.25">
      <c r="A650" s="43"/>
      <c r="B650" s="261"/>
      <c r="C650" s="262"/>
      <c r="E650" s="262"/>
      <c r="F650" s="263"/>
      <c r="I650" s="264"/>
    </row>
    <row r="651" spans="1:9" ht="15.75" x14ac:dyDescent="0.25">
      <c r="A651" s="43"/>
      <c r="B651" s="261"/>
      <c r="C651" s="262"/>
      <c r="E651" s="262"/>
      <c r="F651" s="263"/>
      <c r="I651" s="264"/>
    </row>
    <row r="652" spans="1:9" ht="15.75" x14ac:dyDescent="0.25">
      <c r="A652" s="43"/>
      <c r="B652" s="261"/>
      <c r="C652" s="262"/>
      <c r="E652" s="262"/>
      <c r="F652" s="263"/>
      <c r="I652" s="264"/>
    </row>
    <row r="653" spans="1:9" ht="15.75" x14ac:dyDescent="0.25">
      <c r="A653" s="43"/>
      <c r="B653" s="261"/>
      <c r="C653" s="262"/>
      <c r="E653" s="262"/>
      <c r="F653" s="263"/>
      <c r="I653" s="264"/>
    </row>
    <row r="654" spans="1:9" ht="15.75" x14ac:dyDescent="0.25">
      <c r="A654" s="43"/>
      <c r="B654" s="261"/>
      <c r="C654" s="262"/>
      <c r="E654" s="262"/>
      <c r="F654" s="263"/>
      <c r="I654" s="264"/>
    </row>
    <row r="655" spans="1:9" ht="15.75" x14ac:dyDescent="0.25">
      <c r="A655" s="43"/>
      <c r="B655" s="261"/>
      <c r="C655" s="262"/>
      <c r="E655" s="262"/>
      <c r="F655" s="263"/>
      <c r="I655" s="264"/>
    </row>
    <row r="656" spans="1:9" ht="15.75" x14ac:dyDescent="0.25">
      <c r="A656" s="43"/>
      <c r="B656" s="261"/>
      <c r="C656" s="262"/>
      <c r="E656" s="262"/>
      <c r="F656" s="263"/>
      <c r="I656" s="264"/>
    </row>
    <row r="657" spans="1:9" ht="15.75" x14ac:dyDescent="0.25">
      <c r="A657" s="43"/>
      <c r="B657" s="261"/>
      <c r="C657" s="262"/>
      <c r="E657" s="262"/>
      <c r="F657" s="263"/>
      <c r="I657" s="264"/>
    </row>
    <row r="658" spans="1:9" ht="15.75" x14ac:dyDescent="0.25">
      <c r="A658" s="43"/>
      <c r="B658" s="261"/>
      <c r="C658" s="262"/>
      <c r="E658" s="262"/>
      <c r="F658" s="263"/>
      <c r="I658" s="264"/>
    </row>
    <row r="659" spans="1:9" ht="15.75" x14ac:dyDescent="0.25">
      <c r="A659" s="43"/>
      <c r="B659" s="261"/>
      <c r="C659" s="262"/>
      <c r="E659" s="262"/>
      <c r="F659" s="263"/>
      <c r="I659" s="264"/>
    </row>
    <row r="660" spans="1:9" ht="15.75" x14ac:dyDescent="0.25">
      <c r="A660" s="43"/>
      <c r="B660" s="261"/>
      <c r="C660" s="262"/>
      <c r="E660" s="262"/>
      <c r="F660" s="263"/>
      <c r="I660" s="264"/>
    </row>
    <row r="661" spans="1:9" ht="15.75" x14ac:dyDescent="0.25">
      <c r="A661" s="43"/>
      <c r="B661" s="261"/>
      <c r="C661" s="262"/>
      <c r="E661" s="262"/>
      <c r="F661" s="263"/>
      <c r="I661" s="264"/>
    </row>
    <row r="662" spans="1:9" ht="15.75" x14ac:dyDescent="0.25">
      <c r="A662" s="43"/>
      <c r="B662" s="261"/>
      <c r="C662" s="262"/>
      <c r="E662" s="262"/>
      <c r="F662" s="263"/>
      <c r="I662" s="264"/>
    </row>
    <row r="663" spans="1:9" ht="15.75" x14ac:dyDescent="0.25">
      <c r="A663" s="43"/>
      <c r="B663" s="261"/>
      <c r="C663" s="262"/>
      <c r="E663" s="262"/>
      <c r="F663" s="263"/>
      <c r="I663" s="264"/>
    </row>
    <row r="664" spans="1:9" ht="15.75" x14ac:dyDescent="0.25">
      <c r="A664" s="43"/>
      <c r="B664" s="261"/>
      <c r="C664" s="262"/>
      <c r="E664" s="262"/>
      <c r="F664" s="263"/>
      <c r="I664" s="264"/>
    </row>
    <row r="665" spans="1:9" ht="15.75" x14ac:dyDescent="0.25">
      <c r="A665" s="43"/>
      <c r="B665" s="261"/>
      <c r="C665" s="262"/>
      <c r="E665" s="262"/>
      <c r="F665" s="263"/>
      <c r="I665" s="264"/>
    </row>
    <row r="666" spans="1:9" ht="15.75" x14ac:dyDescent="0.25">
      <c r="A666" s="43"/>
      <c r="B666" s="261"/>
      <c r="C666" s="262"/>
      <c r="E666" s="262"/>
      <c r="F666" s="263"/>
      <c r="I666" s="264"/>
    </row>
    <row r="667" spans="1:9" ht="15.75" x14ac:dyDescent="0.25">
      <c r="A667" s="43"/>
      <c r="B667" s="261"/>
      <c r="C667" s="262"/>
      <c r="E667" s="262"/>
      <c r="F667" s="263"/>
      <c r="I667" s="264"/>
    </row>
    <row r="668" spans="1:9" ht="15.75" x14ac:dyDescent="0.25">
      <c r="A668" s="43"/>
      <c r="B668" s="261"/>
      <c r="C668" s="262"/>
      <c r="E668" s="262"/>
      <c r="F668" s="263"/>
      <c r="I668" s="264"/>
    </row>
    <row r="669" spans="1:9" ht="15.75" x14ac:dyDescent="0.25">
      <c r="A669" s="43"/>
      <c r="B669" s="261"/>
      <c r="C669" s="262"/>
      <c r="E669" s="262"/>
      <c r="F669" s="263"/>
      <c r="I669" s="264"/>
    </row>
    <row r="670" spans="1:9" ht="15.75" x14ac:dyDescent="0.25">
      <c r="A670" s="43"/>
      <c r="B670" s="261"/>
      <c r="C670" s="262"/>
      <c r="E670" s="262"/>
      <c r="F670" s="263"/>
      <c r="I670" s="264"/>
    </row>
    <row r="671" spans="1:9" ht="15.75" x14ac:dyDescent="0.25">
      <c r="A671" s="43"/>
      <c r="B671" s="261"/>
      <c r="C671" s="262"/>
      <c r="E671" s="262"/>
      <c r="F671" s="263"/>
      <c r="I671" s="264"/>
    </row>
    <row r="672" spans="1:9" ht="15.75" x14ac:dyDescent="0.25">
      <c r="A672" s="43"/>
      <c r="B672" s="261"/>
      <c r="C672" s="262"/>
      <c r="E672" s="262"/>
      <c r="F672" s="263"/>
      <c r="I672" s="264"/>
    </row>
    <row r="673" spans="1:9" ht="15.75" x14ac:dyDescent="0.25">
      <c r="A673" s="43"/>
      <c r="B673" s="261"/>
      <c r="C673" s="262"/>
      <c r="E673" s="262"/>
      <c r="F673" s="263"/>
      <c r="I673" s="264"/>
    </row>
    <row r="674" spans="1:9" ht="15.75" x14ac:dyDescent="0.25">
      <c r="A674" s="43"/>
      <c r="B674" s="261"/>
      <c r="C674" s="262"/>
      <c r="E674" s="262"/>
      <c r="F674" s="263"/>
      <c r="I674" s="264"/>
    </row>
    <row r="675" spans="1:9" ht="15.75" x14ac:dyDescent="0.25">
      <c r="A675" s="43"/>
      <c r="B675" s="261"/>
      <c r="C675" s="262"/>
      <c r="E675" s="262"/>
      <c r="F675" s="263"/>
      <c r="I675" s="264"/>
    </row>
    <row r="676" spans="1:9" ht="15.75" x14ac:dyDescent="0.25">
      <c r="A676" s="43"/>
      <c r="B676" s="261"/>
      <c r="C676" s="262"/>
      <c r="E676" s="262"/>
      <c r="F676" s="263"/>
      <c r="I676" s="264"/>
    </row>
    <row r="677" spans="1:9" ht="15.75" x14ac:dyDescent="0.25">
      <c r="A677" s="43"/>
      <c r="B677" s="261"/>
      <c r="C677" s="262"/>
      <c r="E677" s="262"/>
      <c r="F677" s="263"/>
      <c r="I677" s="264"/>
    </row>
    <row r="678" spans="1:9" ht="15.75" x14ac:dyDescent="0.25">
      <c r="A678" s="43"/>
      <c r="B678" s="261"/>
      <c r="C678" s="262"/>
      <c r="E678" s="262"/>
      <c r="F678" s="263"/>
      <c r="I678" s="264"/>
    </row>
    <row r="679" spans="1:9" ht="15.75" x14ac:dyDescent="0.25">
      <c r="A679" s="43"/>
      <c r="B679" s="261"/>
      <c r="C679" s="262"/>
      <c r="E679" s="262"/>
      <c r="F679" s="263"/>
      <c r="I679" s="264"/>
    </row>
    <row r="680" spans="1:9" ht="15.75" x14ac:dyDescent="0.25">
      <c r="A680" s="43"/>
      <c r="B680" s="261"/>
      <c r="C680" s="262"/>
      <c r="E680" s="262"/>
      <c r="F680" s="263"/>
      <c r="I680" s="264"/>
    </row>
    <row r="681" spans="1:9" ht="15.75" x14ac:dyDescent="0.25">
      <c r="A681" s="43"/>
      <c r="B681" s="261"/>
      <c r="C681" s="262"/>
      <c r="E681" s="262"/>
      <c r="F681" s="263"/>
      <c r="I681" s="264"/>
    </row>
    <row r="682" spans="1:9" ht="15.75" x14ac:dyDescent="0.25">
      <c r="A682" s="43"/>
      <c r="B682" s="261"/>
      <c r="C682" s="262"/>
      <c r="E682" s="262"/>
      <c r="F682" s="263"/>
      <c r="I682" s="264"/>
    </row>
    <row r="683" spans="1:9" ht="15.75" x14ac:dyDescent="0.25">
      <c r="A683" s="43"/>
      <c r="B683" s="261"/>
      <c r="C683" s="262"/>
      <c r="E683" s="262"/>
      <c r="F683" s="263"/>
      <c r="I683" s="264"/>
    </row>
    <row r="684" spans="1:9" ht="15.75" x14ac:dyDescent="0.25">
      <c r="A684" s="43"/>
      <c r="B684" s="261"/>
      <c r="C684" s="262"/>
      <c r="E684" s="262"/>
      <c r="F684" s="263"/>
      <c r="I684" s="264"/>
    </row>
    <row r="685" spans="1:9" ht="15.75" x14ac:dyDescent="0.25">
      <c r="A685" s="43"/>
      <c r="B685" s="261"/>
      <c r="C685" s="262"/>
      <c r="E685" s="262"/>
      <c r="F685" s="263"/>
      <c r="I685" s="264"/>
    </row>
    <row r="686" spans="1:9" ht="15.75" x14ac:dyDescent="0.25">
      <c r="A686" s="43"/>
      <c r="B686" s="261"/>
      <c r="C686" s="262"/>
      <c r="E686" s="262"/>
      <c r="F686" s="263"/>
      <c r="I686" s="264"/>
    </row>
    <row r="687" spans="1:9" ht="15.75" x14ac:dyDescent="0.25">
      <c r="A687" s="43"/>
      <c r="B687" s="261"/>
      <c r="C687" s="262"/>
      <c r="E687" s="262"/>
      <c r="F687" s="263"/>
      <c r="I687" s="264"/>
    </row>
    <row r="688" spans="1:9" ht="15.75" x14ac:dyDescent="0.25">
      <c r="A688" s="43"/>
      <c r="B688" s="261"/>
      <c r="C688" s="262"/>
      <c r="E688" s="262"/>
      <c r="F688" s="263"/>
      <c r="I688" s="264"/>
    </row>
    <row r="689" spans="1:9" ht="15.75" x14ac:dyDescent="0.25">
      <c r="A689" s="43"/>
      <c r="B689" s="261"/>
      <c r="C689" s="262"/>
      <c r="E689" s="262"/>
      <c r="F689" s="263"/>
      <c r="I689" s="264"/>
    </row>
    <row r="690" spans="1:9" ht="15.75" x14ac:dyDescent="0.25">
      <c r="A690" s="43"/>
      <c r="B690" s="261"/>
      <c r="C690" s="262"/>
      <c r="E690" s="262"/>
      <c r="F690" s="263"/>
      <c r="I690" s="264"/>
    </row>
    <row r="691" spans="1:9" ht="15.75" x14ac:dyDescent="0.25">
      <c r="A691" s="43"/>
      <c r="B691" s="261"/>
      <c r="C691" s="262"/>
      <c r="E691" s="262"/>
      <c r="F691" s="263"/>
      <c r="I691" s="264"/>
    </row>
    <row r="692" spans="1:9" ht="15.75" x14ac:dyDescent="0.25">
      <c r="A692" s="43"/>
      <c r="B692" s="261"/>
      <c r="C692" s="262"/>
      <c r="E692" s="262"/>
      <c r="F692" s="263"/>
      <c r="I692" s="264"/>
    </row>
    <row r="693" spans="1:9" ht="15.75" x14ac:dyDescent="0.25">
      <c r="A693" s="43"/>
      <c r="B693" s="261"/>
      <c r="C693" s="262"/>
      <c r="E693" s="262"/>
      <c r="F693" s="263"/>
      <c r="I693" s="264"/>
    </row>
    <row r="694" spans="1:9" ht="15.75" x14ac:dyDescent="0.25">
      <c r="A694" s="43"/>
      <c r="B694" s="261"/>
      <c r="C694" s="262"/>
      <c r="E694" s="262"/>
      <c r="F694" s="263"/>
      <c r="I694" s="264"/>
    </row>
    <row r="695" spans="1:9" ht="15.75" x14ac:dyDescent="0.25">
      <c r="A695" s="43"/>
      <c r="B695" s="261"/>
      <c r="C695" s="262"/>
      <c r="E695" s="262"/>
      <c r="F695" s="263"/>
      <c r="I695" s="264"/>
    </row>
    <row r="696" spans="1:9" ht="15.75" x14ac:dyDescent="0.25">
      <c r="A696" s="43"/>
      <c r="B696" s="261"/>
      <c r="C696" s="262"/>
      <c r="E696" s="262"/>
      <c r="F696" s="263"/>
      <c r="I696" s="264"/>
    </row>
    <row r="697" spans="1:9" ht="15.75" x14ac:dyDescent="0.25">
      <c r="A697" s="43"/>
      <c r="B697" s="261"/>
      <c r="C697" s="262"/>
      <c r="E697" s="262"/>
      <c r="F697" s="263"/>
      <c r="I697" s="264"/>
    </row>
    <row r="698" spans="1:9" ht="15.75" x14ac:dyDescent="0.25">
      <c r="A698" s="43"/>
      <c r="B698" s="261"/>
      <c r="C698" s="262"/>
      <c r="E698" s="262"/>
      <c r="F698" s="263"/>
      <c r="I698" s="264"/>
    </row>
    <row r="699" spans="1:9" ht="15.75" x14ac:dyDescent="0.25">
      <c r="A699" s="43"/>
      <c r="B699" s="261"/>
      <c r="C699" s="262"/>
      <c r="E699" s="262"/>
      <c r="F699" s="263"/>
      <c r="I699" s="264"/>
    </row>
    <row r="700" spans="1:9" ht="15.75" x14ac:dyDescent="0.25">
      <c r="A700" s="43"/>
      <c r="B700" s="261"/>
      <c r="C700" s="262"/>
      <c r="E700" s="262"/>
      <c r="F700" s="263"/>
      <c r="I700" s="264"/>
    </row>
    <row r="701" spans="1:9" ht="15.75" x14ac:dyDescent="0.25">
      <c r="A701" s="43"/>
      <c r="B701" s="261"/>
      <c r="C701" s="262"/>
      <c r="E701" s="262"/>
      <c r="F701" s="263"/>
      <c r="I701" s="264"/>
    </row>
    <row r="702" spans="1:9" ht="15.75" x14ac:dyDescent="0.25">
      <c r="A702" s="43"/>
      <c r="B702" s="261"/>
      <c r="C702" s="262"/>
      <c r="E702" s="262"/>
      <c r="F702" s="263"/>
      <c r="I702" s="264"/>
    </row>
    <row r="703" spans="1:9" ht="15.75" x14ac:dyDescent="0.25">
      <c r="A703" s="43"/>
      <c r="B703" s="261"/>
      <c r="C703" s="262"/>
      <c r="E703" s="262"/>
      <c r="F703" s="263"/>
      <c r="I703" s="264"/>
    </row>
    <row r="704" spans="1:9" ht="15.75" x14ac:dyDescent="0.25">
      <c r="A704" s="43"/>
      <c r="B704" s="261"/>
      <c r="C704" s="262"/>
      <c r="E704" s="262"/>
      <c r="F704" s="263"/>
      <c r="I704" s="264"/>
    </row>
    <row r="705" spans="1:9" ht="15.75" x14ac:dyDescent="0.25">
      <c r="A705" s="43"/>
      <c r="B705" s="261"/>
      <c r="C705" s="262"/>
      <c r="E705" s="262"/>
      <c r="F705" s="263"/>
      <c r="I705" s="264"/>
    </row>
    <row r="706" spans="1:9" ht="15.75" x14ac:dyDescent="0.25">
      <c r="A706" s="43"/>
      <c r="B706" s="261"/>
      <c r="C706" s="262"/>
      <c r="E706" s="262"/>
      <c r="F706" s="263"/>
      <c r="I706" s="264"/>
    </row>
    <row r="707" spans="1:9" ht="15.75" x14ac:dyDescent="0.25">
      <c r="A707" s="43"/>
      <c r="B707" s="261"/>
      <c r="C707" s="262"/>
      <c r="E707" s="262"/>
      <c r="F707" s="263"/>
      <c r="I707" s="264"/>
    </row>
    <row r="708" spans="1:9" ht="15.75" x14ac:dyDescent="0.25">
      <c r="A708" s="43"/>
      <c r="B708" s="261"/>
      <c r="C708" s="262"/>
      <c r="E708" s="262"/>
      <c r="F708" s="263"/>
      <c r="I708" s="264"/>
    </row>
    <row r="709" spans="1:9" ht="15.75" x14ac:dyDescent="0.25">
      <c r="A709" s="43"/>
      <c r="B709" s="261"/>
      <c r="C709" s="262"/>
      <c r="E709" s="262"/>
      <c r="F709" s="263"/>
      <c r="I709" s="264"/>
    </row>
    <row r="710" spans="1:9" ht="15.75" x14ac:dyDescent="0.25">
      <c r="A710" s="43"/>
      <c r="B710" s="261"/>
      <c r="C710" s="262"/>
      <c r="E710" s="262"/>
      <c r="F710" s="263"/>
      <c r="I710" s="264"/>
    </row>
    <row r="711" spans="1:9" ht="15.75" x14ac:dyDescent="0.25">
      <c r="A711" s="43"/>
      <c r="B711" s="261"/>
      <c r="C711" s="262"/>
      <c r="E711" s="262"/>
      <c r="F711" s="263"/>
      <c r="I711" s="264"/>
    </row>
    <row r="712" spans="1:9" ht="15.75" x14ac:dyDescent="0.25">
      <c r="A712" s="43"/>
      <c r="B712" s="261"/>
      <c r="C712" s="262"/>
      <c r="E712" s="262"/>
      <c r="F712" s="263"/>
      <c r="I712" s="264"/>
    </row>
    <row r="713" spans="1:9" ht="15.75" x14ac:dyDescent="0.25">
      <c r="A713" s="43"/>
      <c r="B713" s="261"/>
      <c r="C713" s="262"/>
      <c r="E713" s="262"/>
      <c r="F713" s="263"/>
      <c r="I713" s="264"/>
    </row>
    <row r="714" spans="1:9" ht="15.75" x14ac:dyDescent="0.25">
      <c r="A714" s="43"/>
      <c r="B714" s="261"/>
      <c r="C714" s="262"/>
      <c r="E714" s="262"/>
      <c r="F714" s="263"/>
      <c r="I714" s="264"/>
    </row>
    <row r="715" spans="1:9" ht="15.75" x14ac:dyDescent="0.25">
      <c r="A715" s="43"/>
      <c r="B715" s="261"/>
      <c r="C715" s="262"/>
      <c r="E715" s="262"/>
      <c r="F715" s="263"/>
      <c r="I715" s="264"/>
    </row>
    <row r="716" spans="1:9" ht="15.75" x14ac:dyDescent="0.25">
      <c r="A716" s="43"/>
      <c r="B716" s="261"/>
      <c r="C716" s="262"/>
      <c r="E716" s="262"/>
      <c r="F716" s="263"/>
      <c r="I716" s="264"/>
    </row>
    <row r="717" spans="1:9" ht="15.75" x14ac:dyDescent="0.25">
      <c r="A717" s="43"/>
      <c r="B717" s="261"/>
      <c r="C717" s="262"/>
      <c r="E717" s="262"/>
      <c r="F717" s="263"/>
      <c r="I717" s="264"/>
    </row>
    <row r="718" spans="1:9" ht="15.75" x14ac:dyDescent="0.25">
      <c r="A718" s="43"/>
      <c r="B718" s="261"/>
      <c r="C718" s="262"/>
      <c r="E718" s="262"/>
      <c r="F718" s="263"/>
      <c r="I718" s="264"/>
    </row>
    <row r="719" spans="1:9" ht="15.75" x14ac:dyDescent="0.25">
      <c r="A719" s="43"/>
      <c r="B719" s="261"/>
      <c r="C719" s="262"/>
      <c r="E719" s="262"/>
      <c r="F719" s="263"/>
      <c r="I719" s="264"/>
    </row>
    <row r="720" spans="1:9" ht="15.75" x14ac:dyDescent="0.25">
      <c r="A720" s="43"/>
      <c r="B720" s="261"/>
      <c r="C720" s="262"/>
      <c r="E720" s="262"/>
      <c r="F720" s="263"/>
      <c r="I720" s="264"/>
    </row>
    <row r="721" spans="1:9" ht="15.75" x14ac:dyDescent="0.25">
      <c r="A721" s="43"/>
      <c r="B721" s="261"/>
      <c r="C721" s="262"/>
      <c r="E721" s="262"/>
      <c r="F721" s="263"/>
      <c r="I721" s="264"/>
    </row>
    <row r="722" spans="1:9" ht="15.75" x14ac:dyDescent="0.25">
      <c r="A722" s="43"/>
      <c r="B722" s="261"/>
      <c r="C722" s="262"/>
      <c r="E722" s="262"/>
      <c r="F722" s="263"/>
      <c r="I722" s="264"/>
    </row>
    <row r="723" spans="1:9" ht="15.75" x14ac:dyDescent="0.25">
      <c r="A723" s="43"/>
      <c r="B723" s="261"/>
      <c r="C723" s="262"/>
      <c r="E723" s="262"/>
      <c r="F723" s="263"/>
      <c r="I723" s="264"/>
    </row>
    <row r="724" spans="1:9" ht="15.75" x14ac:dyDescent="0.25">
      <c r="A724" s="43"/>
      <c r="B724" s="261"/>
      <c r="C724" s="262"/>
      <c r="E724" s="262"/>
      <c r="F724" s="263"/>
      <c r="I724" s="264"/>
    </row>
    <row r="725" spans="1:9" ht="15.75" x14ac:dyDescent="0.25">
      <c r="A725" s="43"/>
      <c r="B725" s="261"/>
      <c r="C725" s="262"/>
      <c r="E725" s="262"/>
      <c r="F725" s="263"/>
      <c r="I725" s="264"/>
    </row>
    <row r="726" spans="1:9" ht="15.75" x14ac:dyDescent="0.25">
      <c r="A726" s="43"/>
      <c r="B726" s="261"/>
      <c r="C726" s="262"/>
      <c r="E726" s="262"/>
      <c r="F726" s="263"/>
      <c r="I726" s="264"/>
    </row>
    <row r="727" spans="1:9" ht="15.75" x14ac:dyDescent="0.25">
      <c r="A727" s="43"/>
      <c r="B727" s="261"/>
      <c r="C727" s="262"/>
      <c r="E727" s="262"/>
      <c r="F727" s="263"/>
      <c r="I727" s="264"/>
    </row>
    <row r="728" spans="1:9" ht="15.75" x14ac:dyDescent="0.25">
      <c r="A728" s="43"/>
      <c r="B728" s="261"/>
      <c r="C728" s="262"/>
      <c r="E728" s="262"/>
      <c r="F728" s="263"/>
      <c r="I728" s="264"/>
    </row>
    <row r="729" spans="1:9" ht="15.75" x14ac:dyDescent="0.25">
      <c r="A729" s="43"/>
      <c r="B729" s="261"/>
      <c r="C729" s="262"/>
      <c r="E729" s="262"/>
      <c r="F729" s="263"/>
      <c r="I729" s="264"/>
    </row>
    <row r="730" spans="1:9" ht="15.75" x14ac:dyDescent="0.25">
      <c r="A730" s="43"/>
      <c r="B730" s="261"/>
      <c r="C730" s="262"/>
      <c r="E730" s="262"/>
      <c r="F730" s="263"/>
      <c r="I730" s="264"/>
    </row>
    <row r="731" spans="1:9" ht="15.75" x14ac:dyDescent="0.25">
      <c r="A731" s="43"/>
      <c r="B731" s="261"/>
      <c r="C731" s="262"/>
      <c r="E731" s="262"/>
      <c r="F731" s="263"/>
      <c r="I731" s="264"/>
    </row>
    <row r="732" spans="1:9" ht="15.75" x14ac:dyDescent="0.25">
      <c r="A732" s="43"/>
      <c r="B732" s="261"/>
      <c r="C732" s="262"/>
      <c r="E732" s="262"/>
      <c r="F732" s="263"/>
      <c r="I732" s="264"/>
    </row>
    <row r="733" spans="1:9" ht="15.75" x14ac:dyDescent="0.25">
      <c r="A733" s="43"/>
      <c r="B733" s="261"/>
      <c r="C733" s="262"/>
      <c r="E733" s="262"/>
      <c r="F733" s="263"/>
      <c r="I733" s="264"/>
    </row>
    <row r="734" spans="1:9" ht="15.75" x14ac:dyDescent="0.25">
      <c r="A734" s="43"/>
      <c r="B734" s="261"/>
      <c r="C734" s="262"/>
      <c r="E734" s="262"/>
      <c r="F734" s="263"/>
      <c r="I734" s="264"/>
    </row>
    <row r="735" spans="1:9" ht="15.75" x14ac:dyDescent="0.25">
      <c r="A735" s="43"/>
      <c r="B735" s="261"/>
      <c r="C735" s="262"/>
      <c r="E735" s="262"/>
      <c r="F735" s="263"/>
      <c r="I735" s="264"/>
    </row>
    <row r="736" spans="1:9" ht="15.75" x14ac:dyDescent="0.25">
      <c r="A736" s="43"/>
      <c r="B736" s="261"/>
      <c r="C736" s="262"/>
      <c r="E736" s="262"/>
      <c r="F736" s="263"/>
      <c r="I736" s="264"/>
    </row>
    <row r="737" spans="1:9" ht="15.75" x14ac:dyDescent="0.25">
      <c r="A737" s="43"/>
      <c r="B737" s="261"/>
      <c r="C737" s="262"/>
      <c r="E737" s="262"/>
      <c r="F737" s="263"/>
      <c r="I737" s="264"/>
    </row>
    <row r="738" spans="1:9" ht="15.75" x14ac:dyDescent="0.25">
      <c r="A738" s="43"/>
      <c r="B738" s="261"/>
      <c r="C738" s="262"/>
      <c r="E738" s="262"/>
      <c r="F738" s="263"/>
      <c r="I738" s="264"/>
    </row>
    <row r="739" spans="1:9" ht="15.75" x14ac:dyDescent="0.25">
      <c r="A739" s="43"/>
      <c r="B739" s="261"/>
      <c r="C739" s="262"/>
      <c r="E739" s="262"/>
      <c r="F739" s="263"/>
      <c r="I739" s="264"/>
    </row>
    <row r="740" spans="1:9" ht="15.75" x14ac:dyDescent="0.25">
      <c r="A740" s="43"/>
      <c r="B740" s="261"/>
      <c r="C740" s="262"/>
      <c r="E740" s="262"/>
      <c r="F740" s="263"/>
      <c r="I740" s="264"/>
    </row>
    <row r="741" spans="1:9" ht="15.75" x14ac:dyDescent="0.25">
      <c r="A741" s="43"/>
      <c r="B741" s="261"/>
      <c r="C741" s="262"/>
      <c r="E741" s="262"/>
      <c r="F741" s="263"/>
      <c r="I741" s="264"/>
    </row>
    <row r="742" spans="1:9" ht="15.75" x14ac:dyDescent="0.25">
      <c r="A742" s="43"/>
      <c r="B742" s="261"/>
      <c r="C742" s="262"/>
      <c r="E742" s="262"/>
      <c r="F742" s="263"/>
      <c r="I742" s="264"/>
    </row>
    <row r="743" spans="1:9" ht="15.75" x14ac:dyDescent="0.25">
      <c r="A743" s="43"/>
      <c r="B743" s="261"/>
      <c r="C743" s="262"/>
      <c r="E743" s="262"/>
      <c r="F743" s="263"/>
      <c r="I743" s="264"/>
    </row>
    <row r="744" spans="1:9" ht="15.75" x14ac:dyDescent="0.25">
      <c r="A744" s="43"/>
      <c r="B744" s="261"/>
      <c r="C744" s="262"/>
      <c r="E744" s="262"/>
      <c r="F744" s="263"/>
      <c r="I744" s="264"/>
    </row>
    <row r="745" spans="1:9" ht="15.75" x14ac:dyDescent="0.25">
      <c r="A745" s="43"/>
      <c r="B745" s="261"/>
      <c r="C745" s="262"/>
      <c r="E745" s="262"/>
      <c r="F745" s="263"/>
      <c r="I745" s="264"/>
    </row>
    <row r="746" spans="1:9" ht="15.75" x14ac:dyDescent="0.25">
      <c r="A746" s="43"/>
      <c r="B746" s="261"/>
      <c r="C746" s="262"/>
      <c r="E746" s="262"/>
      <c r="F746" s="263"/>
      <c r="I746" s="264"/>
    </row>
    <row r="747" spans="1:9" ht="15.75" x14ac:dyDescent="0.25">
      <c r="A747" s="43"/>
      <c r="B747" s="261"/>
      <c r="C747" s="262"/>
      <c r="E747" s="262"/>
      <c r="F747" s="263"/>
      <c r="I747" s="264"/>
    </row>
    <row r="748" spans="1:9" ht="15.75" x14ac:dyDescent="0.25">
      <c r="A748" s="43"/>
      <c r="B748" s="261"/>
      <c r="C748" s="262"/>
      <c r="E748" s="262"/>
      <c r="F748" s="263"/>
      <c r="I748" s="264"/>
    </row>
    <row r="749" spans="1:9" ht="15.75" x14ac:dyDescent="0.25">
      <c r="A749" s="43"/>
      <c r="B749" s="261"/>
      <c r="C749" s="262"/>
      <c r="E749" s="262"/>
      <c r="F749" s="263"/>
      <c r="I749" s="264"/>
    </row>
    <row r="750" spans="1:9" ht="15.75" x14ac:dyDescent="0.25">
      <c r="A750" s="43"/>
      <c r="B750" s="261"/>
      <c r="C750" s="262"/>
      <c r="E750" s="262"/>
      <c r="F750" s="263"/>
      <c r="I750" s="264"/>
    </row>
    <row r="751" spans="1:9" ht="15.75" x14ac:dyDescent="0.25">
      <c r="A751" s="43"/>
      <c r="B751" s="261"/>
      <c r="C751" s="262"/>
      <c r="E751" s="262"/>
      <c r="F751" s="263"/>
      <c r="I751" s="264"/>
    </row>
    <row r="752" spans="1:9" ht="15.75" x14ac:dyDescent="0.25">
      <c r="A752" s="43"/>
      <c r="B752" s="261"/>
      <c r="C752" s="262"/>
      <c r="E752" s="262"/>
      <c r="F752" s="263"/>
      <c r="I752" s="264"/>
    </row>
    <row r="753" spans="1:9" ht="15.75" x14ac:dyDescent="0.25">
      <c r="A753" s="43"/>
      <c r="B753" s="261"/>
      <c r="C753" s="262"/>
      <c r="E753" s="262"/>
      <c r="F753" s="263"/>
      <c r="I753" s="264"/>
    </row>
    <row r="754" spans="1:9" ht="15.75" x14ac:dyDescent="0.25">
      <c r="A754" s="43"/>
      <c r="B754" s="261"/>
      <c r="C754" s="262"/>
      <c r="E754" s="262"/>
      <c r="F754" s="263"/>
      <c r="I754" s="264"/>
    </row>
    <row r="755" spans="1:9" ht="15.75" x14ac:dyDescent="0.25">
      <c r="A755" s="43"/>
      <c r="B755" s="261"/>
      <c r="C755" s="262"/>
      <c r="E755" s="262"/>
      <c r="F755" s="263"/>
      <c r="I755" s="264"/>
    </row>
    <row r="756" spans="1:9" ht="15.75" x14ac:dyDescent="0.25">
      <c r="A756" s="43"/>
      <c r="B756" s="261"/>
      <c r="C756" s="262"/>
      <c r="E756" s="262"/>
      <c r="F756" s="263"/>
      <c r="I756" s="264"/>
    </row>
    <row r="757" spans="1:9" ht="15.75" x14ac:dyDescent="0.25">
      <c r="A757" s="43"/>
      <c r="B757" s="261"/>
      <c r="C757" s="262"/>
      <c r="E757" s="262"/>
      <c r="F757" s="263"/>
      <c r="I757" s="264"/>
    </row>
    <row r="758" spans="1:9" ht="15.75" x14ac:dyDescent="0.25">
      <c r="A758" s="43"/>
      <c r="B758" s="261"/>
      <c r="C758" s="262"/>
      <c r="E758" s="262"/>
      <c r="F758" s="263"/>
      <c r="I758" s="264"/>
    </row>
    <row r="759" spans="1:9" ht="15.75" x14ac:dyDescent="0.25">
      <c r="A759" s="43"/>
      <c r="B759" s="261"/>
      <c r="C759" s="262"/>
      <c r="E759" s="262"/>
      <c r="F759" s="263"/>
      <c r="I759" s="264"/>
    </row>
    <row r="760" spans="1:9" ht="15.75" x14ac:dyDescent="0.25">
      <c r="A760" s="43"/>
      <c r="B760" s="261"/>
      <c r="C760" s="262"/>
      <c r="E760" s="262"/>
      <c r="F760" s="263"/>
      <c r="I760" s="264"/>
    </row>
    <row r="761" spans="1:9" ht="15.75" x14ac:dyDescent="0.25">
      <c r="A761" s="43"/>
      <c r="B761" s="261"/>
      <c r="C761" s="262"/>
      <c r="E761" s="262"/>
      <c r="F761" s="263"/>
      <c r="I761" s="264"/>
    </row>
    <row r="762" spans="1:9" ht="15.75" x14ac:dyDescent="0.25">
      <c r="A762" s="43"/>
      <c r="B762" s="261"/>
      <c r="C762" s="262"/>
      <c r="E762" s="262"/>
      <c r="F762" s="263"/>
      <c r="I762" s="264"/>
    </row>
    <row r="763" spans="1:9" ht="15.75" x14ac:dyDescent="0.25">
      <c r="A763" s="43"/>
      <c r="B763" s="261"/>
      <c r="C763" s="262"/>
      <c r="E763" s="262"/>
      <c r="F763" s="263"/>
      <c r="I763" s="264"/>
    </row>
    <row r="764" spans="1:9" ht="15.75" x14ac:dyDescent="0.25">
      <c r="A764" s="43"/>
      <c r="B764" s="261"/>
      <c r="C764" s="262"/>
      <c r="E764" s="262"/>
      <c r="F764" s="263"/>
      <c r="I764" s="264"/>
    </row>
    <row r="765" spans="1:9" ht="15.75" x14ac:dyDescent="0.25">
      <c r="A765" s="43"/>
      <c r="B765" s="261"/>
      <c r="C765" s="262"/>
      <c r="E765" s="262"/>
      <c r="F765" s="263"/>
      <c r="I765" s="264"/>
    </row>
    <row r="766" spans="1:9" ht="15.75" x14ac:dyDescent="0.25">
      <c r="A766" s="43"/>
      <c r="B766" s="261"/>
      <c r="C766" s="262"/>
      <c r="E766" s="262"/>
      <c r="F766" s="263"/>
      <c r="I766" s="264"/>
    </row>
    <row r="767" spans="1:9" ht="15.75" x14ac:dyDescent="0.25">
      <c r="A767" s="43"/>
      <c r="B767" s="261"/>
      <c r="C767" s="262"/>
      <c r="E767" s="262"/>
      <c r="F767" s="263"/>
      <c r="I767" s="264"/>
    </row>
    <row r="768" spans="1:9" ht="15.75" x14ac:dyDescent="0.25">
      <c r="A768" s="43"/>
      <c r="B768" s="261"/>
      <c r="C768" s="262"/>
      <c r="E768" s="262"/>
      <c r="F768" s="263"/>
      <c r="I768" s="264"/>
    </row>
    <row r="769" spans="1:9" ht="15.75" x14ac:dyDescent="0.25">
      <c r="A769" s="43"/>
      <c r="B769" s="261"/>
      <c r="C769" s="262"/>
      <c r="E769" s="262"/>
      <c r="F769" s="263"/>
      <c r="I769" s="264"/>
    </row>
    <row r="770" spans="1:9" ht="15.75" x14ac:dyDescent="0.25">
      <c r="A770" s="43"/>
      <c r="B770" s="261"/>
      <c r="C770" s="262"/>
      <c r="E770" s="262"/>
      <c r="F770" s="263"/>
      <c r="I770" s="264"/>
    </row>
    <row r="771" spans="1:9" ht="15.75" x14ac:dyDescent="0.25">
      <c r="A771" s="43"/>
      <c r="B771" s="261"/>
      <c r="C771" s="262"/>
      <c r="E771" s="262"/>
      <c r="F771" s="263"/>
      <c r="I771" s="264"/>
    </row>
    <row r="772" spans="1:9" ht="15.75" x14ac:dyDescent="0.25">
      <c r="A772" s="43"/>
      <c r="B772" s="261"/>
      <c r="C772" s="262"/>
      <c r="E772" s="262"/>
      <c r="F772" s="263"/>
      <c r="I772" s="264"/>
    </row>
    <row r="773" spans="1:9" ht="15.75" x14ac:dyDescent="0.25">
      <c r="A773" s="43"/>
      <c r="B773" s="261"/>
      <c r="C773" s="262"/>
      <c r="E773" s="262"/>
      <c r="F773" s="263"/>
      <c r="I773" s="264"/>
    </row>
    <row r="774" spans="1:9" ht="15.75" x14ac:dyDescent="0.25">
      <c r="A774" s="43"/>
      <c r="B774" s="261"/>
      <c r="C774" s="262"/>
      <c r="E774" s="262"/>
      <c r="F774" s="263"/>
      <c r="I774" s="264"/>
    </row>
    <row r="775" spans="1:9" ht="15.75" x14ac:dyDescent="0.25">
      <c r="A775" s="43"/>
      <c r="B775" s="261"/>
      <c r="C775" s="262"/>
      <c r="E775" s="262"/>
      <c r="F775" s="263"/>
      <c r="I775" s="264"/>
    </row>
    <row r="776" spans="1:9" ht="15.75" x14ac:dyDescent="0.25">
      <c r="A776" s="43"/>
      <c r="B776" s="261"/>
      <c r="C776" s="262"/>
      <c r="E776" s="262"/>
      <c r="F776" s="263"/>
      <c r="I776" s="264"/>
    </row>
    <row r="777" spans="1:9" ht="15.75" x14ac:dyDescent="0.25">
      <c r="A777" s="43"/>
      <c r="B777" s="261"/>
      <c r="C777" s="262"/>
      <c r="E777" s="262"/>
      <c r="F777" s="263"/>
      <c r="I777" s="264"/>
    </row>
    <row r="778" spans="1:9" ht="15.75" x14ac:dyDescent="0.25">
      <c r="A778" s="43"/>
      <c r="B778" s="261"/>
      <c r="C778" s="262"/>
      <c r="E778" s="262"/>
      <c r="F778" s="263"/>
      <c r="I778" s="264"/>
    </row>
    <row r="779" spans="1:9" ht="15.75" x14ac:dyDescent="0.25">
      <c r="A779" s="43"/>
      <c r="B779" s="261"/>
      <c r="C779" s="262"/>
      <c r="E779" s="262"/>
      <c r="F779" s="263"/>
      <c r="I779" s="264"/>
    </row>
    <row r="780" spans="1:9" ht="15.75" x14ac:dyDescent="0.25">
      <c r="A780" s="43"/>
      <c r="B780" s="261"/>
      <c r="C780" s="262"/>
      <c r="E780" s="262"/>
      <c r="F780" s="263"/>
      <c r="I780" s="264"/>
    </row>
    <row r="781" spans="1:9" ht="15.75" x14ac:dyDescent="0.25">
      <c r="A781" s="43"/>
      <c r="B781" s="261"/>
      <c r="C781" s="262"/>
      <c r="E781" s="262"/>
      <c r="F781" s="263"/>
      <c r="I781" s="264"/>
    </row>
    <row r="782" spans="1:9" ht="15.75" x14ac:dyDescent="0.25">
      <c r="A782" s="43"/>
      <c r="B782" s="261"/>
      <c r="C782" s="262"/>
      <c r="E782" s="262"/>
      <c r="F782" s="263"/>
      <c r="I782" s="264"/>
    </row>
    <row r="783" spans="1:9" ht="15.75" x14ac:dyDescent="0.25">
      <c r="A783" s="43"/>
      <c r="B783" s="261"/>
      <c r="C783" s="262"/>
      <c r="E783" s="262"/>
      <c r="F783" s="263"/>
      <c r="I783" s="264"/>
    </row>
    <row r="784" spans="1:9" ht="15.75" x14ac:dyDescent="0.25">
      <c r="A784" s="43"/>
      <c r="B784" s="261"/>
      <c r="C784" s="262"/>
      <c r="E784" s="262"/>
      <c r="F784" s="263"/>
      <c r="I784" s="264"/>
    </row>
    <row r="785" spans="1:9" ht="15.75" x14ac:dyDescent="0.25">
      <c r="A785" s="43"/>
      <c r="B785" s="261"/>
      <c r="C785" s="262"/>
      <c r="E785" s="262"/>
      <c r="F785" s="263"/>
      <c r="I785" s="264"/>
    </row>
    <row r="786" spans="1:9" ht="15.75" x14ac:dyDescent="0.25">
      <c r="A786" s="43"/>
      <c r="B786" s="261"/>
      <c r="C786" s="262"/>
      <c r="E786" s="262"/>
      <c r="F786" s="263"/>
      <c r="I786" s="264"/>
    </row>
    <row r="787" spans="1:9" ht="15.75" x14ac:dyDescent="0.25">
      <c r="A787" s="43"/>
      <c r="B787" s="261"/>
      <c r="C787" s="262"/>
      <c r="E787" s="262"/>
      <c r="F787" s="263"/>
      <c r="I787" s="264"/>
    </row>
    <row r="788" spans="1:9" ht="15.75" x14ac:dyDescent="0.25">
      <c r="A788" s="43"/>
      <c r="B788" s="261"/>
      <c r="C788" s="262"/>
      <c r="E788" s="262"/>
      <c r="F788" s="263"/>
      <c r="I788" s="264"/>
    </row>
    <row r="789" spans="1:9" ht="15.75" x14ac:dyDescent="0.25">
      <c r="A789" s="43"/>
      <c r="B789" s="261"/>
      <c r="C789" s="262"/>
      <c r="E789" s="262"/>
      <c r="F789" s="263"/>
      <c r="I789" s="264"/>
    </row>
    <row r="790" spans="1:9" ht="15.75" x14ac:dyDescent="0.25">
      <c r="A790" s="43"/>
      <c r="B790" s="261"/>
      <c r="C790" s="262"/>
      <c r="E790" s="262"/>
      <c r="F790" s="263"/>
      <c r="I790" s="264"/>
    </row>
    <row r="791" spans="1:9" ht="15.75" x14ac:dyDescent="0.25">
      <c r="A791" s="43"/>
      <c r="B791" s="261"/>
      <c r="C791" s="262"/>
      <c r="E791" s="262"/>
      <c r="F791" s="263"/>
      <c r="I791" s="264"/>
    </row>
    <row r="792" spans="1:9" ht="15.75" x14ac:dyDescent="0.25">
      <c r="A792" s="43"/>
      <c r="B792" s="261"/>
      <c r="C792" s="262"/>
      <c r="E792" s="262"/>
      <c r="F792" s="263"/>
      <c r="I792" s="264"/>
    </row>
    <row r="793" spans="1:9" ht="15.75" x14ac:dyDescent="0.25">
      <c r="A793" s="43"/>
      <c r="B793" s="261"/>
      <c r="C793" s="262"/>
      <c r="E793" s="262"/>
      <c r="F793" s="263"/>
      <c r="I793" s="264"/>
    </row>
    <row r="794" spans="1:9" ht="15.75" x14ac:dyDescent="0.25">
      <c r="A794" s="43"/>
      <c r="B794" s="261"/>
      <c r="C794" s="262"/>
      <c r="E794" s="262"/>
      <c r="F794" s="263"/>
      <c r="I794" s="264"/>
    </row>
    <row r="795" spans="1:9" ht="15.75" x14ac:dyDescent="0.25">
      <c r="A795" s="43"/>
      <c r="B795" s="261"/>
      <c r="C795" s="262"/>
      <c r="E795" s="262"/>
      <c r="F795" s="263"/>
      <c r="I795" s="264"/>
    </row>
    <row r="796" spans="1:9" ht="15.75" x14ac:dyDescent="0.25">
      <c r="A796" s="43"/>
      <c r="B796" s="261"/>
      <c r="C796" s="262"/>
      <c r="E796" s="262"/>
      <c r="F796" s="263"/>
      <c r="I796" s="264"/>
    </row>
    <row r="797" spans="1:9" ht="15.75" x14ac:dyDescent="0.25">
      <c r="A797" s="43"/>
      <c r="B797" s="261"/>
      <c r="C797" s="262"/>
      <c r="E797" s="262"/>
      <c r="F797" s="263"/>
      <c r="I797" s="264"/>
    </row>
    <row r="798" spans="1:9" ht="15.75" x14ac:dyDescent="0.25">
      <c r="A798" s="43"/>
      <c r="B798" s="261"/>
      <c r="C798" s="262"/>
      <c r="E798" s="262"/>
      <c r="F798" s="263"/>
      <c r="I798" s="264"/>
    </row>
    <row r="799" spans="1:9" ht="15.75" x14ac:dyDescent="0.25">
      <c r="A799" s="43"/>
      <c r="B799" s="261"/>
      <c r="C799" s="262"/>
      <c r="E799" s="262"/>
      <c r="F799" s="263"/>
      <c r="I799" s="264"/>
    </row>
    <row r="800" spans="1:9" ht="15.75" x14ac:dyDescent="0.25">
      <c r="A800" s="43"/>
      <c r="B800" s="261"/>
      <c r="C800" s="262"/>
      <c r="E800" s="262"/>
      <c r="F800" s="263"/>
      <c r="I800" s="264"/>
    </row>
    <row r="801" spans="1:9" ht="15.75" x14ac:dyDescent="0.25">
      <c r="A801" s="43"/>
      <c r="B801" s="261"/>
      <c r="C801" s="262"/>
      <c r="E801" s="262"/>
      <c r="F801" s="263"/>
      <c r="I801" s="264"/>
    </row>
    <row r="802" spans="1:9" ht="15.75" x14ac:dyDescent="0.25">
      <c r="A802" s="43"/>
      <c r="B802" s="261"/>
      <c r="C802" s="262"/>
      <c r="E802" s="262"/>
      <c r="F802" s="263"/>
      <c r="I802" s="264"/>
    </row>
    <row r="803" spans="1:9" ht="15.75" x14ac:dyDescent="0.25">
      <c r="A803" s="43"/>
      <c r="B803" s="261"/>
      <c r="C803" s="262"/>
      <c r="E803" s="262"/>
      <c r="F803" s="263"/>
      <c r="I803" s="264"/>
    </row>
    <row r="804" spans="1:9" ht="15.75" x14ac:dyDescent="0.25">
      <c r="A804" s="43"/>
      <c r="B804" s="261"/>
      <c r="C804" s="262"/>
      <c r="E804" s="262"/>
      <c r="F804" s="263"/>
      <c r="I804" s="264"/>
    </row>
    <row r="805" spans="1:9" ht="15.75" x14ac:dyDescent="0.25">
      <c r="A805" s="43"/>
      <c r="B805" s="261"/>
      <c r="C805" s="262"/>
      <c r="E805" s="262"/>
      <c r="F805" s="263"/>
      <c r="I805" s="264"/>
    </row>
    <row r="806" spans="1:9" ht="15.75" x14ac:dyDescent="0.25">
      <c r="A806" s="43"/>
      <c r="B806" s="261"/>
      <c r="C806" s="262"/>
      <c r="E806" s="262"/>
      <c r="F806" s="263"/>
      <c r="I806" s="264"/>
    </row>
    <row r="807" spans="1:9" ht="15.75" x14ac:dyDescent="0.25">
      <c r="A807" s="43"/>
      <c r="B807" s="261"/>
      <c r="C807" s="262"/>
      <c r="E807" s="262"/>
      <c r="F807" s="263"/>
      <c r="I807" s="264"/>
    </row>
    <row r="808" spans="1:9" ht="15.75" x14ac:dyDescent="0.25">
      <c r="A808" s="43"/>
      <c r="B808" s="261"/>
      <c r="C808" s="262"/>
      <c r="E808" s="262"/>
      <c r="F808" s="263"/>
      <c r="I808" s="264"/>
    </row>
    <row r="809" spans="1:9" ht="15.75" x14ac:dyDescent="0.25">
      <c r="A809" s="43"/>
      <c r="B809" s="261"/>
      <c r="C809" s="262"/>
      <c r="E809" s="262"/>
      <c r="F809" s="263"/>
      <c r="I809" s="264"/>
    </row>
    <row r="810" spans="1:9" ht="15.75" x14ac:dyDescent="0.25">
      <c r="A810" s="43"/>
      <c r="B810" s="261"/>
      <c r="C810" s="262"/>
      <c r="E810" s="262"/>
      <c r="F810" s="263"/>
      <c r="I810" s="264"/>
    </row>
    <row r="811" spans="1:9" ht="15.75" x14ac:dyDescent="0.25">
      <c r="A811" s="43"/>
      <c r="B811" s="261"/>
      <c r="C811" s="262"/>
      <c r="E811" s="262"/>
      <c r="F811" s="263"/>
      <c r="I811" s="264"/>
    </row>
    <row r="812" spans="1:9" ht="15.75" x14ac:dyDescent="0.25">
      <c r="A812" s="43"/>
      <c r="B812" s="261"/>
      <c r="C812" s="262"/>
      <c r="E812" s="262"/>
      <c r="F812" s="263"/>
      <c r="I812" s="264"/>
    </row>
    <row r="813" spans="1:9" ht="15.75" x14ac:dyDescent="0.25">
      <c r="A813" s="43"/>
      <c r="B813" s="261"/>
      <c r="C813" s="262"/>
      <c r="E813" s="262"/>
      <c r="F813" s="263"/>
      <c r="I813" s="264"/>
    </row>
    <row r="814" spans="1:9" ht="15.75" x14ac:dyDescent="0.25">
      <c r="A814" s="43"/>
      <c r="B814" s="261"/>
      <c r="C814" s="262"/>
      <c r="E814" s="262"/>
      <c r="F814" s="263"/>
      <c r="I814" s="264"/>
    </row>
    <row r="815" spans="1:9" ht="15.75" x14ac:dyDescent="0.25">
      <c r="A815" s="43"/>
      <c r="B815" s="261"/>
      <c r="C815" s="262"/>
      <c r="E815" s="262"/>
      <c r="F815" s="263"/>
      <c r="I815" s="264"/>
    </row>
    <row r="816" spans="1:9" ht="15.75" x14ac:dyDescent="0.25">
      <c r="A816" s="43"/>
      <c r="B816" s="261"/>
      <c r="C816" s="262"/>
      <c r="E816" s="262"/>
      <c r="F816" s="263"/>
      <c r="I816" s="264"/>
    </row>
    <row r="817" spans="1:9" ht="15.75" x14ac:dyDescent="0.25">
      <c r="A817" s="43"/>
      <c r="B817" s="261"/>
      <c r="C817" s="262"/>
      <c r="E817" s="262"/>
      <c r="F817" s="263"/>
      <c r="I817" s="264"/>
    </row>
    <row r="818" spans="1:9" ht="15.75" x14ac:dyDescent="0.25">
      <c r="A818" s="43"/>
      <c r="B818" s="261"/>
      <c r="C818" s="262"/>
      <c r="E818" s="262"/>
      <c r="F818" s="263"/>
      <c r="I818" s="264"/>
    </row>
    <row r="819" spans="1:9" ht="15.75" x14ac:dyDescent="0.25">
      <c r="A819" s="43"/>
      <c r="B819" s="261"/>
      <c r="C819" s="262"/>
      <c r="E819" s="262"/>
      <c r="F819" s="263"/>
      <c r="I819" s="264"/>
    </row>
    <row r="820" spans="1:9" ht="15.75" x14ac:dyDescent="0.25">
      <c r="A820" s="43"/>
      <c r="B820" s="261"/>
      <c r="C820" s="262"/>
      <c r="E820" s="262"/>
      <c r="F820" s="263"/>
      <c r="I820" s="264"/>
    </row>
    <row r="821" spans="1:9" ht="15.75" x14ac:dyDescent="0.25">
      <c r="A821" s="43"/>
      <c r="B821" s="261"/>
      <c r="C821" s="262"/>
      <c r="E821" s="262"/>
      <c r="F821" s="263"/>
      <c r="I821" s="264"/>
    </row>
    <row r="822" spans="1:9" ht="15.75" x14ac:dyDescent="0.25">
      <c r="A822" s="43"/>
      <c r="B822" s="261"/>
      <c r="C822" s="262"/>
      <c r="E822" s="262"/>
      <c r="F822" s="263"/>
      <c r="I822" s="264"/>
    </row>
    <row r="823" spans="1:9" ht="15.75" x14ac:dyDescent="0.25">
      <c r="A823" s="43"/>
      <c r="B823" s="261"/>
      <c r="C823" s="262"/>
      <c r="E823" s="262"/>
      <c r="F823" s="263"/>
      <c r="I823" s="264"/>
    </row>
    <row r="824" spans="1:9" ht="15.75" x14ac:dyDescent="0.25">
      <c r="A824" s="43"/>
      <c r="B824" s="261"/>
      <c r="C824" s="262"/>
      <c r="E824" s="262"/>
      <c r="F824" s="263"/>
      <c r="I824" s="264"/>
    </row>
    <row r="825" spans="1:9" ht="15.75" x14ac:dyDescent="0.25">
      <c r="A825" s="43"/>
      <c r="B825" s="261"/>
      <c r="C825" s="262"/>
      <c r="E825" s="262"/>
      <c r="F825" s="263"/>
      <c r="I825" s="264"/>
    </row>
    <row r="826" spans="1:9" ht="15.75" x14ac:dyDescent="0.25">
      <c r="A826" s="43"/>
      <c r="B826" s="261"/>
      <c r="C826" s="262"/>
      <c r="E826" s="262"/>
      <c r="F826" s="263"/>
      <c r="I826" s="264"/>
    </row>
    <row r="827" spans="1:9" ht="15.75" x14ac:dyDescent="0.25">
      <c r="A827" s="43"/>
      <c r="B827" s="261"/>
      <c r="C827" s="262"/>
      <c r="E827" s="262"/>
      <c r="F827" s="263"/>
      <c r="I827" s="264"/>
    </row>
    <row r="828" spans="1:9" ht="15.75" x14ac:dyDescent="0.25">
      <c r="A828" s="43"/>
      <c r="B828" s="261"/>
      <c r="C828" s="262"/>
      <c r="E828" s="262"/>
      <c r="F828" s="263"/>
      <c r="I828" s="264"/>
    </row>
    <row r="829" spans="1:9" ht="15.75" x14ac:dyDescent="0.25">
      <c r="A829" s="43"/>
      <c r="B829" s="261"/>
      <c r="C829" s="262"/>
      <c r="E829" s="262"/>
      <c r="F829" s="263"/>
      <c r="I829" s="264"/>
    </row>
    <row r="830" spans="1:9" ht="15.75" x14ac:dyDescent="0.25">
      <c r="A830" s="43"/>
      <c r="B830" s="261"/>
      <c r="C830" s="262"/>
      <c r="E830" s="262"/>
      <c r="F830" s="263"/>
      <c r="I830" s="264"/>
    </row>
    <row r="831" spans="1:9" ht="15.75" x14ac:dyDescent="0.25">
      <c r="A831" s="43"/>
      <c r="B831" s="261"/>
      <c r="C831" s="262"/>
      <c r="E831" s="262"/>
      <c r="F831" s="263"/>
      <c r="I831" s="264"/>
    </row>
    <row r="832" spans="1:9" ht="15.75" x14ac:dyDescent="0.25">
      <c r="A832" s="43"/>
      <c r="B832" s="261"/>
      <c r="C832" s="262"/>
      <c r="E832" s="262"/>
      <c r="F832" s="263"/>
      <c r="I832" s="264"/>
    </row>
    <row r="833" spans="1:9" ht="15.75" x14ac:dyDescent="0.25">
      <c r="A833" s="43"/>
      <c r="B833" s="261"/>
      <c r="C833" s="262"/>
      <c r="E833" s="262"/>
      <c r="F833" s="263"/>
      <c r="I833" s="264"/>
    </row>
    <row r="834" spans="1:9" ht="15.75" x14ac:dyDescent="0.25">
      <c r="A834" s="43"/>
      <c r="B834" s="261"/>
      <c r="C834" s="262"/>
      <c r="E834" s="262"/>
      <c r="F834" s="263"/>
      <c r="I834" s="264"/>
    </row>
    <row r="835" spans="1:9" ht="15.75" x14ac:dyDescent="0.25">
      <c r="A835" s="43"/>
      <c r="B835" s="261"/>
      <c r="C835" s="262"/>
      <c r="E835" s="262"/>
      <c r="F835" s="263"/>
      <c r="I835" s="264"/>
    </row>
    <row r="836" spans="1:9" ht="15.75" x14ac:dyDescent="0.25">
      <c r="A836" s="43"/>
      <c r="B836" s="261"/>
      <c r="C836" s="262"/>
      <c r="E836" s="262"/>
      <c r="F836" s="263"/>
      <c r="I836" s="264"/>
    </row>
    <row r="837" spans="1:9" ht="15.75" x14ac:dyDescent="0.25">
      <c r="A837" s="43"/>
      <c r="B837" s="261"/>
      <c r="C837" s="262"/>
      <c r="E837" s="262"/>
      <c r="F837" s="263"/>
      <c r="I837" s="264"/>
    </row>
    <row r="838" spans="1:9" ht="15.75" x14ac:dyDescent="0.25">
      <c r="A838" s="43"/>
      <c r="B838" s="261"/>
      <c r="C838" s="262"/>
      <c r="E838" s="262"/>
      <c r="F838" s="263"/>
      <c r="I838" s="264"/>
    </row>
    <row r="839" spans="1:9" ht="15.75" x14ac:dyDescent="0.25">
      <c r="A839" s="43"/>
      <c r="B839" s="261"/>
      <c r="C839" s="262"/>
      <c r="E839" s="262"/>
      <c r="F839" s="263"/>
      <c r="I839" s="264"/>
    </row>
    <row r="840" spans="1:9" ht="15.75" x14ac:dyDescent="0.25">
      <c r="A840" s="43"/>
      <c r="B840" s="261"/>
      <c r="C840" s="262"/>
      <c r="E840" s="262"/>
      <c r="F840" s="263"/>
      <c r="I840" s="264"/>
    </row>
    <row r="841" spans="1:9" ht="15.75" x14ac:dyDescent="0.25">
      <c r="A841" s="43"/>
      <c r="B841" s="261"/>
      <c r="C841" s="262"/>
      <c r="E841" s="262"/>
      <c r="F841" s="263"/>
      <c r="I841" s="264"/>
    </row>
    <row r="842" spans="1:9" ht="15.75" x14ac:dyDescent="0.25">
      <c r="A842" s="43"/>
      <c r="B842" s="261"/>
      <c r="C842" s="262"/>
      <c r="E842" s="262"/>
      <c r="F842" s="263"/>
      <c r="I842" s="264"/>
    </row>
    <row r="843" spans="1:9" ht="15.75" x14ac:dyDescent="0.25">
      <c r="A843" s="43"/>
      <c r="B843" s="261"/>
      <c r="C843" s="262"/>
      <c r="E843" s="262"/>
      <c r="F843" s="263"/>
      <c r="I843" s="264"/>
    </row>
    <row r="844" spans="1:9" ht="15.75" x14ac:dyDescent="0.25">
      <c r="A844" s="43"/>
      <c r="B844" s="261"/>
      <c r="C844" s="262"/>
      <c r="E844" s="262"/>
      <c r="F844" s="263"/>
      <c r="I844" s="264"/>
    </row>
    <row r="845" spans="1:9" ht="15.75" x14ac:dyDescent="0.25">
      <c r="A845" s="43"/>
      <c r="B845" s="261"/>
      <c r="C845" s="262"/>
      <c r="E845" s="262"/>
      <c r="F845" s="263"/>
      <c r="I845" s="264"/>
    </row>
    <row r="846" spans="1:9" ht="15.75" x14ac:dyDescent="0.25">
      <c r="A846" s="43"/>
      <c r="B846" s="261"/>
      <c r="C846" s="262"/>
      <c r="E846" s="262"/>
      <c r="F846" s="263"/>
      <c r="I846" s="264"/>
    </row>
    <row r="847" spans="1:9" ht="15.75" x14ac:dyDescent="0.25">
      <c r="A847" s="43"/>
      <c r="B847" s="261"/>
      <c r="C847" s="262"/>
      <c r="E847" s="262"/>
      <c r="F847" s="263"/>
      <c r="I847" s="264"/>
    </row>
    <row r="848" spans="1:9" ht="15.75" x14ac:dyDescent="0.25">
      <c r="A848" s="43"/>
      <c r="B848" s="261"/>
      <c r="C848" s="262"/>
      <c r="E848" s="262"/>
      <c r="F848" s="263"/>
      <c r="I848" s="264"/>
    </row>
    <row r="849" spans="1:9" ht="15.75" x14ac:dyDescent="0.25">
      <c r="A849" s="43"/>
      <c r="B849" s="261"/>
      <c r="C849" s="262"/>
      <c r="E849" s="262"/>
      <c r="F849" s="263"/>
      <c r="I849" s="264"/>
    </row>
    <row r="850" spans="1:9" ht="15.75" x14ac:dyDescent="0.25">
      <c r="A850" s="43"/>
      <c r="B850" s="261"/>
      <c r="C850" s="262"/>
      <c r="E850" s="262"/>
      <c r="F850" s="263"/>
      <c r="I850" s="264"/>
    </row>
    <row r="851" spans="1:9" ht="15.75" x14ac:dyDescent="0.25">
      <c r="A851" s="43"/>
      <c r="B851" s="261"/>
      <c r="C851" s="262"/>
      <c r="E851" s="262"/>
      <c r="F851" s="263"/>
      <c r="I851" s="264"/>
    </row>
    <row r="852" spans="1:9" ht="15.75" x14ac:dyDescent="0.25">
      <c r="A852" s="43"/>
      <c r="B852" s="261"/>
      <c r="C852" s="262"/>
      <c r="E852" s="262"/>
      <c r="F852" s="263"/>
      <c r="I852" s="264"/>
    </row>
    <row r="853" spans="1:9" ht="15.75" x14ac:dyDescent="0.25">
      <c r="A853" s="43"/>
      <c r="B853" s="261"/>
      <c r="C853" s="262"/>
      <c r="E853" s="262"/>
      <c r="F853" s="263"/>
      <c r="I853" s="264"/>
    </row>
    <row r="854" spans="1:9" ht="15.75" x14ac:dyDescent="0.25">
      <c r="A854" s="43"/>
      <c r="B854" s="261"/>
      <c r="C854" s="262"/>
      <c r="E854" s="262"/>
      <c r="F854" s="263"/>
      <c r="I854" s="264"/>
    </row>
    <row r="855" spans="1:9" ht="15.75" x14ac:dyDescent="0.25">
      <c r="A855" s="43"/>
      <c r="B855" s="261"/>
      <c r="C855" s="262"/>
      <c r="E855" s="262"/>
      <c r="F855" s="263"/>
      <c r="I855" s="264"/>
    </row>
    <row r="856" spans="1:9" ht="15.75" x14ac:dyDescent="0.25">
      <c r="A856" s="43"/>
      <c r="B856" s="261"/>
      <c r="C856" s="262"/>
      <c r="E856" s="262"/>
      <c r="F856" s="263"/>
      <c r="I856" s="264"/>
    </row>
    <row r="857" spans="1:9" ht="15.75" x14ac:dyDescent="0.25">
      <c r="A857" s="43"/>
      <c r="B857" s="261"/>
      <c r="C857" s="262"/>
      <c r="E857" s="262"/>
      <c r="F857" s="263"/>
      <c r="I857" s="264"/>
    </row>
    <row r="858" spans="1:9" ht="15.75" x14ac:dyDescent="0.25">
      <c r="A858" s="43"/>
      <c r="B858" s="261"/>
      <c r="C858" s="262"/>
      <c r="E858" s="262"/>
      <c r="F858" s="263"/>
      <c r="I858" s="264"/>
    </row>
    <row r="859" spans="1:9" ht="15.75" x14ac:dyDescent="0.25">
      <c r="A859" s="43"/>
      <c r="B859" s="261"/>
      <c r="C859" s="262"/>
      <c r="E859" s="262"/>
      <c r="F859" s="263"/>
      <c r="I859" s="264"/>
    </row>
    <row r="860" spans="1:9" ht="15.75" x14ac:dyDescent="0.25">
      <c r="A860" s="43"/>
      <c r="B860" s="261"/>
      <c r="C860" s="262"/>
      <c r="E860" s="262"/>
      <c r="F860" s="263"/>
      <c r="I860" s="264"/>
    </row>
    <row r="861" spans="1:9" ht="15.75" x14ac:dyDescent="0.25">
      <c r="A861" s="43"/>
      <c r="B861" s="261"/>
      <c r="C861" s="262"/>
      <c r="E861" s="262"/>
      <c r="F861" s="263"/>
      <c r="I861" s="264"/>
    </row>
    <row r="862" spans="1:9" ht="15.75" x14ac:dyDescent="0.25">
      <c r="A862" s="43"/>
      <c r="B862" s="261"/>
      <c r="C862" s="262"/>
      <c r="E862" s="262"/>
      <c r="F862" s="263"/>
      <c r="I862" s="264"/>
    </row>
    <row r="863" spans="1:9" ht="15.75" x14ac:dyDescent="0.25">
      <c r="A863" s="43"/>
      <c r="B863" s="261"/>
      <c r="C863" s="262"/>
      <c r="E863" s="262"/>
      <c r="F863" s="263"/>
      <c r="I863" s="264"/>
    </row>
    <row r="864" spans="1:9" ht="15.75" x14ac:dyDescent="0.25">
      <c r="A864" s="43"/>
      <c r="B864" s="261"/>
      <c r="C864" s="262"/>
      <c r="E864" s="262"/>
      <c r="F864" s="263"/>
      <c r="I864" s="264"/>
    </row>
    <row r="865" spans="1:9" ht="15.75" x14ac:dyDescent="0.25">
      <c r="A865" s="43"/>
      <c r="B865" s="261"/>
      <c r="C865" s="262"/>
      <c r="E865" s="262"/>
      <c r="F865" s="263"/>
      <c r="I865" s="264"/>
    </row>
    <row r="866" spans="1:9" ht="15.75" x14ac:dyDescent="0.25">
      <c r="A866" s="43"/>
      <c r="B866" s="261"/>
      <c r="C866" s="262"/>
      <c r="E866" s="262"/>
      <c r="F866" s="263"/>
      <c r="I866" s="264"/>
    </row>
    <row r="867" spans="1:9" ht="15.75" x14ac:dyDescent="0.25">
      <c r="A867" s="43"/>
      <c r="B867" s="261"/>
      <c r="C867" s="262"/>
      <c r="E867" s="262"/>
      <c r="F867" s="263"/>
      <c r="I867" s="264"/>
    </row>
    <row r="868" spans="1:9" ht="15.75" x14ac:dyDescent="0.25">
      <c r="A868" s="43"/>
      <c r="B868" s="261"/>
      <c r="C868" s="262"/>
      <c r="E868" s="262"/>
      <c r="F868" s="263"/>
      <c r="I868" s="264"/>
    </row>
    <row r="869" spans="1:9" ht="15.75" x14ac:dyDescent="0.25">
      <c r="A869" s="43"/>
      <c r="B869" s="261"/>
      <c r="C869" s="262"/>
      <c r="E869" s="262"/>
      <c r="F869" s="263"/>
      <c r="I869" s="264"/>
    </row>
    <row r="870" spans="1:9" ht="15.75" x14ac:dyDescent="0.25">
      <c r="A870" s="43"/>
      <c r="B870" s="261"/>
      <c r="C870" s="262"/>
      <c r="E870" s="262"/>
      <c r="F870" s="263"/>
      <c r="I870" s="264"/>
    </row>
    <row r="871" spans="1:9" ht="15.75" x14ac:dyDescent="0.25">
      <c r="A871" s="43"/>
      <c r="B871" s="261"/>
      <c r="C871" s="262"/>
      <c r="E871" s="262"/>
      <c r="F871" s="263"/>
      <c r="I871" s="264"/>
    </row>
    <row r="872" spans="1:9" ht="15.75" x14ac:dyDescent="0.25">
      <c r="A872" s="43"/>
      <c r="B872" s="261"/>
      <c r="C872" s="262"/>
      <c r="E872" s="262"/>
      <c r="F872" s="263"/>
      <c r="I872" s="264"/>
    </row>
    <row r="873" spans="1:9" ht="15.75" x14ac:dyDescent="0.25">
      <c r="A873" s="43"/>
      <c r="B873" s="261"/>
      <c r="C873" s="262"/>
      <c r="E873" s="262"/>
      <c r="F873" s="263"/>
      <c r="I873" s="264"/>
    </row>
    <row r="874" spans="1:9" ht="15.75" x14ac:dyDescent="0.25">
      <c r="A874" s="43"/>
      <c r="B874" s="261"/>
      <c r="C874" s="262"/>
      <c r="E874" s="262"/>
      <c r="F874" s="263"/>
      <c r="I874" s="264"/>
    </row>
    <row r="875" spans="1:9" ht="15.75" x14ac:dyDescent="0.25">
      <c r="A875" s="43"/>
      <c r="B875" s="261"/>
      <c r="C875" s="262"/>
      <c r="E875" s="262"/>
      <c r="F875" s="263"/>
      <c r="I875" s="264"/>
    </row>
    <row r="876" spans="1:9" ht="15.75" x14ac:dyDescent="0.25">
      <c r="A876" s="43"/>
      <c r="B876" s="261"/>
      <c r="C876" s="262"/>
      <c r="E876" s="262"/>
      <c r="F876" s="263"/>
      <c r="I876" s="264"/>
    </row>
    <row r="877" spans="1:9" ht="15.75" x14ac:dyDescent="0.25">
      <c r="A877" s="43"/>
      <c r="B877" s="261"/>
      <c r="C877" s="262"/>
      <c r="E877" s="262"/>
      <c r="F877" s="263"/>
      <c r="I877" s="264"/>
    </row>
    <row r="878" spans="1:9" ht="15.75" x14ac:dyDescent="0.25">
      <c r="A878" s="43"/>
      <c r="B878" s="261"/>
      <c r="C878" s="262"/>
      <c r="E878" s="262"/>
      <c r="F878" s="263"/>
      <c r="I878" s="264"/>
    </row>
    <row r="879" spans="1:9" ht="15.75" x14ac:dyDescent="0.25">
      <c r="A879" s="43"/>
      <c r="B879" s="261"/>
      <c r="C879" s="262"/>
      <c r="E879" s="262"/>
      <c r="F879" s="263"/>
      <c r="I879" s="264"/>
    </row>
    <row r="880" spans="1:9" ht="15.75" x14ac:dyDescent="0.25">
      <c r="A880" s="43"/>
      <c r="B880" s="261"/>
      <c r="C880" s="262"/>
      <c r="E880" s="262"/>
      <c r="F880" s="263"/>
      <c r="I880" s="264"/>
    </row>
    <row r="881" spans="1:9" ht="15.75" x14ac:dyDescent="0.25">
      <c r="A881" s="43"/>
      <c r="B881" s="261"/>
      <c r="C881" s="262"/>
      <c r="E881" s="262"/>
      <c r="F881" s="263"/>
      <c r="I881" s="264"/>
    </row>
    <row r="882" spans="1:9" ht="15.75" x14ac:dyDescent="0.25">
      <c r="A882" s="43"/>
      <c r="B882" s="261"/>
      <c r="C882" s="262"/>
      <c r="E882" s="262"/>
      <c r="F882" s="263"/>
      <c r="I882" s="264"/>
    </row>
    <row r="883" spans="1:9" ht="15.75" x14ac:dyDescent="0.25">
      <c r="A883" s="43"/>
      <c r="B883" s="261"/>
      <c r="C883" s="262"/>
      <c r="E883" s="262"/>
      <c r="F883" s="263"/>
      <c r="I883" s="264"/>
    </row>
    <row r="884" spans="1:9" ht="15.75" x14ac:dyDescent="0.25">
      <c r="A884" s="43"/>
      <c r="B884" s="261"/>
      <c r="C884" s="262"/>
      <c r="E884" s="262"/>
      <c r="F884" s="263"/>
      <c r="I884" s="264"/>
    </row>
    <row r="885" spans="1:9" ht="15.75" x14ac:dyDescent="0.25">
      <c r="A885" s="43"/>
      <c r="B885" s="261"/>
      <c r="C885" s="262"/>
      <c r="E885" s="262"/>
      <c r="F885" s="263"/>
      <c r="I885" s="264"/>
    </row>
    <row r="886" spans="1:9" ht="15.75" x14ac:dyDescent="0.25">
      <c r="A886" s="43"/>
      <c r="B886" s="261"/>
      <c r="C886" s="262"/>
      <c r="E886" s="262"/>
      <c r="F886" s="263"/>
      <c r="I886" s="264"/>
    </row>
    <row r="887" spans="1:9" ht="15.75" x14ac:dyDescent="0.25">
      <c r="A887" s="43"/>
      <c r="B887" s="261"/>
      <c r="C887" s="262"/>
      <c r="E887" s="262"/>
      <c r="F887" s="263"/>
      <c r="I887" s="264"/>
    </row>
    <row r="888" spans="1:9" ht="15.75" x14ac:dyDescent="0.25">
      <c r="A888" s="43"/>
      <c r="B888" s="261"/>
      <c r="C888" s="262"/>
      <c r="E888" s="262"/>
      <c r="F888" s="263"/>
      <c r="I888" s="264"/>
    </row>
    <row r="889" spans="1:9" ht="15.75" x14ac:dyDescent="0.25">
      <c r="A889" s="43"/>
      <c r="B889" s="261"/>
      <c r="C889" s="262"/>
      <c r="E889" s="262"/>
      <c r="F889" s="263"/>
      <c r="I889" s="264"/>
    </row>
    <row r="890" spans="1:9" ht="15.75" x14ac:dyDescent="0.25">
      <c r="A890" s="43"/>
      <c r="B890" s="261"/>
      <c r="C890" s="262"/>
      <c r="E890" s="262"/>
      <c r="F890" s="263"/>
      <c r="I890" s="264"/>
    </row>
    <row r="891" spans="1:9" ht="15.75" x14ac:dyDescent="0.25">
      <c r="A891" s="43"/>
      <c r="B891" s="261"/>
      <c r="C891" s="262"/>
      <c r="E891" s="262"/>
      <c r="F891" s="263"/>
      <c r="I891" s="264"/>
    </row>
    <row r="892" spans="1:9" ht="15.75" x14ac:dyDescent="0.25">
      <c r="A892" s="43"/>
      <c r="B892" s="261"/>
      <c r="C892" s="262"/>
      <c r="E892" s="262"/>
      <c r="F892" s="263"/>
      <c r="I892" s="264"/>
    </row>
    <row r="893" spans="1:9" ht="15.75" x14ac:dyDescent="0.25">
      <c r="A893" s="43"/>
      <c r="B893" s="261"/>
      <c r="C893" s="262"/>
      <c r="E893" s="262"/>
      <c r="F893" s="263"/>
      <c r="I893" s="264"/>
    </row>
    <row r="894" spans="1:9" ht="15.75" x14ac:dyDescent="0.25">
      <c r="A894" s="43"/>
      <c r="B894" s="261"/>
      <c r="C894" s="262"/>
      <c r="E894" s="262"/>
      <c r="F894" s="263"/>
      <c r="I894" s="264"/>
    </row>
    <row r="895" spans="1:9" ht="15.75" x14ac:dyDescent="0.25">
      <c r="A895" s="43"/>
      <c r="B895" s="261"/>
      <c r="C895" s="262"/>
      <c r="E895" s="262"/>
      <c r="F895" s="263"/>
      <c r="I895" s="264"/>
    </row>
    <row r="896" spans="1:9" ht="15.75" x14ac:dyDescent="0.25">
      <c r="A896" s="43"/>
      <c r="B896" s="261"/>
      <c r="C896" s="262"/>
      <c r="E896" s="262"/>
      <c r="F896" s="263"/>
      <c r="I896" s="264"/>
    </row>
    <row r="897" spans="1:9" ht="15.75" x14ac:dyDescent="0.25">
      <c r="A897" s="43"/>
      <c r="B897" s="261"/>
      <c r="C897" s="262"/>
      <c r="E897" s="262"/>
      <c r="F897" s="263"/>
      <c r="I897" s="264"/>
    </row>
    <row r="898" spans="1:9" ht="15.75" x14ac:dyDescent="0.25">
      <c r="A898" s="43"/>
      <c r="B898" s="261"/>
      <c r="C898" s="262"/>
      <c r="E898" s="262"/>
      <c r="F898" s="263"/>
      <c r="I898" s="264"/>
    </row>
    <row r="899" spans="1:9" ht="15.75" x14ac:dyDescent="0.25">
      <c r="A899" s="43"/>
      <c r="B899" s="261"/>
      <c r="C899" s="262"/>
      <c r="E899" s="262"/>
      <c r="F899" s="263"/>
      <c r="I899" s="264"/>
    </row>
    <row r="900" spans="1:9" ht="15.75" x14ac:dyDescent="0.25">
      <c r="A900" s="43"/>
      <c r="B900" s="261"/>
      <c r="C900" s="262"/>
      <c r="E900" s="262"/>
      <c r="F900" s="263"/>
      <c r="I900" s="264"/>
    </row>
    <row r="901" spans="1:9" ht="15.75" x14ac:dyDescent="0.25">
      <c r="A901" s="43"/>
      <c r="B901" s="261"/>
      <c r="C901" s="262"/>
      <c r="E901" s="262"/>
      <c r="F901" s="263"/>
      <c r="I901" s="264"/>
    </row>
    <row r="902" spans="1:9" ht="15.75" x14ac:dyDescent="0.25">
      <c r="A902" s="43"/>
      <c r="B902" s="261"/>
      <c r="C902" s="262"/>
      <c r="E902" s="262"/>
      <c r="F902" s="263"/>
      <c r="I902" s="264"/>
    </row>
    <row r="903" spans="1:9" ht="15.75" x14ac:dyDescent="0.25">
      <c r="A903" s="43"/>
      <c r="B903" s="261"/>
      <c r="C903" s="262"/>
      <c r="E903" s="262"/>
      <c r="F903" s="263"/>
      <c r="I903" s="264"/>
    </row>
    <row r="904" spans="1:9" ht="15.75" x14ac:dyDescent="0.25">
      <c r="A904" s="43"/>
      <c r="B904" s="261"/>
      <c r="C904" s="262"/>
      <c r="E904" s="262"/>
      <c r="F904" s="263"/>
      <c r="I904" s="264"/>
    </row>
    <row r="905" spans="1:9" ht="15.75" x14ac:dyDescent="0.25">
      <c r="A905" s="43"/>
      <c r="B905" s="261"/>
      <c r="C905" s="262"/>
      <c r="E905" s="262"/>
      <c r="F905" s="263"/>
      <c r="I905" s="264"/>
    </row>
    <row r="906" spans="1:9" ht="15.75" x14ac:dyDescent="0.25">
      <c r="A906" s="43"/>
      <c r="B906" s="261"/>
      <c r="C906" s="262"/>
      <c r="E906" s="262"/>
      <c r="F906" s="263"/>
      <c r="I906" s="264"/>
    </row>
    <row r="907" spans="1:9" ht="15.75" x14ac:dyDescent="0.25">
      <c r="A907" s="43"/>
      <c r="B907" s="261"/>
      <c r="C907" s="262"/>
      <c r="E907" s="262"/>
      <c r="F907" s="263"/>
      <c r="I907" s="264"/>
    </row>
    <row r="908" spans="1:9" ht="15.75" x14ac:dyDescent="0.25">
      <c r="A908" s="43"/>
      <c r="B908" s="261"/>
      <c r="C908" s="262"/>
      <c r="E908" s="262"/>
      <c r="F908" s="263"/>
      <c r="I908" s="264"/>
    </row>
    <row r="909" spans="1:9" ht="15.75" x14ac:dyDescent="0.25">
      <c r="A909" s="43"/>
      <c r="B909" s="261"/>
      <c r="C909" s="262"/>
      <c r="E909" s="262"/>
      <c r="F909" s="263"/>
      <c r="I909" s="264"/>
    </row>
    <row r="910" spans="1:9" ht="15.75" x14ac:dyDescent="0.25">
      <c r="A910" s="43"/>
      <c r="B910" s="261"/>
      <c r="C910" s="262"/>
      <c r="E910" s="262"/>
      <c r="F910" s="263"/>
      <c r="I910" s="264"/>
    </row>
    <row r="911" spans="1:9" ht="15.75" x14ac:dyDescent="0.25">
      <c r="A911" s="43"/>
      <c r="B911" s="261"/>
      <c r="C911" s="262"/>
      <c r="E911" s="262"/>
      <c r="F911" s="263"/>
      <c r="I911" s="264"/>
    </row>
    <row r="912" spans="1:9" ht="15.75" x14ac:dyDescent="0.25">
      <c r="A912" s="43"/>
      <c r="B912" s="261"/>
      <c r="C912" s="262"/>
      <c r="E912" s="262"/>
      <c r="F912" s="263"/>
      <c r="I912" s="264"/>
    </row>
    <row r="913" spans="1:9" ht="15.75" x14ac:dyDescent="0.25">
      <c r="A913" s="43"/>
      <c r="B913" s="261"/>
      <c r="C913" s="262"/>
      <c r="E913" s="262"/>
      <c r="F913" s="263"/>
      <c r="I913" s="264"/>
    </row>
    <row r="914" spans="1:9" ht="15.75" x14ac:dyDescent="0.25">
      <c r="A914" s="43"/>
      <c r="B914" s="261"/>
      <c r="C914" s="262"/>
      <c r="E914" s="262"/>
      <c r="F914" s="263"/>
      <c r="I914" s="264"/>
    </row>
    <row r="915" spans="1:9" ht="15.75" x14ac:dyDescent="0.25">
      <c r="A915" s="43"/>
      <c r="B915" s="261"/>
      <c r="C915" s="262"/>
      <c r="E915" s="262"/>
      <c r="F915" s="263"/>
      <c r="I915" s="264"/>
    </row>
    <row r="916" spans="1:9" ht="15.75" x14ac:dyDescent="0.25">
      <c r="A916" s="43"/>
      <c r="B916" s="261"/>
      <c r="C916" s="262"/>
      <c r="E916" s="262"/>
      <c r="F916" s="263"/>
      <c r="I916" s="264"/>
    </row>
    <row r="917" spans="1:9" ht="15.75" x14ac:dyDescent="0.25">
      <c r="A917" s="43"/>
      <c r="B917" s="261"/>
      <c r="C917" s="262"/>
      <c r="E917" s="262"/>
      <c r="F917" s="263"/>
      <c r="I917" s="264"/>
    </row>
    <row r="918" spans="1:9" ht="15.75" x14ac:dyDescent="0.25">
      <c r="A918" s="43"/>
      <c r="B918" s="261"/>
      <c r="C918" s="262"/>
      <c r="E918" s="262"/>
      <c r="F918" s="263"/>
      <c r="I918" s="264"/>
    </row>
    <row r="919" spans="1:9" ht="15.75" x14ac:dyDescent="0.25">
      <c r="A919" s="43"/>
      <c r="B919" s="261"/>
      <c r="C919" s="262"/>
      <c r="E919" s="262"/>
      <c r="F919" s="263"/>
      <c r="I919" s="264"/>
    </row>
    <row r="920" spans="1:9" ht="15.75" x14ac:dyDescent="0.25">
      <c r="A920" s="43"/>
      <c r="B920" s="261"/>
      <c r="C920" s="262"/>
      <c r="E920" s="262"/>
      <c r="F920" s="263"/>
      <c r="I920" s="264"/>
    </row>
    <row r="921" spans="1:9" ht="15.75" x14ac:dyDescent="0.25">
      <c r="A921" s="43"/>
      <c r="B921" s="261"/>
      <c r="C921" s="262"/>
      <c r="E921" s="262"/>
      <c r="F921" s="263"/>
      <c r="I921" s="264"/>
    </row>
    <row r="922" spans="1:9" ht="15.75" x14ac:dyDescent="0.25">
      <c r="A922" s="43"/>
      <c r="B922" s="261"/>
      <c r="C922" s="262"/>
      <c r="E922" s="262"/>
      <c r="F922" s="263"/>
      <c r="I922" s="264"/>
    </row>
    <row r="923" spans="1:9" ht="15.75" x14ac:dyDescent="0.25">
      <c r="A923" s="43"/>
      <c r="B923" s="261"/>
      <c r="C923" s="262"/>
      <c r="E923" s="262"/>
      <c r="F923" s="263"/>
      <c r="I923" s="264"/>
    </row>
    <row r="924" spans="1:9" ht="15.75" x14ac:dyDescent="0.25">
      <c r="A924" s="43"/>
      <c r="B924" s="261"/>
      <c r="C924" s="262"/>
      <c r="E924" s="262"/>
      <c r="F924" s="263"/>
      <c r="I924" s="264"/>
    </row>
    <row r="925" spans="1:9" ht="15.75" x14ac:dyDescent="0.25">
      <c r="A925" s="43"/>
      <c r="B925" s="261"/>
      <c r="C925" s="262"/>
      <c r="E925" s="262"/>
      <c r="F925" s="263"/>
      <c r="I925" s="264"/>
    </row>
    <row r="926" spans="1:9" ht="15.75" x14ac:dyDescent="0.25">
      <c r="A926" s="43"/>
      <c r="B926" s="261"/>
      <c r="C926" s="262"/>
      <c r="E926" s="262"/>
      <c r="F926" s="263"/>
      <c r="I926" s="264"/>
    </row>
    <row r="927" spans="1:9" ht="15.75" x14ac:dyDescent="0.25">
      <c r="A927" s="43"/>
      <c r="B927" s="261"/>
      <c r="C927" s="262"/>
      <c r="E927" s="262"/>
      <c r="F927" s="263"/>
      <c r="I927" s="264"/>
    </row>
    <row r="928" spans="1:9" ht="15.75" x14ac:dyDescent="0.25">
      <c r="A928" s="43"/>
      <c r="B928" s="261"/>
      <c r="C928" s="262"/>
      <c r="E928" s="262"/>
      <c r="F928" s="263"/>
      <c r="I928" s="264"/>
    </row>
    <row r="929" spans="1:9" ht="15.75" x14ac:dyDescent="0.25">
      <c r="A929" s="43"/>
      <c r="B929" s="261"/>
      <c r="C929" s="262"/>
      <c r="E929" s="262"/>
      <c r="F929" s="263"/>
      <c r="I929" s="264"/>
    </row>
    <row r="930" spans="1:9" ht="15.75" x14ac:dyDescent="0.25">
      <c r="A930" s="43"/>
      <c r="B930" s="261"/>
      <c r="C930" s="262"/>
      <c r="E930" s="262"/>
      <c r="F930" s="263"/>
      <c r="I930" s="264"/>
    </row>
    <row r="931" spans="1:9" ht="15.75" x14ac:dyDescent="0.25">
      <c r="A931" s="43"/>
      <c r="B931" s="261"/>
      <c r="C931" s="262"/>
      <c r="E931" s="262"/>
      <c r="F931" s="263"/>
      <c r="I931" s="264"/>
    </row>
    <row r="932" spans="1:9" ht="15.75" x14ac:dyDescent="0.25">
      <c r="A932" s="43"/>
      <c r="B932" s="261"/>
      <c r="C932" s="262"/>
      <c r="E932" s="262"/>
      <c r="F932" s="263"/>
      <c r="I932" s="264"/>
    </row>
    <row r="933" spans="1:9" ht="15.75" x14ac:dyDescent="0.25">
      <c r="A933" s="43"/>
      <c r="B933" s="261"/>
      <c r="C933" s="262"/>
      <c r="E933" s="262"/>
      <c r="F933" s="263"/>
      <c r="I933" s="264"/>
    </row>
    <row r="934" spans="1:9" ht="15.75" x14ac:dyDescent="0.25">
      <c r="A934" s="43"/>
      <c r="B934" s="261"/>
      <c r="C934" s="262"/>
      <c r="E934" s="262"/>
      <c r="F934" s="263"/>
      <c r="I934" s="264"/>
    </row>
    <row r="935" spans="1:9" ht="15.75" x14ac:dyDescent="0.25">
      <c r="A935" s="43"/>
      <c r="B935" s="261"/>
      <c r="C935" s="262"/>
      <c r="E935" s="262"/>
      <c r="F935" s="263"/>
      <c r="I935" s="264"/>
    </row>
    <row r="936" spans="1:9" ht="15.75" x14ac:dyDescent="0.25">
      <c r="A936" s="43"/>
      <c r="B936" s="261"/>
      <c r="C936" s="262"/>
      <c r="E936" s="262"/>
      <c r="F936" s="263"/>
      <c r="I936" s="264"/>
    </row>
    <row r="937" spans="1:9" ht="15.75" x14ac:dyDescent="0.25">
      <c r="A937" s="43"/>
      <c r="B937" s="261"/>
      <c r="C937" s="262"/>
      <c r="E937" s="262"/>
      <c r="F937" s="263"/>
      <c r="I937" s="264"/>
    </row>
    <row r="938" spans="1:9" ht="15.75" x14ac:dyDescent="0.25">
      <c r="A938" s="43"/>
      <c r="B938" s="261"/>
      <c r="C938" s="262"/>
      <c r="E938" s="262"/>
      <c r="F938" s="263"/>
      <c r="I938" s="264"/>
    </row>
    <row r="939" spans="1:9" ht="15.75" x14ac:dyDescent="0.25">
      <c r="A939" s="43"/>
      <c r="B939" s="261"/>
      <c r="C939" s="262"/>
      <c r="E939" s="262"/>
      <c r="F939" s="263"/>
      <c r="I939" s="264"/>
    </row>
    <row r="940" spans="1:9" ht="15.75" x14ac:dyDescent="0.25">
      <c r="A940" s="43"/>
      <c r="B940" s="261"/>
      <c r="C940" s="262"/>
      <c r="E940" s="262"/>
      <c r="F940" s="263"/>
      <c r="I940" s="264"/>
    </row>
    <row r="941" spans="1:9" ht="15.75" x14ac:dyDescent="0.25">
      <c r="A941" s="43"/>
      <c r="B941" s="261"/>
      <c r="C941" s="262"/>
      <c r="E941" s="262"/>
      <c r="F941" s="263"/>
      <c r="I941" s="264"/>
    </row>
    <row r="942" spans="1:9" ht="15.75" x14ac:dyDescent="0.25">
      <c r="A942" s="43"/>
      <c r="B942" s="261"/>
      <c r="C942" s="262"/>
      <c r="E942" s="262"/>
      <c r="F942" s="263"/>
      <c r="I942" s="264"/>
    </row>
    <row r="943" spans="1:9" ht="15.75" x14ac:dyDescent="0.25">
      <c r="A943" s="43"/>
      <c r="B943" s="261"/>
      <c r="C943" s="262"/>
      <c r="E943" s="262"/>
      <c r="F943" s="263"/>
      <c r="I943" s="264"/>
    </row>
    <row r="944" spans="1:9" ht="15.75" x14ac:dyDescent="0.25">
      <c r="A944" s="43"/>
      <c r="B944" s="261"/>
      <c r="C944" s="262"/>
      <c r="E944" s="262"/>
      <c r="F944" s="263"/>
      <c r="I944" s="264"/>
    </row>
    <row r="945" spans="1:9" ht="15.75" x14ac:dyDescent="0.25">
      <c r="A945" s="43"/>
      <c r="B945" s="261"/>
      <c r="C945" s="262"/>
      <c r="E945" s="262"/>
      <c r="F945" s="263"/>
      <c r="I945" s="264"/>
    </row>
    <row r="946" spans="1:9" ht="15.75" x14ac:dyDescent="0.25">
      <c r="A946" s="43"/>
      <c r="B946" s="261"/>
      <c r="C946" s="262"/>
      <c r="E946" s="262"/>
      <c r="F946" s="263"/>
      <c r="I946" s="264"/>
    </row>
    <row r="947" spans="1:9" ht="15.75" x14ac:dyDescent="0.25">
      <c r="A947" s="43"/>
      <c r="B947" s="261"/>
      <c r="C947" s="262"/>
      <c r="E947" s="262"/>
      <c r="F947" s="263"/>
      <c r="I947" s="264"/>
    </row>
    <row r="948" spans="1:9" ht="15.75" x14ac:dyDescent="0.25">
      <c r="A948" s="43"/>
      <c r="B948" s="261"/>
      <c r="C948" s="262"/>
      <c r="E948" s="262"/>
      <c r="F948" s="263"/>
      <c r="I948" s="264"/>
    </row>
    <row r="949" spans="1:9" ht="15.75" x14ac:dyDescent="0.25">
      <c r="A949" s="43"/>
      <c r="B949" s="261"/>
      <c r="C949" s="262"/>
      <c r="E949" s="262"/>
      <c r="F949" s="263"/>
      <c r="I949" s="264"/>
    </row>
    <row r="950" spans="1:9" ht="15.75" x14ac:dyDescent="0.25">
      <c r="A950" s="43"/>
      <c r="B950" s="261"/>
      <c r="C950" s="262"/>
      <c r="E950" s="262"/>
      <c r="F950" s="263"/>
      <c r="I950" s="264"/>
    </row>
    <row r="951" spans="1:9" ht="15.75" x14ac:dyDescent="0.25">
      <c r="A951" s="43"/>
      <c r="B951" s="261"/>
      <c r="C951" s="262"/>
      <c r="E951" s="262"/>
      <c r="F951" s="263"/>
      <c r="I951" s="264"/>
    </row>
    <row r="952" spans="1:9" ht="15.75" x14ac:dyDescent="0.25">
      <c r="A952" s="43"/>
      <c r="B952" s="261"/>
      <c r="C952" s="262"/>
      <c r="E952" s="262"/>
      <c r="F952" s="263"/>
      <c r="I952" s="264"/>
    </row>
    <row r="953" spans="1:9" ht="15.75" x14ac:dyDescent="0.25">
      <c r="A953" s="43"/>
      <c r="B953" s="261"/>
      <c r="C953" s="262"/>
      <c r="E953" s="262"/>
      <c r="F953" s="263"/>
      <c r="I953" s="264"/>
    </row>
    <row r="954" spans="1:9" ht="15.75" x14ac:dyDescent="0.25">
      <c r="A954" s="43"/>
      <c r="B954" s="261"/>
      <c r="C954" s="262"/>
      <c r="E954" s="262"/>
      <c r="F954" s="263"/>
      <c r="I954" s="264"/>
    </row>
    <row r="955" spans="1:9" ht="15.75" x14ac:dyDescent="0.25">
      <c r="A955" s="43"/>
      <c r="B955" s="261"/>
      <c r="C955" s="262"/>
      <c r="E955" s="262"/>
      <c r="F955" s="263"/>
      <c r="I955" s="264"/>
    </row>
    <row r="956" spans="1:9" ht="15.75" x14ac:dyDescent="0.25">
      <c r="A956" s="43"/>
      <c r="B956" s="261"/>
      <c r="C956" s="262"/>
      <c r="E956" s="262"/>
      <c r="F956" s="263"/>
      <c r="I956" s="264"/>
    </row>
    <row r="957" spans="1:9" ht="15.75" x14ac:dyDescent="0.25">
      <c r="A957" s="43"/>
      <c r="B957" s="261"/>
      <c r="C957" s="262"/>
      <c r="E957" s="262"/>
      <c r="F957" s="263"/>
      <c r="I957" s="264"/>
    </row>
    <row r="958" spans="1:9" ht="15.75" x14ac:dyDescent="0.25">
      <c r="A958" s="43"/>
      <c r="B958" s="261"/>
      <c r="C958" s="262"/>
      <c r="E958" s="262"/>
      <c r="F958" s="263"/>
      <c r="I958" s="264"/>
    </row>
    <row r="959" spans="1:9" ht="15.75" x14ac:dyDescent="0.25">
      <c r="A959" s="43"/>
      <c r="B959" s="261"/>
      <c r="C959" s="262"/>
      <c r="E959" s="262"/>
      <c r="F959" s="263"/>
      <c r="I959" s="264"/>
    </row>
    <row r="960" spans="1:9" ht="15.75" x14ac:dyDescent="0.25">
      <c r="A960" s="43"/>
      <c r="B960" s="261"/>
      <c r="C960" s="262"/>
      <c r="E960" s="262"/>
      <c r="F960" s="263"/>
      <c r="I960" s="264"/>
    </row>
    <row r="961" spans="1:9" ht="15.75" x14ac:dyDescent="0.25">
      <c r="A961" s="43"/>
      <c r="B961" s="261"/>
      <c r="C961" s="262"/>
      <c r="E961" s="262"/>
      <c r="F961" s="263"/>
      <c r="I961" s="264"/>
    </row>
    <row r="962" spans="1:9" ht="15.75" x14ac:dyDescent="0.25">
      <c r="A962" s="43"/>
      <c r="B962" s="261"/>
      <c r="C962" s="262"/>
      <c r="E962" s="262"/>
      <c r="F962" s="263"/>
      <c r="I962" s="264"/>
    </row>
    <row r="963" spans="1:9" ht="15.75" x14ac:dyDescent="0.25">
      <c r="A963" s="43"/>
      <c r="B963" s="261"/>
      <c r="C963" s="262"/>
      <c r="E963" s="262"/>
      <c r="F963" s="263"/>
      <c r="I963" s="264"/>
    </row>
    <row r="964" spans="1:9" ht="15.75" x14ac:dyDescent="0.25">
      <c r="A964" s="43"/>
      <c r="B964" s="261"/>
      <c r="C964" s="262"/>
      <c r="E964" s="262"/>
      <c r="F964" s="263"/>
      <c r="I964" s="264"/>
    </row>
    <row r="965" spans="1:9" ht="15.75" x14ac:dyDescent="0.25">
      <c r="A965" s="43"/>
      <c r="B965" s="261"/>
      <c r="C965" s="262"/>
      <c r="E965" s="262"/>
      <c r="F965" s="263"/>
      <c r="I965" s="264"/>
    </row>
    <row r="966" spans="1:9" ht="15.75" x14ac:dyDescent="0.25">
      <c r="A966" s="43"/>
      <c r="B966" s="261"/>
      <c r="C966" s="262"/>
      <c r="E966" s="262"/>
      <c r="F966" s="263"/>
      <c r="I966" s="264"/>
    </row>
    <row r="967" spans="1:9" ht="15.75" x14ac:dyDescent="0.25">
      <c r="A967" s="43"/>
      <c r="B967" s="261"/>
      <c r="C967" s="262"/>
      <c r="E967" s="262"/>
      <c r="F967" s="263"/>
      <c r="I967" s="264"/>
    </row>
    <row r="968" spans="1:9" ht="15.75" x14ac:dyDescent="0.25">
      <c r="A968" s="43"/>
      <c r="B968" s="261"/>
      <c r="C968" s="262"/>
      <c r="E968" s="262"/>
      <c r="F968" s="263"/>
      <c r="I968" s="264"/>
    </row>
    <row r="969" spans="1:9" ht="15.75" x14ac:dyDescent="0.25">
      <c r="A969" s="43"/>
      <c r="B969" s="261"/>
      <c r="C969" s="262"/>
      <c r="E969" s="262"/>
      <c r="F969" s="263"/>
      <c r="I969" s="264"/>
    </row>
    <row r="970" spans="1:9" ht="15.75" x14ac:dyDescent="0.25">
      <c r="A970" s="43"/>
      <c r="B970" s="261"/>
      <c r="C970" s="262"/>
      <c r="E970" s="262"/>
      <c r="F970" s="263"/>
      <c r="I970" s="264"/>
    </row>
    <row r="971" spans="1:9" ht="15.75" x14ac:dyDescent="0.25">
      <c r="A971" s="43"/>
      <c r="B971" s="261"/>
      <c r="C971" s="262"/>
      <c r="E971" s="262"/>
      <c r="F971" s="263"/>
      <c r="I971" s="264"/>
    </row>
    <row r="972" spans="1:9" ht="15.75" x14ac:dyDescent="0.25">
      <c r="A972" s="43"/>
      <c r="B972" s="261"/>
      <c r="C972" s="262"/>
      <c r="E972" s="262"/>
      <c r="F972" s="263"/>
      <c r="I972" s="264"/>
    </row>
    <row r="973" spans="1:9" ht="15.75" x14ac:dyDescent="0.25">
      <c r="A973" s="43"/>
      <c r="B973" s="261"/>
      <c r="C973" s="262"/>
      <c r="E973" s="262"/>
      <c r="F973" s="263"/>
      <c r="I973" s="264"/>
    </row>
    <row r="974" spans="1:9" ht="15.75" x14ac:dyDescent="0.25">
      <c r="A974" s="43"/>
      <c r="B974" s="261"/>
      <c r="C974" s="262"/>
      <c r="E974" s="262"/>
      <c r="F974" s="263"/>
      <c r="I974" s="264"/>
    </row>
    <row r="975" spans="1:9" ht="15.75" x14ac:dyDescent="0.25">
      <c r="A975" s="43"/>
      <c r="B975" s="261"/>
      <c r="C975" s="262"/>
      <c r="E975" s="262"/>
      <c r="F975" s="263"/>
      <c r="I975" s="264"/>
    </row>
    <row r="976" spans="1:9" ht="15.75" x14ac:dyDescent="0.25">
      <c r="A976" s="43"/>
      <c r="B976" s="261"/>
      <c r="C976" s="262"/>
      <c r="E976" s="262"/>
      <c r="F976" s="263"/>
      <c r="I976" s="26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2"/>
  <sheetViews>
    <sheetView workbookViewId="0"/>
  </sheetViews>
  <sheetFormatPr defaultColWidth="11.25" defaultRowHeight="15" customHeight="1" x14ac:dyDescent="0.25"/>
  <cols>
    <col min="2" max="2" width="12.5" customWidth="1"/>
    <col min="3" max="3" width="13.5" customWidth="1"/>
  </cols>
  <sheetData>
    <row r="1" spans="1:5" x14ac:dyDescent="0.25">
      <c r="A1" s="265" t="s">
        <v>528</v>
      </c>
      <c r="B1" s="265" t="s">
        <v>529</v>
      </c>
      <c r="C1" s="266" t="s">
        <v>530</v>
      </c>
      <c r="D1" s="265" t="s">
        <v>14</v>
      </c>
      <c r="E1" s="265" t="s">
        <v>13</v>
      </c>
    </row>
    <row r="2" spans="1:5" x14ac:dyDescent="0.25">
      <c r="A2" s="267">
        <v>45742</v>
      </c>
      <c r="B2" s="268" t="s">
        <v>531</v>
      </c>
      <c r="C2" s="266">
        <v>27.2</v>
      </c>
      <c r="D2" s="265" t="s">
        <v>52</v>
      </c>
      <c r="E2" s="265" t="s">
        <v>19</v>
      </c>
    </row>
    <row r="3" spans="1:5" x14ac:dyDescent="0.25">
      <c r="A3" s="267">
        <v>45742</v>
      </c>
      <c r="B3" s="268">
        <v>1</v>
      </c>
      <c r="C3" s="266">
        <v>27.3</v>
      </c>
      <c r="D3" s="265" t="s">
        <v>52</v>
      </c>
      <c r="E3" s="265" t="s">
        <v>19</v>
      </c>
    </row>
    <row r="4" spans="1:5" x14ac:dyDescent="0.25">
      <c r="A4" s="267">
        <v>45742</v>
      </c>
      <c r="B4" s="268">
        <v>2</v>
      </c>
      <c r="C4" s="266">
        <v>26.95</v>
      </c>
      <c r="D4" s="265" t="s">
        <v>52</v>
      </c>
      <c r="E4" s="265" t="s">
        <v>19</v>
      </c>
    </row>
    <row r="5" spans="1:5" x14ac:dyDescent="0.25">
      <c r="A5" s="267">
        <v>45742</v>
      </c>
      <c r="B5" s="268">
        <v>27</v>
      </c>
      <c r="C5" s="266">
        <v>26.69</v>
      </c>
      <c r="D5" s="265" t="s">
        <v>52</v>
      </c>
      <c r="E5" s="265" t="s">
        <v>19</v>
      </c>
    </row>
    <row r="6" spans="1:5" x14ac:dyDescent="0.25">
      <c r="A6" s="267">
        <v>45742</v>
      </c>
      <c r="B6" s="268">
        <v>28</v>
      </c>
      <c r="C6" s="266">
        <v>27.01</v>
      </c>
      <c r="D6" s="265" t="s">
        <v>52</v>
      </c>
      <c r="E6" s="265" t="s">
        <v>19</v>
      </c>
    </row>
    <row r="7" spans="1:5" x14ac:dyDescent="0.25">
      <c r="A7" s="267">
        <v>45742</v>
      </c>
      <c r="B7" s="268">
        <v>131</v>
      </c>
      <c r="C7" s="266">
        <v>27.39</v>
      </c>
      <c r="D7" s="265" t="s">
        <v>52</v>
      </c>
      <c r="E7" s="265" t="s">
        <v>19</v>
      </c>
    </row>
    <row r="8" spans="1:5" x14ac:dyDescent="0.25">
      <c r="A8" s="267">
        <v>45742</v>
      </c>
      <c r="B8" s="268">
        <v>132</v>
      </c>
      <c r="C8" s="266">
        <v>27.39</v>
      </c>
      <c r="D8" s="265" t="s">
        <v>52</v>
      </c>
      <c r="E8" s="265" t="s">
        <v>19</v>
      </c>
    </row>
    <row r="9" spans="1:5" x14ac:dyDescent="0.25">
      <c r="A9" s="267">
        <v>45742</v>
      </c>
      <c r="B9" s="261">
        <v>66</v>
      </c>
      <c r="C9" s="266">
        <v>27.65</v>
      </c>
      <c r="D9" s="265" t="s">
        <v>52</v>
      </c>
      <c r="E9" s="265" t="s">
        <v>19</v>
      </c>
    </row>
    <row r="10" spans="1:5" x14ac:dyDescent="0.25">
      <c r="A10" s="267">
        <v>45742</v>
      </c>
      <c r="B10" s="268">
        <v>67</v>
      </c>
      <c r="C10" s="266">
        <v>27.71</v>
      </c>
      <c r="D10" s="265" t="s">
        <v>52</v>
      </c>
      <c r="E10" s="265" t="s">
        <v>19</v>
      </c>
    </row>
    <row r="11" spans="1:5" x14ac:dyDescent="0.25">
      <c r="A11" s="267">
        <v>45742</v>
      </c>
      <c r="B11" s="268" t="s">
        <v>531</v>
      </c>
      <c r="C11" s="266">
        <v>27.56</v>
      </c>
      <c r="D11" s="265" t="s">
        <v>52</v>
      </c>
      <c r="E11" s="265" t="s">
        <v>19</v>
      </c>
    </row>
    <row r="12" spans="1:5" x14ac:dyDescent="0.25">
      <c r="A12" s="267">
        <v>45742</v>
      </c>
      <c r="B12" s="268">
        <v>14</v>
      </c>
      <c r="C12" s="266">
        <v>27.55</v>
      </c>
      <c r="D12" s="265" t="s">
        <v>52</v>
      </c>
      <c r="E12" s="265" t="s">
        <v>19</v>
      </c>
    </row>
    <row r="13" spans="1:5" x14ac:dyDescent="0.25">
      <c r="A13" s="267">
        <v>45742</v>
      </c>
      <c r="B13" s="268">
        <v>15</v>
      </c>
      <c r="C13" s="266">
        <v>27.91</v>
      </c>
      <c r="D13" s="265" t="s">
        <v>52</v>
      </c>
      <c r="E13" s="265" t="s">
        <v>19</v>
      </c>
    </row>
    <row r="14" spans="1:5" x14ac:dyDescent="0.25">
      <c r="A14" s="267">
        <v>45742</v>
      </c>
      <c r="B14" s="269">
        <v>196</v>
      </c>
      <c r="C14" s="266">
        <v>27.82</v>
      </c>
      <c r="D14" s="265" t="s">
        <v>52</v>
      </c>
      <c r="E14" s="265" t="s">
        <v>19</v>
      </c>
    </row>
    <row r="15" spans="1:5" x14ac:dyDescent="0.25">
      <c r="A15" s="267">
        <v>45742</v>
      </c>
      <c r="B15" s="268">
        <v>197</v>
      </c>
      <c r="C15" s="266">
        <v>28.01</v>
      </c>
      <c r="D15" s="265" t="s">
        <v>52</v>
      </c>
      <c r="E15" s="265" t="s">
        <v>19</v>
      </c>
    </row>
    <row r="16" spans="1:5" x14ac:dyDescent="0.25">
      <c r="A16" s="267">
        <v>45742</v>
      </c>
      <c r="B16" s="268">
        <v>53</v>
      </c>
      <c r="C16" s="266">
        <v>27.77</v>
      </c>
      <c r="D16" s="265" t="s">
        <v>52</v>
      </c>
      <c r="E16" s="265" t="s">
        <v>19</v>
      </c>
    </row>
    <row r="17" spans="1:5" x14ac:dyDescent="0.25">
      <c r="A17" s="267">
        <v>45742</v>
      </c>
      <c r="B17" s="268">
        <v>40</v>
      </c>
      <c r="C17" s="266">
        <v>27.96</v>
      </c>
      <c r="D17" s="265" t="s">
        <v>52</v>
      </c>
      <c r="E17" s="265" t="s">
        <v>19</v>
      </c>
    </row>
    <row r="18" spans="1:5" x14ac:dyDescent="0.25">
      <c r="A18" s="267">
        <v>45742</v>
      </c>
      <c r="B18" s="268">
        <v>54</v>
      </c>
      <c r="C18" s="266">
        <v>28.08</v>
      </c>
      <c r="D18" s="265" t="s">
        <v>52</v>
      </c>
      <c r="E18" s="265" t="s">
        <v>19</v>
      </c>
    </row>
    <row r="19" spans="1:5" x14ac:dyDescent="0.25">
      <c r="A19" s="267">
        <v>45742</v>
      </c>
      <c r="B19" s="268">
        <v>41</v>
      </c>
      <c r="C19" s="266">
        <v>28.23</v>
      </c>
      <c r="D19" s="265" t="s">
        <v>20</v>
      </c>
      <c r="E19" s="265" t="s">
        <v>19</v>
      </c>
    </row>
    <row r="20" spans="1:5" x14ac:dyDescent="0.25">
      <c r="A20" s="267">
        <v>45742</v>
      </c>
      <c r="B20" s="268" t="s">
        <v>531</v>
      </c>
      <c r="C20" s="266">
        <v>28.05</v>
      </c>
      <c r="D20" s="265" t="s">
        <v>20</v>
      </c>
      <c r="E20" s="265" t="s">
        <v>19</v>
      </c>
    </row>
    <row r="21" spans="1:5" x14ac:dyDescent="0.25">
      <c r="A21" s="267">
        <v>45743</v>
      </c>
      <c r="B21" s="268" t="s">
        <v>532</v>
      </c>
      <c r="C21" s="266">
        <v>24.16</v>
      </c>
      <c r="D21" s="265" t="s">
        <v>533</v>
      </c>
      <c r="E21" s="265" t="s">
        <v>19</v>
      </c>
    </row>
    <row r="22" spans="1:5" x14ac:dyDescent="0.25">
      <c r="A22" s="267">
        <v>45743</v>
      </c>
      <c r="B22" s="270">
        <v>105</v>
      </c>
      <c r="C22" s="266">
        <v>24</v>
      </c>
      <c r="D22" s="265" t="s">
        <v>533</v>
      </c>
      <c r="E22" s="265" t="s">
        <v>19</v>
      </c>
    </row>
    <row r="23" spans="1:5" x14ac:dyDescent="0.25">
      <c r="A23" s="267">
        <v>45743</v>
      </c>
      <c r="B23" s="270">
        <v>106</v>
      </c>
      <c r="C23" s="266">
        <v>23.66</v>
      </c>
      <c r="D23" s="265" t="s">
        <v>533</v>
      </c>
      <c r="E23" s="265" t="s">
        <v>19</v>
      </c>
    </row>
    <row r="24" spans="1:5" x14ac:dyDescent="0.25">
      <c r="A24" s="267">
        <v>45743</v>
      </c>
      <c r="B24" s="268">
        <v>144</v>
      </c>
      <c r="C24" s="266">
        <v>24.02</v>
      </c>
      <c r="D24" s="265" t="s">
        <v>533</v>
      </c>
      <c r="E24" s="265" t="s">
        <v>19</v>
      </c>
    </row>
    <row r="25" spans="1:5" x14ac:dyDescent="0.25">
      <c r="A25" s="267">
        <v>45743</v>
      </c>
      <c r="B25" s="268">
        <v>145</v>
      </c>
      <c r="C25" s="266">
        <v>25.4</v>
      </c>
      <c r="D25" s="265" t="s">
        <v>533</v>
      </c>
      <c r="E25" s="265" t="s">
        <v>19</v>
      </c>
    </row>
    <row r="26" spans="1:5" x14ac:dyDescent="0.25">
      <c r="A26" s="267">
        <v>45743</v>
      </c>
      <c r="B26" s="268">
        <v>92</v>
      </c>
      <c r="C26" s="266">
        <v>26.03</v>
      </c>
      <c r="D26" s="265" t="s">
        <v>533</v>
      </c>
      <c r="E26" s="265" t="s">
        <v>19</v>
      </c>
    </row>
    <row r="27" spans="1:5" x14ac:dyDescent="0.25">
      <c r="A27" s="267">
        <v>45743</v>
      </c>
      <c r="B27" s="268">
        <v>93</v>
      </c>
      <c r="C27" s="266">
        <v>26.66</v>
      </c>
      <c r="D27" s="265" t="s">
        <v>533</v>
      </c>
      <c r="E27" s="265" t="s">
        <v>19</v>
      </c>
    </row>
    <row r="28" spans="1:5" x14ac:dyDescent="0.25">
      <c r="A28" s="267">
        <v>45743</v>
      </c>
      <c r="B28" s="268">
        <v>79</v>
      </c>
      <c r="C28" s="266">
        <v>27.29</v>
      </c>
      <c r="D28" s="265" t="s">
        <v>533</v>
      </c>
      <c r="E28" s="265" t="s">
        <v>19</v>
      </c>
    </row>
    <row r="29" spans="1:5" x14ac:dyDescent="0.25">
      <c r="A29" s="267">
        <v>45743</v>
      </c>
      <c r="B29" s="268">
        <v>80</v>
      </c>
      <c r="C29" s="266">
        <v>27.47</v>
      </c>
      <c r="D29" s="265" t="s">
        <v>533</v>
      </c>
      <c r="E29" s="265" t="s">
        <v>19</v>
      </c>
    </row>
    <row r="30" spans="1:5" x14ac:dyDescent="0.25">
      <c r="A30" s="267">
        <v>45743</v>
      </c>
      <c r="B30" s="268" t="s">
        <v>532</v>
      </c>
      <c r="C30" s="266">
        <v>27.7</v>
      </c>
      <c r="D30" s="265" t="s">
        <v>496</v>
      </c>
      <c r="E30" s="265" t="s">
        <v>19</v>
      </c>
    </row>
    <row r="31" spans="1:5" x14ac:dyDescent="0.25">
      <c r="A31" s="267">
        <v>45743</v>
      </c>
      <c r="B31" s="268">
        <v>560</v>
      </c>
      <c r="C31" s="266">
        <v>27.86</v>
      </c>
      <c r="D31" s="265" t="s">
        <v>496</v>
      </c>
      <c r="E31" s="265" t="s">
        <v>19</v>
      </c>
    </row>
    <row r="32" spans="1:5" x14ac:dyDescent="0.25">
      <c r="A32" s="267">
        <v>45743</v>
      </c>
      <c r="B32" s="270">
        <v>561</v>
      </c>
      <c r="C32" s="266">
        <v>27.84</v>
      </c>
      <c r="D32" s="265" t="s">
        <v>496</v>
      </c>
      <c r="E32" s="265" t="s">
        <v>19</v>
      </c>
    </row>
    <row r="33" spans="1:5" x14ac:dyDescent="0.25">
      <c r="A33" s="267">
        <v>45743</v>
      </c>
      <c r="B33" s="270">
        <v>430</v>
      </c>
      <c r="C33" s="266">
        <v>27.96</v>
      </c>
      <c r="D33" s="265" t="s">
        <v>496</v>
      </c>
      <c r="E33" s="265" t="s">
        <v>19</v>
      </c>
    </row>
    <row r="34" spans="1:5" x14ac:dyDescent="0.25">
      <c r="A34" s="267">
        <v>45743</v>
      </c>
      <c r="B34" s="270">
        <v>431</v>
      </c>
      <c r="C34" s="261">
        <v>28</v>
      </c>
      <c r="D34" s="265" t="s">
        <v>496</v>
      </c>
      <c r="E34" s="265" t="s">
        <v>19</v>
      </c>
    </row>
    <row r="35" spans="1:5" x14ac:dyDescent="0.25">
      <c r="A35" s="267">
        <v>45743</v>
      </c>
      <c r="B35" s="270">
        <v>404</v>
      </c>
      <c r="C35" s="266">
        <v>28.01</v>
      </c>
      <c r="D35" s="265" t="s">
        <v>496</v>
      </c>
      <c r="E35" s="265" t="s">
        <v>19</v>
      </c>
    </row>
    <row r="36" spans="1:5" x14ac:dyDescent="0.25">
      <c r="A36" s="267">
        <v>45743</v>
      </c>
      <c r="B36" s="268">
        <v>405</v>
      </c>
      <c r="C36" s="266">
        <v>26.7</v>
      </c>
      <c r="D36" s="265" t="s">
        <v>496</v>
      </c>
      <c r="E36" s="265" t="s">
        <v>19</v>
      </c>
    </row>
    <row r="37" spans="1:5" x14ac:dyDescent="0.25">
      <c r="A37" s="267">
        <v>45743</v>
      </c>
      <c r="B37" s="268">
        <v>586</v>
      </c>
      <c r="C37" s="266">
        <v>27.73</v>
      </c>
      <c r="D37" s="265" t="s">
        <v>496</v>
      </c>
      <c r="E37" s="265" t="s">
        <v>19</v>
      </c>
    </row>
    <row r="38" spans="1:5" x14ac:dyDescent="0.25">
      <c r="A38" s="267">
        <v>45743</v>
      </c>
      <c r="B38" s="268">
        <v>587</v>
      </c>
      <c r="C38" s="266">
        <v>28.03</v>
      </c>
      <c r="D38" s="265" t="s">
        <v>496</v>
      </c>
      <c r="E38" s="265" t="s">
        <v>19</v>
      </c>
    </row>
    <row r="39" spans="1:5" x14ac:dyDescent="0.25">
      <c r="A39" s="267">
        <v>45743</v>
      </c>
      <c r="B39" s="268" t="s">
        <v>532</v>
      </c>
      <c r="C39" s="266">
        <v>28.37</v>
      </c>
      <c r="D39" s="265" t="s">
        <v>20</v>
      </c>
      <c r="E39" s="265" t="s">
        <v>19</v>
      </c>
    </row>
    <row r="40" spans="1:5" x14ac:dyDescent="0.25">
      <c r="A40" s="267">
        <v>45743</v>
      </c>
      <c r="B40" s="270">
        <v>170</v>
      </c>
      <c r="C40" s="266">
        <v>25.66</v>
      </c>
      <c r="D40" s="265" t="s">
        <v>20</v>
      </c>
      <c r="E40" s="265" t="s">
        <v>19</v>
      </c>
    </row>
    <row r="41" spans="1:5" x14ac:dyDescent="0.25">
      <c r="A41" s="267">
        <v>45743</v>
      </c>
      <c r="B41" s="270">
        <v>171</v>
      </c>
      <c r="C41" s="266">
        <v>24.97</v>
      </c>
      <c r="D41" s="265" t="s">
        <v>20</v>
      </c>
      <c r="E41" s="265" t="s">
        <v>19</v>
      </c>
    </row>
    <row r="42" spans="1:5" x14ac:dyDescent="0.25">
      <c r="A42" s="267">
        <v>45743</v>
      </c>
      <c r="B42" s="270">
        <v>248</v>
      </c>
      <c r="C42" s="266">
        <v>25.7</v>
      </c>
      <c r="D42" s="265" t="s">
        <v>20</v>
      </c>
      <c r="E42" s="265" t="s">
        <v>19</v>
      </c>
    </row>
    <row r="43" spans="1:5" x14ac:dyDescent="0.25">
      <c r="A43" s="267">
        <v>45743</v>
      </c>
      <c r="B43" s="270">
        <v>249</v>
      </c>
      <c r="C43" s="266">
        <v>25.72</v>
      </c>
      <c r="D43" s="265" t="s">
        <v>20</v>
      </c>
      <c r="E43" s="265" t="s">
        <v>19</v>
      </c>
    </row>
    <row r="44" spans="1:5" x14ac:dyDescent="0.25">
      <c r="A44" s="267">
        <v>45743</v>
      </c>
      <c r="B44" s="270">
        <v>157</v>
      </c>
      <c r="C44" s="266">
        <v>25.95</v>
      </c>
      <c r="D44" s="265" t="s">
        <v>20</v>
      </c>
      <c r="E44" s="265" t="s">
        <v>19</v>
      </c>
    </row>
    <row r="45" spans="1:5" x14ac:dyDescent="0.25">
      <c r="A45" s="267">
        <v>45743</v>
      </c>
      <c r="B45" s="270">
        <v>158</v>
      </c>
      <c r="C45" s="266">
        <v>26.43</v>
      </c>
      <c r="D45" s="265" t="s">
        <v>20</v>
      </c>
      <c r="E45" s="265" t="s">
        <v>19</v>
      </c>
    </row>
    <row r="46" spans="1:5" x14ac:dyDescent="0.25">
      <c r="A46" s="267">
        <v>45743</v>
      </c>
      <c r="B46" s="270">
        <v>573</v>
      </c>
      <c r="C46" s="266">
        <v>26.81</v>
      </c>
      <c r="D46" s="265" t="s">
        <v>20</v>
      </c>
      <c r="E46" s="265" t="s">
        <v>19</v>
      </c>
    </row>
    <row r="47" spans="1:5" x14ac:dyDescent="0.25">
      <c r="A47" s="267">
        <v>45743</v>
      </c>
      <c r="B47" s="270">
        <v>574</v>
      </c>
      <c r="C47" s="266">
        <v>27.57</v>
      </c>
      <c r="D47" s="265" t="s">
        <v>20</v>
      </c>
      <c r="E47" s="265" t="s">
        <v>19</v>
      </c>
    </row>
    <row r="48" spans="1:5" x14ac:dyDescent="0.25">
      <c r="A48" s="267">
        <v>45743</v>
      </c>
      <c r="B48" s="268" t="s">
        <v>532</v>
      </c>
      <c r="C48" s="266">
        <v>27.68</v>
      </c>
      <c r="D48" s="265" t="s">
        <v>20</v>
      </c>
      <c r="E48" s="265" t="s">
        <v>19</v>
      </c>
    </row>
    <row r="49" spans="1:5" x14ac:dyDescent="0.25">
      <c r="A49" s="267">
        <v>45747</v>
      </c>
      <c r="B49" s="268" t="s">
        <v>534</v>
      </c>
      <c r="C49" s="266">
        <v>26.9</v>
      </c>
      <c r="D49" s="265" t="s">
        <v>20</v>
      </c>
      <c r="E49" s="265" t="s">
        <v>19</v>
      </c>
    </row>
    <row r="50" spans="1:5" x14ac:dyDescent="0.25">
      <c r="A50" s="267">
        <v>45747</v>
      </c>
      <c r="B50" s="270">
        <v>495</v>
      </c>
      <c r="C50" s="266">
        <v>21.73</v>
      </c>
      <c r="D50" s="265" t="s">
        <v>20</v>
      </c>
      <c r="E50" s="265" t="s">
        <v>19</v>
      </c>
    </row>
    <row r="51" spans="1:5" x14ac:dyDescent="0.25">
      <c r="A51" s="267">
        <v>45747</v>
      </c>
      <c r="B51" s="270">
        <v>496</v>
      </c>
      <c r="C51" s="266">
        <v>22.6</v>
      </c>
      <c r="D51" s="265" t="s">
        <v>20</v>
      </c>
      <c r="E51" s="265" t="s">
        <v>19</v>
      </c>
    </row>
    <row r="52" spans="1:5" x14ac:dyDescent="0.25">
      <c r="A52" s="267">
        <v>45747</v>
      </c>
      <c r="B52" s="270">
        <v>183</v>
      </c>
      <c r="C52" s="266">
        <v>22.18</v>
      </c>
      <c r="D52" s="265" t="s">
        <v>20</v>
      </c>
      <c r="E52" s="265" t="s">
        <v>19</v>
      </c>
    </row>
    <row r="53" spans="1:5" x14ac:dyDescent="0.25">
      <c r="A53" s="267">
        <v>45747</v>
      </c>
      <c r="B53" s="270">
        <v>184</v>
      </c>
      <c r="C53" s="266">
        <v>22.34</v>
      </c>
      <c r="D53" s="265" t="s">
        <v>20</v>
      </c>
      <c r="E53" s="265" t="s">
        <v>19</v>
      </c>
    </row>
    <row r="54" spans="1:5" x14ac:dyDescent="0.25">
      <c r="A54" s="267">
        <v>45747</v>
      </c>
      <c r="B54" s="265">
        <v>456</v>
      </c>
      <c r="C54" s="266">
        <v>22.67</v>
      </c>
      <c r="D54" s="265" t="s">
        <v>20</v>
      </c>
      <c r="E54" s="265" t="s">
        <v>19</v>
      </c>
    </row>
    <row r="55" spans="1:5" x14ac:dyDescent="0.25">
      <c r="A55" s="267">
        <v>45747</v>
      </c>
      <c r="B55" s="265">
        <v>457</v>
      </c>
      <c r="C55" s="266">
        <v>23.73</v>
      </c>
      <c r="D55" s="265" t="s">
        <v>20</v>
      </c>
      <c r="E55" s="265" t="s">
        <v>19</v>
      </c>
    </row>
    <row r="56" spans="1:5" x14ac:dyDescent="0.25">
      <c r="A56" s="267">
        <v>45747</v>
      </c>
      <c r="B56" s="265">
        <v>547</v>
      </c>
      <c r="C56" s="266">
        <v>23.9</v>
      </c>
      <c r="D56" s="265" t="s">
        <v>20</v>
      </c>
      <c r="E56" s="265" t="s">
        <v>19</v>
      </c>
    </row>
    <row r="57" spans="1:5" x14ac:dyDescent="0.25">
      <c r="A57" s="267">
        <v>45747</v>
      </c>
      <c r="B57" s="265">
        <v>548</v>
      </c>
      <c r="C57" s="266">
        <v>25.08</v>
      </c>
      <c r="D57" s="265" t="s">
        <v>20</v>
      </c>
      <c r="E57" s="265" t="s">
        <v>19</v>
      </c>
    </row>
    <row r="58" spans="1:5" x14ac:dyDescent="0.25">
      <c r="A58" s="267">
        <v>45747</v>
      </c>
      <c r="B58" s="268" t="s">
        <v>534</v>
      </c>
      <c r="C58" s="266">
        <v>26.87</v>
      </c>
      <c r="D58" s="265" t="s">
        <v>20</v>
      </c>
      <c r="E58" s="265" t="s">
        <v>19</v>
      </c>
    </row>
    <row r="59" spans="1:5" x14ac:dyDescent="0.25">
      <c r="A59" s="267">
        <v>45747</v>
      </c>
      <c r="B59" s="265">
        <v>508</v>
      </c>
      <c r="C59" s="269">
        <v>24.3</v>
      </c>
      <c r="D59" s="265" t="s">
        <v>20</v>
      </c>
      <c r="E59" s="265" t="s">
        <v>19</v>
      </c>
    </row>
    <row r="60" spans="1:5" x14ac:dyDescent="0.25">
      <c r="A60" s="267">
        <v>45747</v>
      </c>
      <c r="B60" s="265">
        <v>509</v>
      </c>
      <c r="C60" s="266">
        <v>24.61</v>
      </c>
      <c r="D60" s="265" t="s">
        <v>20</v>
      </c>
      <c r="E60" s="265" t="s">
        <v>19</v>
      </c>
    </row>
    <row r="61" spans="1:5" x14ac:dyDescent="0.25">
      <c r="A61" s="267">
        <v>45747</v>
      </c>
      <c r="B61" s="265">
        <v>326</v>
      </c>
      <c r="C61" s="266">
        <v>24.26</v>
      </c>
      <c r="D61" s="265" t="s">
        <v>20</v>
      </c>
      <c r="E61" s="265" t="s">
        <v>19</v>
      </c>
    </row>
    <row r="62" spans="1:5" x14ac:dyDescent="0.25">
      <c r="A62" s="267">
        <v>45747</v>
      </c>
      <c r="B62" s="265">
        <v>327</v>
      </c>
      <c r="C62" s="266">
        <v>25.56</v>
      </c>
      <c r="D62" s="265" t="s">
        <v>20</v>
      </c>
      <c r="E62" s="265" t="s">
        <v>19</v>
      </c>
    </row>
    <row r="63" spans="1:5" x14ac:dyDescent="0.25">
      <c r="A63" s="267">
        <v>45747</v>
      </c>
      <c r="B63" s="265">
        <v>391</v>
      </c>
      <c r="C63" s="266">
        <v>24.5</v>
      </c>
      <c r="D63" s="265" t="s">
        <v>20</v>
      </c>
      <c r="E63" s="265" t="s">
        <v>19</v>
      </c>
    </row>
    <row r="64" spans="1:5" x14ac:dyDescent="0.25">
      <c r="A64" s="267">
        <v>45747</v>
      </c>
      <c r="B64" s="265">
        <v>392</v>
      </c>
      <c r="C64" s="266">
        <v>24.48</v>
      </c>
      <c r="D64" s="265" t="s">
        <v>20</v>
      </c>
      <c r="E64" s="265" t="s">
        <v>19</v>
      </c>
    </row>
    <row r="65" spans="1:5" x14ac:dyDescent="0.25">
      <c r="A65" s="267">
        <v>45747</v>
      </c>
      <c r="B65" s="265">
        <v>313</v>
      </c>
      <c r="C65" s="266">
        <v>24.6</v>
      </c>
      <c r="D65" s="265" t="s">
        <v>20</v>
      </c>
      <c r="E65" s="265" t="s">
        <v>19</v>
      </c>
    </row>
    <row r="66" spans="1:5" x14ac:dyDescent="0.25">
      <c r="A66" s="267">
        <v>45747</v>
      </c>
      <c r="B66" s="268">
        <v>314</v>
      </c>
      <c r="C66" s="266">
        <v>25.2</v>
      </c>
      <c r="D66" s="265" t="s">
        <v>20</v>
      </c>
      <c r="E66" s="265" t="s">
        <v>19</v>
      </c>
    </row>
    <row r="67" spans="1:5" x14ac:dyDescent="0.25">
      <c r="A67" s="267">
        <v>45747</v>
      </c>
      <c r="B67" s="268" t="s">
        <v>534</v>
      </c>
      <c r="C67" s="266">
        <v>27.19</v>
      </c>
      <c r="D67" s="265" t="s">
        <v>20</v>
      </c>
      <c r="E67" s="265" t="s">
        <v>19</v>
      </c>
    </row>
    <row r="68" spans="1:5" x14ac:dyDescent="0.25">
      <c r="A68" s="267">
        <v>45747</v>
      </c>
      <c r="B68" s="268">
        <v>118</v>
      </c>
      <c r="C68" s="266">
        <v>26.94</v>
      </c>
      <c r="D68" s="265" t="s">
        <v>20</v>
      </c>
      <c r="E68" s="265" t="s">
        <v>19</v>
      </c>
    </row>
    <row r="69" spans="1:5" x14ac:dyDescent="0.25">
      <c r="A69" s="267">
        <v>45747</v>
      </c>
      <c r="B69" s="268">
        <v>119</v>
      </c>
      <c r="C69" s="266">
        <v>26.27</v>
      </c>
      <c r="D69" s="265" t="s">
        <v>20</v>
      </c>
      <c r="E69" s="265" t="s">
        <v>19</v>
      </c>
    </row>
    <row r="70" spans="1:5" x14ac:dyDescent="0.25">
      <c r="A70" s="267">
        <v>45747</v>
      </c>
      <c r="B70" s="268">
        <v>352</v>
      </c>
      <c r="C70" s="266">
        <v>25.83</v>
      </c>
      <c r="D70" s="265" t="s">
        <v>20</v>
      </c>
      <c r="E70" s="265" t="s">
        <v>19</v>
      </c>
    </row>
    <row r="71" spans="1:5" x14ac:dyDescent="0.25">
      <c r="A71" s="267">
        <v>45747</v>
      </c>
      <c r="B71" s="268">
        <v>353</v>
      </c>
      <c r="C71" s="266">
        <v>25.9</v>
      </c>
      <c r="D71" s="265" t="s">
        <v>20</v>
      </c>
      <c r="E71" s="265" t="s">
        <v>19</v>
      </c>
    </row>
    <row r="72" spans="1:5" x14ac:dyDescent="0.25">
      <c r="A72" s="267">
        <v>45747</v>
      </c>
      <c r="B72" s="268">
        <v>274</v>
      </c>
      <c r="C72" s="265">
        <v>26.93</v>
      </c>
      <c r="D72" s="265" t="s">
        <v>20</v>
      </c>
      <c r="E72" s="265" t="s">
        <v>19</v>
      </c>
    </row>
    <row r="73" spans="1:5" x14ac:dyDescent="0.25">
      <c r="A73" s="267">
        <v>45747</v>
      </c>
      <c r="B73" s="268">
        <v>275</v>
      </c>
      <c r="C73" s="266">
        <v>26.9</v>
      </c>
      <c r="D73" s="265" t="s">
        <v>20</v>
      </c>
      <c r="E73" s="265" t="s">
        <v>19</v>
      </c>
    </row>
    <row r="74" spans="1:5" x14ac:dyDescent="0.25">
      <c r="A74" s="267">
        <v>45747</v>
      </c>
      <c r="B74" s="270">
        <v>339</v>
      </c>
      <c r="C74" s="266">
        <v>27.17</v>
      </c>
      <c r="D74" s="265" t="s">
        <v>20</v>
      </c>
      <c r="E74" s="265" t="s">
        <v>19</v>
      </c>
    </row>
    <row r="75" spans="1:5" x14ac:dyDescent="0.25">
      <c r="A75" s="267">
        <v>45747</v>
      </c>
      <c r="B75" s="268">
        <v>340</v>
      </c>
      <c r="C75" s="266">
        <v>27.28</v>
      </c>
      <c r="D75" s="265" t="s">
        <v>20</v>
      </c>
      <c r="E75" s="265" t="s">
        <v>19</v>
      </c>
    </row>
    <row r="76" spans="1:5" x14ac:dyDescent="0.25">
      <c r="A76" s="267">
        <v>45747</v>
      </c>
      <c r="B76" s="268" t="s">
        <v>534</v>
      </c>
      <c r="C76" s="266">
        <v>27.58</v>
      </c>
      <c r="D76" s="265" t="s">
        <v>20</v>
      </c>
      <c r="E76" s="265" t="s">
        <v>19</v>
      </c>
    </row>
    <row r="77" spans="1:5" x14ac:dyDescent="0.25">
      <c r="A77" s="267">
        <v>45748</v>
      </c>
      <c r="B77" s="268" t="s">
        <v>535</v>
      </c>
      <c r="C77" s="266">
        <v>27.04</v>
      </c>
      <c r="D77" s="265" t="s">
        <v>20</v>
      </c>
      <c r="E77" s="265" t="s">
        <v>19</v>
      </c>
    </row>
    <row r="78" spans="1:5" x14ac:dyDescent="0.25">
      <c r="A78" s="267">
        <v>45748</v>
      </c>
      <c r="B78" s="268">
        <v>261</v>
      </c>
      <c r="C78" s="266">
        <v>21.37</v>
      </c>
      <c r="D78" s="265" t="s">
        <v>20</v>
      </c>
      <c r="E78" s="265" t="s">
        <v>19</v>
      </c>
    </row>
    <row r="79" spans="1:5" x14ac:dyDescent="0.25">
      <c r="A79" s="267">
        <v>45748</v>
      </c>
      <c r="B79" s="268">
        <v>262</v>
      </c>
      <c r="C79" s="266">
        <v>21.56</v>
      </c>
      <c r="D79" s="265" t="s">
        <v>20</v>
      </c>
      <c r="E79" s="265" t="s">
        <v>19</v>
      </c>
    </row>
    <row r="80" spans="1:5" x14ac:dyDescent="0.25">
      <c r="A80" s="267">
        <v>45748</v>
      </c>
      <c r="B80" s="270">
        <v>287</v>
      </c>
      <c r="C80" s="266">
        <v>24.36</v>
      </c>
      <c r="D80" s="265" t="s">
        <v>20</v>
      </c>
      <c r="E80" s="265" t="s">
        <v>19</v>
      </c>
    </row>
    <row r="81" spans="1:6" x14ac:dyDescent="0.25">
      <c r="A81" s="267">
        <v>45748</v>
      </c>
      <c r="B81" s="270">
        <v>288</v>
      </c>
      <c r="C81" s="266">
        <v>24.53</v>
      </c>
      <c r="D81" s="265" t="s">
        <v>20</v>
      </c>
      <c r="E81" s="265" t="s">
        <v>19</v>
      </c>
    </row>
    <row r="82" spans="1:6" x14ac:dyDescent="0.25">
      <c r="A82" s="267">
        <v>45748</v>
      </c>
      <c r="B82" s="268">
        <v>365</v>
      </c>
      <c r="C82" s="266">
        <v>24.34</v>
      </c>
      <c r="D82" s="265" t="s">
        <v>20</v>
      </c>
      <c r="E82" s="265" t="s">
        <v>19</v>
      </c>
    </row>
    <row r="83" spans="1:6" x14ac:dyDescent="0.25">
      <c r="A83" s="267">
        <v>45748</v>
      </c>
      <c r="B83" s="270">
        <v>366</v>
      </c>
      <c r="C83" s="266">
        <v>24.87</v>
      </c>
      <c r="D83" s="265" t="s">
        <v>20</v>
      </c>
      <c r="E83" s="265" t="s">
        <v>19</v>
      </c>
    </row>
    <row r="84" spans="1:6" x14ac:dyDescent="0.25">
      <c r="A84" s="267">
        <v>45748</v>
      </c>
      <c r="B84" s="270">
        <v>378</v>
      </c>
      <c r="C84" s="266">
        <v>25.85</v>
      </c>
      <c r="D84" s="265" t="s">
        <v>20</v>
      </c>
      <c r="E84" s="265" t="s">
        <v>19</v>
      </c>
    </row>
    <row r="85" spans="1:6" x14ac:dyDescent="0.25">
      <c r="A85" s="267">
        <v>45748</v>
      </c>
      <c r="B85" s="270">
        <v>379</v>
      </c>
      <c r="C85" s="266">
        <f>AVERAGE(C78:C84)</f>
        <v>23.84</v>
      </c>
      <c r="D85" s="265" t="s">
        <v>20</v>
      </c>
      <c r="E85" s="265" t="s">
        <v>19</v>
      </c>
      <c r="F85" s="271" t="s">
        <v>536</v>
      </c>
    </row>
    <row r="86" spans="1:6" x14ac:dyDescent="0.25">
      <c r="A86" s="267">
        <v>45748</v>
      </c>
      <c r="B86" s="268" t="s">
        <v>535</v>
      </c>
      <c r="C86" s="266">
        <v>26.01</v>
      </c>
      <c r="D86" s="265" t="s">
        <v>20</v>
      </c>
      <c r="E86" s="265" t="s">
        <v>19</v>
      </c>
    </row>
    <row r="87" spans="1:6" x14ac:dyDescent="0.25">
      <c r="A87" s="267">
        <v>45755</v>
      </c>
      <c r="B87" s="56" t="s">
        <v>537</v>
      </c>
      <c r="C87" s="266">
        <v>22.33</v>
      </c>
      <c r="D87" s="265" t="s">
        <v>20</v>
      </c>
      <c r="E87" s="265" t="s">
        <v>19</v>
      </c>
    </row>
    <row r="88" spans="1:6" x14ac:dyDescent="0.25">
      <c r="A88" s="267">
        <v>45755</v>
      </c>
      <c r="B88" s="56">
        <v>300</v>
      </c>
      <c r="C88" s="266">
        <v>19.239999999999998</v>
      </c>
      <c r="D88" s="265" t="s">
        <v>20</v>
      </c>
      <c r="E88" s="265" t="s">
        <v>19</v>
      </c>
    </row>
    <row r="89" spans="1:6" x14ac:dyDescent="0.25">
      <c r="A89" s="267">
        <v>45755</v>
      </c>
      <c r="B89" s="56">
        <v>301</v>
      </c>
      <c r="C89" s="266">
        <v>19.510000000000002</v>
      </c>
      <c r="D89" s="265" t="s">
        <v>20</v>
      </c>
      <c r="E89" s="265" t="s">
        <v>19</v>
      </c>
    </row>
    <row r="90" spans="1:6" x14ac:dyDescent="0.25">
      <c r="A90" s="267">
        <v>45755</v>
      </c>
      <c r="B90" s="56">
        <v>209</v>
      </c>
      <c r="C90" s="266">
        <v>21.36</v>
      </c>
      <c r="D90" s="265" t="s">
        <v>20</v>
      </c>
      <c r="E90" s="265" t="s">
        <v>19</v>
      </c>
    </row>
    <row r="91" spans="1:6" x14ac:dyDescent="0.25">
      <c r="A91" s="267">
        <v>45755</v>
      </c>
      <c r="B91" s="56">
        <v>210</v>
      </c>
      <c r="C91" s="266">
        <v>21.43</v>
      </c>
      <c r="D91" s="265" t="s">
        <v>20</v>
      </c>
      <c r="E91" s="265" t="s">
        <v>19</v>
      </c>
    </row>
    <row r="92" spans="1:6" x14ac:dyDescent="0.25">
      <c r="A92" s="267">
        <v>45755</v>
      </c>
      <c r="B92" s="56">
        <v>651</v>
      </c>
      <c r="C92" s="266">
        <v>22.79</v>
      </c>
      <c r="D92" s="265" t="s">
        <v>20</v>
      </c>
      <c r="E92" s="265" t="s">
        <v>19</v>
      </c>
    </row>
    <row r="93" spans="1:6" x14ac:dyDescent="0.25">
      <c r="A93" s="267">
        <v>45755</v>
      </c>
      <c r="B93" s="56">
        <v>652</v>
      </c>
      <c r="C93" s="266">
        <v>22.93</v>
      </c>
      <c r="D93" s="265" t="s">
        <v>20</v>
      </c>
      <c r="E93" s="265" t="s">
        <v>19</v>
      </c>
    </row>
    <row r="94" spans="1:6" x14ac:dyDescent="0.25">
      <c r="A94" s="267">
        <v>45755</v>
      </c>
      <c r="B94" s="56">
        <v>482</v>
      </c>
      <c r="C94" s="266">
        <v>23.25</v>
      </c>
      <c r="D94" s="265" t="s">
        <v>20</v>
      </c>
      <c r="E94" s="265" t="s">
        <v>19</v>
      </c>
    </row>
    <row r="95" spans="1:6" x14ac:dyDescent="0.25">
      <c r="A95" s="267">
        <v>45755</v>
      </c>
      <c r="B95" s="56">
        <v>483</v>
      </c>
      <c r="C95" s="266">
        <v>24.05</v>
      </c>
      <c r="D95" s="265" t="s">
        <v>20</v>
      </c>
      <c r="E95" s="265" t="s">
        <v>19</v>
      </c>
    </row>
    <row r="96" spans="1:6" x14ac:dyDescent="0.25">
      <c r="A96" s="267">
        <v>45755</v>
      </c>
      <c r="B96" s="18" t="s">
        <v>537</v>
      </c>
      <c r="C96" s="266">
        <v>27.61</v>
      </c>
      <c r="D96" s="265" t="s">
        <v>20</v>
      </c>
      <c r="E96" s="265" t="s">
        <v>19</v>
      </c>
    </row>
    <row r="97" spans="1:5" x14ac:dyDescent="0.25">
      <c r="A97" s="267">
        <v>45755</v>
      </c>
      <c r="B97" s="56">
        <v>638</v>
      </c>
      <c r="C97" s="266">
        <v>25.64</v>
      </c>
      <c r="D97" s="265" t="s">
        <v>20</v>
      </c>
      <c r="E97" s="265" t="s">
        <v>19</v>
      </c>
    </row>
    <row r="98" spans="1:5" x14ac:dyDescent="0.25">
      <c r="A98" s="267">
        <v>45755</v>
      </c>
      <c r="B98" s="56">
        <v>639</v>
      </c>
      <c r="C98" s="266">
        <v>24.96</v>
      </c>
      <c r="D98" s="265" t="s">
        <v>20</v>
      </c>
      <c r="E98" s="265" t="s">
        <v>19</v>
      </c>
    </row>
    <row r="99" spans="1:5" x14ac:dyDescent="0.25">
      <c r="A99" s="267">
        <v>45755</v>
      </c>
      <c r="B99" s="56">
        <v>534</v>
      </c>
      <c r="C99" s="266">
        <v>24.83</v>
      </c>
      <c r="D99" s="265" t="s">
        <v>20</v>
      </c>
      <c r="E99" s="265" t="s">
        <v>19</v>
      </c>
    </row>
    <row r="100" spans="1:5" x14ac:dyDescent="0.25">
      <c r="A100" s="267">
        <v>45755</v>
      </c>
      <c r="B100" s="56">
        <v>535</v>
      </c>
      <c r="C100" s="266">
        <v>25.23</v>
      </c>
      <c r="D100" s="265" t="s">
        <v>20</v>
      </c>
      <c r="E100" s="265" t="s">
        <v>19</v>
      </c>
    </row>
    <row r="101" spans="1:5" x14ac:dyDescent="0.25">
      <c r="A101" s="267">
        <v>45755</v>
      </c>
      <c r="B101" s="56">
        <v>599</v>
      </c>
      <c r="C101" s="266">
        <v>25.15</v>
      </c>
      <c r="D101" s="265" t="s">
        <v>20</v>
      </c>
      <c r="E101" s="265" t="s">
        <v>19</v>
      </c>
    </row>
    <row r="102" spans="1:5" x14ac:dyDescent="0.25">
      <c r="A102" s="267">
        <v>45755</v>
      </c>
      <c r="B102" s="56">
        <v>600</v>
      </c>
      <c r="C102" s="266">
        <v>25.81</v>
      </c>
      <c r="D102" s="265" t="s">
        <v>20</v>
      </c>
      <c r="E102" s="265" t="s">
        <v>19</v>
      </c>
    </row>
    <row r="103" spans="1:5" x14ac:dyDescent="0.25">
      <c r="A103" s="267">
        <v>45755</v>
      </c>
      <c r="B103" s="56">
        <v>664</v>
      </c>
      <c r="C103" s="266">
        <v>25.46</v>
      </c>
      <c r="D103" s="265" t="s">
        <v>20</v>
      </c>
      <c r="E103" s="265" t="s">
        <v>19</v>
      </c>
    </row>
    <row r="104" spans="1:5" x14ac:dyDescent="0.25">
      <c r="A104" s="267">
        <v>45755</v>
      </c>
      <c r="B104" s="56">
        <v>665</v>
      </c>
      <c r="C104" s="266">
        <v>26.1</v>
      </c>
      <c r="D104" s="265" t="s">
        <v>20</v>
      </c>
      <c r="E104" s="265" t="s">
        <v>19</v>
      </c>
    </row>
    <row r="105" spans="1:5" x14ac:dyDescent="0.25">
      <c r="A105" s="267">
        <v>45755</v>
      </c>
      <c r="B105" s="18" t="s">
        <v>537</v>
      </c>
      <c r="C105" s="266">
        <v>27.21</v>
      </c>
      <c r="D105" s="265" t="s">
        <v>20</v>
      </c>
      <c r="E105" s="265" t="s">
        <v>19</v>
      </c>
    </row>
    <row r="106" spans="1:5" x14ac:dyDescent="0.25">
      <c r="A106" s="267">
        <v>45755</v>
      </c>
      <c r="B106" s="56">
        <v>521</v>
      </c>
      <c r="C106" s="266">
        <v>26.77</v>
      </c>
      <c r="D106" s="265" t="s">
        <v>20</v>
      </c>
      <c r="E106" s="265" t="s">
        <v>19</v>
      </c>
    </row>
    <row r="107" spans="1:5" x14ac:dyDescent="0.25">
      <c r="A107" s="267">
        <v>45755</v>
      </c>
      <c r="B107" s="56">
        <v>522</v>
      </c>
      <c r="C107" s="266">
        <v>26.59</v>
      </c>
      <c r="D107" s="265" t="s">
        <v>20</v>
      </c>
      <c r="E107" s="265" t="s">
        <v>19</v>
      </c>
    </row>
    <row r="108" spans="1:5" x14ac:dyDescent="0.25">
      <c r="A108" s="267">
        <v>45755</v>
      </c>
      <c r="B108" s="56">
        <v>612</v>
      </c>
      <c r="C108" s="266">
        <v>26.57</v>
      </c>
      <c r="D108" s="265" t="s">
        <v>20</v>
      </c>
      <c r="E108" s="265" t="s">
        <v>19</v>
      </c>
    </row>
    <row r="109" spans="1:5" x14ac:dyDescent="0.25">
      <c r="A109" s="267">
        <v>45755</v>
      </c>
      <c r="B109" s="56">
        <v>613</v>
      </c>
      <c r="C109" s="266">
        <v>26.67</v>
      </c>
      <c r="D109" s="265" t="s">
        <v>20</v>
      </c>
      <c r="E109" s="265" t="s">
        <v>19</v>
      </c>
    </row>
    <row r="110" spans="1:5" x14ac:dyDescent="0.25">
      <c r="A110" s="267">
        <v>45755</v>
      </c>
      <c r="B110" s="56">
        <v>677</v>
      </c>
      <c r="C110" s="266">
        <v>26.73</v>
      </c>
      <c r="D110" s="265" t="s">
        <v>20</v>
      </c>
      <c r="E110" s="265" t="s">
        <v>19</v>
      </c>
    </row>
    <row r="111" spans="1:5" x14ac:dyDescent="0.25">
      <c r="A111" s="267">
        <v>45755</v>
      </c>
      <c r="B111" s="56">
        <v>678</v>
      </c>
      <c r="C111" s="266">
        <v>26.97</v>
      </c>
      <c r="D111" s="265" t="s">
        <v>20</v>
      </c>
      <c r="E111" s="265" t="s">
        <v>19</v>
      </c>
    </row>
    <row r="112" spans="1:5" x14ac:dyDescent="0.25">
      <c r="A112" s="267">
        <v>45755</v>
      </c>
      <c r="B112" s="18" t="s">
        <v>537</v>
      </c>
      <c r="C112" s="266">
        <v>27.21</v>
      </c>
      <c r="D112" s="265" t="s">
        <v>20</v>
      </c>
      <c r="E112" s="265" t="s">
        <v>19</v>
      </c>
    </row>
    <row r="113" spans="1:5" x14ac:dyDescent="0.25">
      <c r="A113" s="267">
        <v>45755</v>
      </c>
      <c r="B113" s="18" t="s">
        <v>537</v>
      </c>
      <c r="C113" s="266">
        <v>27.21</v>
      </c>
      <c r="D113" s="265" t="s">
        <v>20</v>
      </c>
      <c r="E113" s="265" t="s">
        <v>19</v>
      </c>
    </row>
    <row r="114" spans="1:5" x14ac:dyDescent="0.25">
      <c r="A114" s="267">
        <v>45755</v>
      </c>
      <c r="B114" s="56">
        <v>443</v>
      </c>
      <c r="C114" s="266">
        <v>14.97</v>
      </c>
      <c r="D114" s="265" t="s">
        <v>20</v>
      </c>
      <c r="E114" s="265" t="s">
        <v>19</v>
      </c>
    </row>
    <row r="115" spans="1:5" x14ac:dyDescent="0.25">
      <c r="A115" s="267">
        <v>45755</v>
      </c>
      <c r="B115" s="56">
        <v>444</v>
      </c>
      <c r="C115" s="266">
        <v>15.08</v>
      </c>
      <c r="D115" s="265" t="s">
        <v>20</v>
      </c>
      <c r="E115" s="265" t="s">
        <v>19</v>
      </c>
    </row>
    <row r="116" spans="1:5" x14ac:dyDescent="0.25">
      <c r="A116" s="267">
        <v>45755</v>
      </c>
      <c r="B116" s="56">
        <v>703</v>
      </c>
      <c r="C116" s="266">
        <v>18.149999999999999</v>
      </c>
      <c r="D116" s="265" t="s">
        <v>20</v>
      </c>
      <c r="E116" s="265" t="s">
        <v>19</v>
      </c>
    </row>
    <row r="117" spans="1:5" x14ac:dyDescent="0.25">
      <c r="A117" s="267">
        <v>45755</v>
      </c>
      <c r="B117" s="56">
        <v>704</v>
      </c>
      <c r="C117" s="266">
        <v>20.18</v>
      </c>
      <c r="D117" s="265" t="s">
        <v>20</v>
      </c>
      <c r="E117" s="265" t="s">
        <v>19</v>
      </c>
    </row>
    <row r="118" spans="1:5" x14ac:dyDescent="0.25">
      <c r="A118" s="267">
        <v>45755</v>
      </c>
      <c r="B118" s="56">
        <v>716</v>
      </c>
      <c r="C118" s="266">
        <v>21.15</v>
      </c>
      <c r="D118" s="265" t="s">
        <v>20</v>
      </c>
      <c r="E118" s="265" t="s">
        <v>19</v>
      </c>
    </row>
    <row r="119" spans="1:5" x14ac:dyDescent="0.25">
      <c r="A119" s="267">
        <v>45755</v>
      </c>
      <c r="B119" s="56">
        <v>717</v>
      </c>
      <c r="C119" s="266">
        <v>22.34</v>
      </c>
      <c r="D119" s="265" t="s">
        <v>20</v>
      </c>
      <c r="E119" s="265" t="s">
        <v>19</v>
      </c>
    </row>
    <row r="120" spans="1:5" x14ac:dyDescent="0.25">
      <c r="A120" s="267">
        <v>45755</v>
      </c>
      <c r="B120" s="56">
        <v>690</v>
      </c>
      <c r="C120" s="266">
        <v>21.42</v>
      </c>
      <c r="D120" s="265" t="s">
        <v>20</v>
      </c>
      <c r="E120" s="265" t="s">
        <v>19</v>
      </c>
    </row>
    <row r="121" spans="1:5" x14ac:dyDescent="0.25">
      <c r="A121" s="267">
        <v>45755</v>
      </c>
      <c r="B121" s="56">
        <v>691</v>
      </c>
      <c r="C121" s="266">
        <v>21.8</v>
      </c>
      <c r="D121" s="265" t="s">
        <v>20</v>
      </c>
      <c r="E121" s="265" t="s">
        <v>19</v>
      </c>
    </row>
    <row r="122" spans="1:5" x14ac:dyDescent="0.25">
      <c r="A122" s="267">
        <v>45755</v>
      </c>
      <c r="B122" s="18" t="s">
        <v>537</v>
      </c>
      <c r="C122" s="266">
        <v>23.24</v>
      </c>
      <c r="D122" s="265" t="s">
        <v>20</v>
      </c>
      <c r="E122" s="265" t="s">
        <v>19</v>
      </c>
    </row>
    <row r="123" spans="1:5" x14ac:dyDescent="0.25">
      <c r="A123" s="261"/>
      <c r="C123" s="272"/>
      <c r="D123" s="261"/>
      <c r="E123" s="261"/>
    </row>
    <row r="124" spans="1:5" x14ac:dyDescent="0.25">
      <c r="A124" s="261"/>
      <c r="B124" s="273"/>
      <c r="C124" s="272"/>
      <c r="D124" s="261"/>
      <c r="E124" s="261"/>
    </row>
    <row r="125" spans="1:5" x14ac:dyDescent="0.25">
      <c r="A125" s="261"/>
      <c r="B125" s="273"/>
      <c r="C125" s="272"/>
      <c r="D125" s="261"/>
      <c r="E125" s="261"/>
    </row>
    <row r="126" spans="1:5" x14ac:dyDescent="0.25">
      <c r="A126" s="261"/>
      <c r="B126" s="273"/>
      <c r="C126" s="272"/>
      <c r="D126" s="261"/>
      <c r="E126" s="261"/>
    </row>
    <row r="127" spans="1:5" x14ac:dyDescent="0.25">
      <c r="A127" s="261"/>
      <c r="B127" s="273"/>
      <c r="C127" s="272"/>
      <c r="D127" s="261"/>
      <c r="E127" s="261"/>
    </row>
    <row r="128" spans="1:5" x14ac:dyDescent="0.25">
      <c r="A128" s="261"/>
      <c r="B128" s="273"/>
      <c r="C128" s="272"/>
      <c r="D128" s="261"/>
      <c r="E128" s="261"/>
    </row>
    <row r="129" spans="1:5" x14ac:dyDescent="0.25">
      <c r="A129" s="261"/>
      <c r="B129" s="273"/>
      <c r="C129" s="272"/>
      <c r="D129" s="261"/>
      <c r="E129" s="261"/>
    </row>
    <row r="130" spans="1:5" x14ac:dyDescent="0.25">
      <c r="A130" s="261"/>
      <c r="B130" s="273"/>
      <c r="C130" s="272"/>
      <c r="D130" s="261"/>
      <c r="E130" s="261"/>
    </row>
    <row r="131" spans="1:5" x14ac:dyDescent="0.25">
      <c r="A131" s="261"/>
      <c r="B131" s="273"/>
      <c r="C131" s="272"/>
      <c r="D131" s="261"/>
      <c r="E131" s="261"/>
    </row>
    <row r="132" spans="1:5" x14ac:dyDescent="0.25">
      <c r="A132" s="261"/>
      <c r="B132" s="273"/>
      <c r="C132" s="272"/>
      <c r="D132" s="261"/>
      <c r="E132" s="261"/>
    </row>
    <row r="133" spans="1:5" x14ac:dyDescent="0.25">
      <c r="A133" s="261"/>
      <c r="B133" s="273"/>
      <c r="C133" s="272"/>
      <c r="D133" s="261"/>
      <c r="E133" s="261"/>
    </row>
    <row r="134" spans="1:5" x14ac:dyDescent="0.25">
      <c r="A134" s="261"/>
      <c r="B134" s="273"/>
      <c r="C134" s="272"/>
      <c r="D134" s="261"/>
      <c r="E134" s="261"/>
    </row>
    <row r="135" spans="1:5" x14ac:dyDescent="0.25">
      <c r="A135" s="261"/>
      <c r="B135" s="273"/>
      <c r="C135" s="272"/>
      <c r="D135" s="261"/>
      <c r="E135" s="261"/>
    </row>
    <row r="136" spans="1:5" x14ac:dyDescent="0.25">
      <c r="A136" s="261"/>
      <c r="B136" s="273"/>
      <c r="C136" s="272"/>
      <c r="D136" s="261"/>
      <c r="E136" s="261"/>
    </row>
    <row r="137" spans="1:5" x14ac:dyDescent="0.25">
      <c r="A137" s="261"/>
      <c r="B137" s="273"/>
      <c r="C137" s="272"/>
      <c r="D137" s="261"/>
      <c r="E137" s="261"/>
    </row>
    <row r="138" spans="1:5" x14ac:dyDescent="0.25">
      <c r="A138" s="261"/>
      <c r="B138" s="273"/>
      <c r="C138" s="272"/>
      <c r="D138" s="261"/>
      <c r="E138" s="261"/>
    </row>
    <row r="139" spans="1:5" x14ac:dyDescent="0.25">
      <c r="A139" s="261"/>
      <c r="B139" s="273"/>
      <c r="C139" s="272"/>
      <c r="D139" s="261"/>
      <c r="E139" s="261"/>
    </row>
    <row r="140" spans="1:5" x14ac:dyDescent="0.25">
      <c r="A140" s="261"/>
      <c r="B140" s="273"/>
      <c r="C140" s="272"/>
      <c r="D140" s="261"/>
      <c r="E140" s="261"/>
    </row>
    <row r="141" spans="1:5" x14ac:dyDescent="0.25">
      <c r="A141" s="261"/>
      <c r="B141" s="273"/>
      <c r="C141" s="272"/>
      <c r="D141" s="261"/>
      <c r="E141" s="261"/>
    </row>
    <row r="142" spans="1:5" x14ac:dyDescent="0.25">
      <c r="A142" s="261"/>
      <c r="B142" s="273"/>
      <c r="C142" s="272"/>
      <c r="D142" s="261"/>
      <c r="E142" s="261"/>
    </row>
    <row r="143" spans="1:5" x14ac:dyDescent="0.25">
      <c r="A143" s="261"/>
      <c r="B143" s="273"/>
      <c r="C143" s="272"/>
      <c r="D143" s="261"/>
      <c r="E143" s="261"/>
    </row>
    <row r="144" spans="1:5" x14ac:dyDescent="0.25">
      <c r="A144" s="261"/>
      <c r="B144" s="273"/>
      <c r="C144" s="272"/>
      <c r="D144" s="261"/>
      <c r="E144" s="261"/>
    </row>
    <row r="145" spans="1:5" x14ac:dyDescent="0.25">
      <c r="A145" s="261"/>
      <c r="B145" s="273"/>
      <c r="C145" s="272"/>
      <c r="D145" s="261"/>
      <c r="E145" s="261"/>
    </row>
    <row r="146" spans="1:5" x14ac:dyDescent="0.25">
      <c r="A146" s="261"/>
      <c r="B146" s="273"/>
      <c r="C146" s="272"/>
      <c r="D146" s="261"/>
      <c r="E146" s="261"/>
    </row>
    <row r="147" spans="1:5" x14ac:dyDescent="0.25">
      <c r="A147" s="261"/>
      <c r="B147" s="261"/>
      <c r="C147" s="272"/>
      <c r="D147" s="261"/>
      <c r="E147" s="261"/>
    </row>
    <row r="148" spans="1:5" x14ac:dyDescent="0.25">
      <c r="A148" s="261"/>
      <c r="B148" s="261"/>
      <c r="C148" s="272"/>
      <c r="D148" s="261"/>
      <c r="E148" s="261"/>
    </row>
    <row r="149" spans="1:5" x14ac:dyDescent="0.25">
      <c r="A149" s="261"/>
      <c r="B149" s="261"/>
      <c r="C149" s="272"/>
      <c r="D149" s="261"/>
      <c r="E149" s="261"/>
    </row>
    <row r="150" spans="1:5" x14ac:dyDescent="0.25">
      <c r="A150" s="261"/>
      <c r="B150" s="261"/>
      <c r="C150" s="272"/>
      <c r="D150" s="261"/>
      <c r="E150" s="261"/>
    </row>
    <row r="151" spans="1:5" x14ac:dyDescent="0.25">
      <c r="A151" s="261"/>
      <c r="B151" s="261"/>
      <c r="C151" s="272"/>
      <c r="D151" s="261"/>
      <c r="E151" s="261"/>
    </row>
    <row r="152" spans="1:5" x14ac:dyDescent="0.25">
      <c r="A152" s="261"/>
      <c r="B152" s="261"/>
      <c r="C152" s="272"/>
      <c r="D152" s="261"/>
      <c r="E152" s="261"/>
    </row>
    <row r="153" spans="1:5" x14ac:dyDescent="0.25">
      <c r="A153" s="261"/>
      <c r="B153" s="261"/>
      <c r="C153" s="272"/>
      <c r="D153" s="261"/>
      <c r="E153" s="261"/>
    </row>
    <row r="154" spans="1:5" x14ac:dyDescent="0.25">
      <c r="A154" s="261"/>
      <c r="B154" s="261"/>
      <c r="C154" s="272"/>
      <c r="D154" s="261"/>
      <c r="E154" s="261"/>
    </row>
    <row r="155" spans="1:5" x14ac:dyDescent="0.25">
      <c r="A155" s="261"/>
      <c r="B155" s="261"/>
      <c r="C155" s="272"/>
      <c r="D155" s="261"/>
      <c r="E155" s="261"/>
    </row>
    <row r="156" spans="1:5" x14ac:dyDescent="0.25">
      <c r="A156" s="261"/>
      <c r="B156" s="261"/>
      <c r="C156" s="272"/>
      <c r="D156" s="261"/>
      <c r="E156" s="261"/>
    </row>
    <row r="157" spans="1:5" x14ac:dyDescent="0.25">
      <c r="A157" s="261"/>
      <c r="B157" s="261"/>
      <c r="C157" s="272"/>
      <c r="D157" s="261"/>
      <c r="E157" s="261"/>
    </row>
    <row r="158" spans="1:5" x14ac:dyDescent="0.25">
      <c r="A158" s="261"/>
      <c r="B158" s="261"/>
      <c r="C158" s="272"/>
      <c r="D158" s="261"/>
      <c r="E158" s="261"/>
    </row>
    <row r="159" spans="1:5" x14ac:dyDescent="0.25">
      <c r="A159" s="261"/>
      <c r="B159" s="261"/>
      <c r="C159" s="272"/>
      <c r="D159" s="261"/>
      <c r="E159" s="261"/>
    </row>
    <row r="160" spans="1:5" x14ac:dyDescent="0.25">
      <c r="A160" s="261"/>
      <c r="B160" s="261"/>
      <c r="C160" s="272"/>
      <c r="D160" s="261"/>
      <c r="E160" s="261"/>
    </row>
    <row r="161" spans="1:5" x14ac:dyDescent="0.25">
      <c r="A161" s="261"/>
      <c r="B161" s="261"/>
      <c r="C161" s="272"/>
      <c r="D161" s="261"/>
      <c r="E161" s="261"/>
    </row>
    <row r="162" spans="1:5" x14ac:dyDescent="0.25">
      <c r="A162" s="261"/>
      <c r="B162" s="261"/>
      <c r="C162" s="272"/>
      <c r="D162" s="261"/>
      <c r="E162" s="261"/>
    </row>
    <row r="163" spans="1:5" x14ac:dyDescent="0.25">
      <c r="A163" s="261"/>
      <c r="B163" s="261"/>
      <c r="C163" s="272"/>
      <c r="D163" s="261"/>
      <c r="E163" s="261"/>
    </row>
    <row r="164" spans="1:5" x14ac:dyDescent="0.25">
      <c r="A164" s="261"/>
      <c r="B164" s="261"/>
      <c r="C164" s="272"/>
      <c r="D164" s="261"/>
      <c r="E164" s="261"/>
    </row>
    <row r="165" spans="1:5" x14ac:dyDescent="0.25">
      <c r="A165" s="261"/>
      <c r="B165" s="261"/>
      <c r="C165" s="272"/>
      <c r="D165" s="261"/>
      <c r="E165" s="261"/>
    </row>
    <row r="166" spans="1:5" x14ac:dyDescent="0.25">
      <c r="A166" s="261"/>
      <c r="B166" s="261"/>
      <c r="C166" s="272"/>
      <c r="D166" s="261"/>
      <c r="E166" s="261"/>
    </row>
    <row r="167" spans="1:5" x14ac:dyDescent="0.25">
      <c r="A167" s="261"/>
      <c r="B167" s="261"/>
      <c r="C167" s="272"/>
      <c r="D167" s="261"/>
      <c r="E167" s="261"/>
    </row>
    <row r="168" spans="1:5" x14ac:dyDescent="0.25">
      <c r="A168" s="261"/>
      <c r="B168" s="261"/>
      <c r="C168" s="272"/>
      <c r="D168" s="261"/>
      <c r="E168" s="261"/>
    </row>
    <row r="169" spans="1:5" x14ac:dyDescent="0.25">
      <c r="A169" s="261"/>
      <c r="B169" s="261"/>
      <c r="C169" s="272"/>
      <c r="D169" s="261"/>
      <c r="E169" s="261"/>
    </row>
    <row r="170" spans="1:5" x14ac:dyDescent="0.25">
      <c r="A170" s="261"/>
      <c r="B170" s="261"/>
      <c r="C170" s="272"/>
      <c r="D170" s="261"/>
      <c r="E170" s="261"/>
    </row>
    <row r="171" spans="1:5" x14ac:dyDescent="0.25">
      <c r="A171" s="261"/>
      <c r="B171" s="261"/>
      <c r="C171" s="272"/>
      <c r="D171" s="261"/>
      <c r="E171" s="261"/>
    </row>
    <row r="172" spans="1:5" x14ac:dyDescent="0.25">
      <c r="A172" s="261"/>
      <c r="B172" s="261"/>
      <c r="C172" s="272"/>
      <c r="D172" s="261"/>
      <c r="E172" s="261"/>
    </row>
    <row r="173" spans="1:5" x14ac:dyDescent="0.25">
      <c r="A173" s="261"/>
      <c r="B173" s="261"/>
      <c r="C173" s="272"/>
      <c r="D173" s="261"/>
      <c r="E173" s="261"/>
    </row>
    <row r="174" spans="1:5" x14ac:dyDescent="0.25">
      <c r="A174" s="261"/>
      <c r="B174" s="261"/>
      <c r="C174" s="272"/>
      <c r="D174" s="261"/>
      <c r="E174" s="261"/>
    </row>
    <row r="175" spans="1:5" x14ac:dyDescent="0.25">
      <c r="A175" s="261"/>
      <c r="B175" s="261"/>
      <c r="C175" s="272"/>
      <c r="D175" s="261"/>
      <c r="E175" s="261"/>
    </row>
    <row r="176" spans="1:5" x14ac:dyDescent="0.25">
      <c r="A176" s="261"/>
      <c r="B176" s="261"/>
      <c r="C176" s="272"/>
      <c r="D176" s="261"/>
      <c r="E176" s="261"/>
    </row>
    <row r="177" spans="1:5" x14ac:dyDescent="0.25">
      <c r="A177" s="261"/>
      <c r="B177" s="261"/>
      <c r="C177" s="272"/>
      <c r="D177" s="261"/>
      <c r="E177" s="261"/>
    </row>
    <row r="178" spans="1:5" x14ac:dyDescent="0.25">
      <c r="A178" s="261"/>
      <c r="B178" s="261"/>
      <c r="C178" s="272"/>
      <c r="D178" s="261"/>
      <c r="E178" s="261"/>
    </row>
    <row r="179" spans="1:5" x14ac:dyDescent="0.25">
      <c r="A179" s="261"/>
      <c r="B179" s="261"/>
      <c r="C179" s="272"/>
      <c r="D179" s="261"/>
      <c r="E179" s="261"/>
    </row>
    <row r="180" spans="1:5" x14ac:dyDescent="0.25">
      <c r="A180" s="261"/>
      <c r="B180" s="261"/>
      <c r="C180" s="272"/>
      <c r="D180" s="261"/>
      <c r="E180" s="261"/>
    </row>
    <row r="181" spans="1:5" x14ac:dyDescent="0.25">
      <c r="A181" s="261"/>
      <c r="B181" s="261"/>
      <c r="C181" s="272"/>
      <c r="D181" s="261"/>
      <c r="E181" s="261"/>
    </row>
    <row r="182" spans="1:5" x14ac:dyDescent="0.25">
      <c r="A182" s="261"/>
      <c r="B182" s="261"/>
      <c r="C182" s="272"/>
      <c r="D182" s="261"/>
      <c r="E182" s="261"/>
    </row>
    <row r="183" spans="1:5" x14ac:dyDescent="0.25">
      <c r="A183" s="261"/>
      <c r="B183" s="261"/>
      <c r="C183" s="272"/>
      <c r="D183" s="261"/>
      <c r="E183" s="261"/>
    </row>
    <row r="184" spans="1:5" x14ac:dyDescent="0.25">
      <c r="A184" s="261"/>
      <c r="B184" s="261"/>
      <c r="C184" s="272"/>
      <c r="D184" s="261"/>
      <c r="E184" s="261"/>
    </row>
    <row r="185" spans="1:5" x14ac:dyDescent="0.25">
      <c r="A185" s="261"/>
      <c r="B185" s="261"/>
      <c r="C185" s="272"/>
      <c r="D185" s="261"/>
      <c r="E185" s="261"/>
    </row>
    <row r="186" spans="1:5" x14ac:dyDescent="0.25">
      <c r="A186" s="261"/>
      <c r="B186" s="261"/>
      <c r="C186" s="272"/>
      <c r="D186" s="261"/>
      <c r="E186" s="261"/>
    </row>
    <row r="187" spans="1:5" x14ac:dyDescent="0.25">
      <c r="A187" s="261"/>
      <c r="B187" s="261"/>
      <c r="C187" s="272"/>
      <c r="D187" s="261"/>
      <c r="E187" s="261"/>
    </row>
    <row r="188" spans="1:5" x14ac:dyDescent="0.25">
      <c r="A188" s="261"/>
      <c r="B188" s="261"/>
      <c r="C188" s="272"/>
      <c r="D188" s="261"/>
      <c r="E188" s="261"/>
    </row>
    <row r="189" spans="1:5" x14ac:dyDescent="0.25">
      <c r="A189" s="261"/>
      <c r="B189" s="261"/>
      <c r="C189" s="272"/>
      <c r="D189" s="261"/>
      <c r="E189" s="261"/>
    </row>
    <row r="190" spans="1:5" x14ac:dyDescent="0.25">
      <c r="A190" s="261"/>
      <c r="B190" s="261"/>
      <c r="C190" s="272"/>
      <c r="D190" s="261"/>
      <c r="E190" s="261"/>
    </row>
    <row r="191" spans="1:5" x14ac:dyDescent="0.25">
      <c r="A191" s="261"/>
      <c r="B191" s="261"/>
      <c r="C191" s="272"/>
      <c r="D191" s="261"/>
      <c r="E191" s="261"/>
    </row>
    <row r="192" spans="1:5" x14ac:dyDescent="0.25">
      <c r="A192" s="261"/>
      <c r="B192" s="261"/>
      <c r="C192" s="272"/>
      <c r="D192" s="261"/>
      <c r="E192" s="261"/>
    </row>
    <row r="193" spans="1:5" x14ac:dyDescent="0.25">
      <c r="A193" s="261"/>
      <c r="B193" s="261"/>
      <c r="C193" s="272"/>
      <c r="D193" s="261"/>
      <c r="E193" s="261"/>
    </row>
    <row r="194" spans="1:5" x14ac:dyDescent="0.25">
      <c r="A194" s="261"/>
      <c r="B194" s="261"/>
      <c r="C194" s="272"/>
      <c r="D194" s="261"/>
      <c r="E194" s="261"/>
    </row>
    <row r="195" spans="1:5" x14ac:dyDescent="0.25">
      <c r="A195" s="261"/>
      <c r="B195" s="261"/>
      <c r="C195" s="272"/>
      <c r="D195" s="261"/>
      <c r="E195" s="261"/>
    </row>
    <row r="196" spans="1:5" x14ac:dyDescent="0.25">
      <c r="A196" s="261"/>
      <c r="B196" s="261"/>
      <c r="C196" s="272"/>
      <c r="D196" s="261"/>
      <c r="E196" s="261"/>
    </row>
    <row r="197" spans="1:5" x14ac:dyDescent="0.25">
      <c r="A197" s="261"/>
      <c r="B197" s="261"/>
      <c r="C197" s="272"/>
      <c r="D197" s="261"/>
      <c r="E197" s="261"/>
    </row>
    <row r="198" spans="1:5" x14ac:dyDescent="0.25">
      <c r="A198" s="261"/>
      <c r="B198" s="261"/>
      <c r="C198" s="272"/>
      <c r="D198" s="261"/>
      <c r="E198" s="261"/>
    </row>
    <row r="199" spans="1:5" x14ac:dyDescent="0.25">
      <c r="A199" s="261"/>
      <c r="B199" s="261"/>
      <c r="C199" s="272"/>
      <c r="D199" s="261"/>
      <c r="E199" s="261"/>
    </row>
    <row r="200" spans="1:5" x14ac:dyDescent="0.25">
      <c r="A200" s="261"/>
      <c r="B200" s="261"/>
      <c r="C200" s="272"/>
      <c r="D200" s="261"/>
      <c r="E200" s="261"/>
    </row>
    <row r="201" spans="1:5" x14ac:dyDescent="0.25">
      <c r="A201" s="261"/>
      <c r="B201" s="261"/>
      <c r="C201" s="272"/>
      <c r="D201" s="261"/>
      <c r="E201" s="261"/>
    </row>
    <row r="202" spans="1:5" x14ac:dyDescent="0.25">
      <c r="A202" s="261"/>
      <c r="B202" s="261"/>
      <c r="C202" s="272"/>
      <c r="D202" s="261"/>
      <c r="E202" s="261"/>
    </row>
    <row r="203" spans="1:5" x14ac:dyDescent="0.25">
      <c r="A203" s="261"/>
      <c r="B203" s="261"/>
      <c r="C203" s="272"/>
      <c r="D203" s="261"/>
      <c r="E203" s="261"/>
    </row>
    <row r="204" spans="1:5" x14ac:dyDescent="0.25">
      <c r="A204" s="261"/>
      <c r="B204" s="261"/>
      <c r="C204" s="272"/>
      <c r="D204" s="261"/>
      <c r="E204" s="261"/>
    </row>
    <row r="205" spans="1:5" x14ac:dyDescent="0.25">
      <c r="A205" s="261"/>
      <c r="B205" s="261"/>
      <c r="C205" s="272"/>
      <c r="D205" s="261"/>
      <c r="E205" s="261"/>
    </row>
    <row r="206" spans="1:5" x14ac:dyDescent="0.25">
      <c r="A206" s="261"/>
      <c r="B206" s="261"/>
      <c r="C206" s="272"/>
      <c r="D206" s="261"/>
      <c r="E206" s="261"/>
    </row>
    <row r="207" spans="1:5" x14ac:dyDescent="0.25">
      <c r="A207" s="261"/>
      <c r="B207" s="261"/>
      <c r="C207" s="272"/>
      <c r="D207" s="261"/>
      <c r="E207" s="261"/>
    </row>
    <row r="208" spans="1:5" x14ac:dyDescent="0.25">
      <c r="A208" s="261"/>
      <c r="B208" s="261"/>
      <c r="C208" s="272"/>
      <c r="D208" s="261"/>
      <c r="E208" s="261"/>
    </row>
    <row r="209" spans="1:5" x14ac:dyDescent="0.25">
      <c r="A209" s="261"/>
      <c r="B209" s="261"/>
      <c r="C209" s="272"/>
      <c r="D209" s="261"/>
      <c r="E209" s="261"/>
    </row>
    <row r="210" spans="1:5" x14ac:dyDescent="0.25">
      <c r="A210" s="261"/>
      <c r="B210" s="261"/>
      <c r="C210" s="272"/>
      <c r="D210" s="261"/>
      <c r="E210" s="261"/>
    </row>
    <row r="211" spans="1:5" x14ac:dyDescent="0.25">
      <c r="A211" s="261"/>
      <c r="B211" s="261"/>
      <c r="C211" s="272"/>
      <c r="D211" s="261"/>
      <c r="E211" s="261"/>
    </row>
    <row r="212" spans="1:5" x14ac:dyDescent="0.25">
      <c r="A212" s="261"/>
      <c r="B212" s="261"/>
      <c r="C212" s="272"/>
      <c r="D212" s="261"/>
      <c r="E212" s="261"/>
    </row>
    <row r="213" spans="1:5" x14ac:dyDescent="0.25">
      <c r="A213" s="261"/>
      <c r="B213" s="261"/>
      <c r="C213" s="272"/>
      <c r="D213" s="261"/>
      <c r="E213" s="261"/>
    </row>
    <row r="214" spans="1:5" x14ac:dyDescent="0.25">
      <c r="A214" s="261"/>
      <c r="B214" s="261"/>
      <c r="C214" s="272"/>
      <c r="D214" s="261"/>
      <c r="E214" s="261"/>
    </row>
    <row r="215" spans="1:5" x14ac:dyDescent="0.25">
      <c r="A215" s="261"/>
      <c r="B215" s="261"/>
      <c r="C215" s="272"/>
      <c r="D215" s="261"/>
      <c r="E215" s="261"/>
    </row>
    <row r="216" spans="1:5" x14ac:dyDescent="0.25">
      <c r="A216" s="261"/>
      <c r="B216" s="261"/>
      <c r="C216" s="272"/>
      <c r="D216" s="261"/>
      <c r="E216" s="261"/>
    </row>
    <row r="217" spans="1:5" x14ac:dyDescent="0.25">
      <c r="A217" s="261"/>
      <c r="B217" s="261"/>
      <c r="C217" s="272"/>
      <c r="D217" s="261"/>
      <c r="E217" s="261"/>
    </row>
    <row r="218" spans="1:5" x14ac:dyDescent="0.25">
      <c r="A218" s="261"/>
      <c r="B218" s="261"/>
      <c r="C218" s="272"/>
      <c r="D218" s="261"/>
      <c r="E218" s="261"/>
    </row>
    <row r="219" spans="1:5" x14ac:dyDescent="0.25">
      <c r="A219" s="261"/>
      <c r="B219" s="261"/>
      <c r="C219" s="272"/>
      <c r="D219" s="261"/>
      <c r="E219" s="261"/>
    </row>
    <row r="220" spans="1:5" x14ac:dyDescent="0.25">
      <c r="A220" s="261"/>
      <c r="B220" s="261"/>
      <c r="C220" s="272"/>
      <c r="D220" s="261"/>
      <c r="E220" s="261"/>
    </row>
    <row r="221" spans="1:5" x14ac:dyDescent="0.25">
      <c r="A221" s="261"/>
      <c r="B221" s="261"/>
      <c r="C221" s="272"/>
      <c r="D221" s="261"/>
      <c r="E221" s="261"/>
    </row>
    <row r="222" spans="1:5" x14ac:dyDescent="0.25">
      <c r="A222" s="261"/>
      <c r="B222" s="261"/>
      <c r="C222" s="272"/>
      <c r="D222" s="261"/>
      <c r="E222" s="261"/>
    </row>
    <row r="223" spans="1:5" x14ac:dyDescent="0.25">
      <c r="A223" s="261"/>
      <c r="B223" s="261"/>
      <c r="C223" s="272"/>
      <c r="D223" s="261"/>
      <c r="E223" s="261"/>
    </row>
    <row r="224" spans="1:5" x14ac:dyDescent="0.25">
      <c r="A224" s="261"/>
      <c r="B224" s="261"/>
      <c r="C224" s="272"/>
      <c r="D224" s="261"/>
      <c r="E224" s="261"/>
    </row>
    <row r="225" spans="1:5" x14ac:dyDescent="0.25">
      <c r="A225" s="261"/>
      <c r="B225" s="261"/>
      <c r="C225" s="272"/>
      <c r="D225" s="261"/>
      <c r="E225" s="261"/>
    </row>
    <row r="226" spans="1:5" x14ac:dyDescent="0.25">
      <c r="A226" s="261"/>
      <c r="B226" s="261"/>
      <c r="C226" s="272"/>
      <c r="D226" s="261"/>
      <c r="E226" s="261"/>
    </row>
    <row r="227" spans="1:5" x14ac:dyDescent="0.25">
      <c r="A227" s="261"/>
      <c r="B227" s="261"/>
      <c r="C227" s="272"/>
      <c r="D227" s="261"/>
      <c r="E227" s="261"/>
    </row>
    <row r="228" spans="1:5" x14ac:dyDescent="0.25">
      <c r="A228" s="261"/>
      <c r="B228" s="261"/>
      <c r="C228" s="272"/>
      <c r="D228" s="261"/>
      <c r="E228" s="261"/>
    </row>
    <row r="229" spans="1:5" x14ac:dyDescent="0.25">
      <c r="A229" s="261"/>
      <c r="B229" s="261"/>
      <c r="C229" s="272"/>
      <c r="D229" s="261"/>
      <c r="E229" s="261"/>
    </row>
    <row r="230" spans="1:5" x14ac:dyDescent="0.25">
      <c r="A230" s="261"/>
      <c r="B230" s="261"/>
      <c r="C230" s="272"/>
      <c r="D230" s="261"/>
      <c r="E230" s="261"/>
    </row>
    <row r="231" spans="1:5" x14ac:dyDescent="0.25">
      <c r="A231" s="261"/>
      <c r="B231" s="261"/>
      <c r="C231" s="272"/>
      <c r="D231" s="261"/>
      <c r="E231" s="261"/>
    </row>
    <row r="232" spans="1:5" x14ac:dyDescent="0.25">
      <c r="A232" s="261"/>
      <c r="B232" s="261"/>
      <c r="C232" s="272"/>
      <c r="D232" s="261"/>
      <c r="E232" s="261"/>
    </row>
    <row r="233" spans="1:5" x14ac:dyDescent="0.25">
      <c r="A233" s="261"/>
      <c r="B233" s="261"/>
      <c r="C233" s="272"/>
      <c r="D233" s="261"/>
      <c r="E233" s="261"/>
    </row>
    <row r="234" spans="1:5" x14ac:dyDescent="0.25">
      <c r="A234" s="261"/>
      <c r="B234" s="261"/>
      <c r="C234" s="272"/>
      <c r="D234" s="261"/>
      <c r="E234" s="261"/>
    </row>
    <row r="235" spans="1:5" x14ac:dyDescent="0.25">
      <c r="A235" s="261"/>
      <c r="B235" s="261"/>
      <c r="C235" s="272"/>
      <c r="D235" s="261"/>
      <c r="E235" s="261"/>
    </row>
    <row r="236" spans="1:5" x14ac:dyDescent="0.25">
      <c r="A236" s="261"/>
      <c r="B236" s="261"/>
      <c r="C236" s="272"/>
      <c r="D236" s="261"/>
      <c r="E236" s="261"/>
    </row>
    <row r="237" spans="1:5" x14ac:dyDescent="0.25">
      <c r="A237" s="261"/>
      <c r="B237" s="261"/>
      <c r="C237" s="272"/>
      <c r="D237" s="261"/>
      <c r="E237" s="261"/>
    </row>
    <row r="238" spans="1:5" x14ac:dyDescent="0.25">
      <c r="A238" s="261"/>
      <c r="B238" s="261"/>
      <c r="C238" s="272"/>
      <c r="D238" s="261"/>
      <c r="E238" s="261"/>
    </row>
    <row r="239" spans="1:5" x14ac:dyDescent="0.25">
      <c r="A239" s="261"/>
      <c r="B239" s="261"/>
      <c r="C239" s="272"/>
      <c r="D239" s="261"/>
      <c r="E239" s="261"/>
    </row>
    <row r="240" spans="1:5" x14ac:dyDescent="0.25">
      <c r="A240" s="261"/>
      <c r="B240" s="261"/>
      <c r="C240" s="272"/>
      <c r="D240" s="261"/>
      <c r="E240" s="261"/>
    </row>
    <row r="241" spans="1:5" x14ac:dyDescent="0.25">
      <c r="A241" s="261"/>
      <c r="B241" s="261"/>
      <c r="C241" s="272"/>
      <c r="D241" s="261"/>
      <c r="E241" s="261"/>
    </row>
    <row r="242" spans="1:5" x14ac:dyDescent="0.25">
      <c r="A242" s="261"/>
      <c r="B242" s="261"/>
      <c r="C242" s="272"/>
      <c r="D242" s="261"/>
      <c r="E242" s="261"/>
    </row>
    <row r="243" spans="1:5" x14ac:dyDescent="0.25">
      <c r="A243" s="261"/>
      <c r="B243" s="261"/>
      <c r="C243" s="272"/>
      <c r="D243" s="261"/>
      <c r="E243" s="261"/>
    </row>
    <row r="244" spans="1:5" x14ac:dyDescent="0.25">
      <c r="A244" s="261"/>
      <c r="B244" s="261"/>
      <c r="C244" s="272"/>
      <c r="D244" s="261"/>
      <c r="E244" s="261"/>
    </row>
    <row r="245" spans="1:5" x14ac:dyDescent="0.25">
      <c r="A245" s="261"/>
      <c r="B245" s="261"/>
      <c r="C245" s="272"/>
      <c r="D245" s="261"/>
      <c r="E245" s="261"/>
    </row>
    <row r="246" spans="1:5" x14ac:dyDescent="0.25">
      <c r="A246" s="261"/>
      <c r="B246" s="261"/>
      <c r="C246" s="272"/>
      <c r="D246" s="261"/>
      <c r="E246" s="261"/>
    </row>
    <row r="247" spans="1:5" x14ac:dyDescent="0.25">
      <c r="A247" s="261"/>
      <c r="B247" s="261"/>
      <c r="C247" s="272"/>
      <c r="D247" s="261"/>
      <c r="E247" s="261"/>
    </row>
    <row r="248" spans="1:5" x14ac:dyDescent="0.25">
      <c r="A248" s="261"/>
      <c r="B248" s="261"/>
      <c r="C248" s="272"/>
      <c r="D248" s="261"/>
      <c r="E248" s="261"/>
    </row>
    <row r="249" spans="1:5" x14ac:dyDescent="0.25">
      <c r="A249" s="261"/>
      <c r="B249" s="261"/>
      <c r="C249" s="272"/>
      <c r="D249" s="261"/>
      <c r="E249" s="261"/>
    </row>
    <row r="250" spans="1:5" x14ac:dyDescent="0.25">
      <c r="A250" s="261"/>
      <c r="B250" s="261"/>
      <c r="C250" s="272"/>
      <c r="D250" s="261"/>
      <c r="E250" s="261"/>
    </row>
    <row r="251" spans="1:5" x14ac:dyDescent="0.25">
      <c r="A251" s="261"/>
      <c r="B251" s="261"/>
      <c r="C251" s="272"/>
      <c r="D251" s="261"/>
      <c r="E251" s="261"/>
    </row>
    <row r="252" spans="1:5" x14ac:dyDescent="0.25">
      <c r="A252" s="261"/>
      <c r="B252" s="261"/>
      <c r="C252" s="272"/>
      <c r="D252" s="261"/>
      <c r="E252" s="261"/>
    </row>
    <row r="253" spans="1:5" x14ac:dyDescent="0.25">
      <c r="A253" s="261"/>
      <c r="B253" s="261"/>
      <c r="C253" s="272"/>
      <c r="D253" s="261"/>
      <c r="E253" s="261"/>
    </row>
    <row r="254" spans="1:5" x14ac:dyDescent="0.25">
      <c r="A254" s="261"/>
      <c r="B254" s="261"/>
      <c r="C254" s="272"/>
      <c r="D254" s="261"/>
      <c r="E254" s="261"/>
    </row>
    <row r="255" spans="1:5" x14ac:dyDescent="0.25">
      <c r="A255" s="261"/>
      <c r="B255" s="261"/>
      <c r="C255" s="272"/>
      <c r="D255" s="261"/>
      <c r="E255" s="261"/>
    </row>
    <row r="256" spans="1:5" x14ac:dyDescent="0.25">
      <c r="A256" s="261"/>
      <c r="B256" s="261"/>
      <c r="C256" s="272"/>
      <c r="D256" s="261"/>
      <c r="E256" s="261"/>
    </row>
    <row r="257" spans="1:5" x14ac:dyDescent="0.25">
      <c r="A257" s="261"/>
      <c r="B257" s="261"/>
      <c r="C257" s="272"/>
      <c r="D257" s="261"/>
      <c r="E257" s="261"/>
    </row>
    <row r="258" spans="1:5" x14ac:dyDescent="0.25">
      <c r="A258" s="261"/>
      <c r="B258" s="261"/>
      <c r="C258" s="272"/>
      <c r="D258" s="261"/>
      <c r="E258" s="261"/>
    </row>
    <row r="259" spans="1:5" x14ac:dyDescent="0.25">
      <c r="A259" s="261"/>
      <c r="B259" s="261"/>
      <c r="C259" s="272"/>
      <c r="D259" s="261"/>
      <c r="E259" s="261"/>
    </row>
    <row r="260" spans="1:5" x14ac:dyDescent="0.25">
      <c r="A260" s="261"/>
      <c r="B260" s="261"/>
      <c r="C260" s="272"/>
      <c r="D260" s="261"/>
      <c r="E260" s="261"/>
    </row>
    <row r="261" spans="1:5" x14ac:dyDescent="0.25">
      <c r="A261" s="261"/>
      <c r="B261" s="261"/>
      <c r="C261" s="272"/>
      <c r="D261" s="261"/>
      <c r="E261" s="261"/>
    </row>
    <row r="262" spans="1:5" x14ac:dyDescent="0.25">
      <c r="A262" s="261"/>
      <c r="B262" s="261"/>
      <c r="C262" s="272"/>
      <c r="D262" s="261"/>
      <c r="E262" s="261"/>
    </row>
    <row r="263" spans="1:5" x14ac:dyDescent="0.25">
      <c r="A263" s="261"/>
      <c r="B263" s="261"/>
      <c r="C263" s="272"/>
      <c r="D263" s="261"/>
      <c r="E263" s="261"/>
    </row>
    <row r="264" spans="1:5" x14ac:dyDescent="0.25">
      <c r="A264" s="261"/>
      <c r="B264" s="261"/>
      <c r="C264" s="272"/>
      <c r="D264" s="261"/>
      <c r="E264" s="261"/>
    </row>
    <row r="265" spans="1:5" x14ac:dyDescent="0.25">
      <c r="A265" s="261"/>
      <c r="B265" s="261"/>
      <c r="C265" s="272"/>
      <c r="D265" s="261"/>
      <c r="E265" s="261"/>
    </row>
    <row r="266" spans="1:5" x14ac:dyDescent="0.25">
      <c r="A266" s="261"/>
      <c r="B266" s="261"/>
      <c r="C266" s="272"/>
      <c r="D266" s="261"/>
      <c r="E266" s="261"/>
    </row>
    <row r="267" spans="1:5" x14ac:dyDescent="0.25">
      <c r="A267" s="261"/>
      <c r="B267" s="261"/>
      <c r="C267" s="272"/>
      <c r="D267" s="261"/>
      <c r="E267" s="261"/>
    </row>
    <row r="268" spans="1:5" x14ac:dyDescent="0.25">
      <c r="A268" s="261"/>
      <c r="B268" s="261"/>
      <c r="C268" s="272"/>
      <c r="D268" s="261"/>
      <c r="E268" s="261"/>
    </row>
    <row r="269" spans="1:5" x14ac:dyDescent="0.25">
      <c r="A269" s="261"/>
      <c r="B269" s="261"/>
      <c r="C269" s="272"/>
      <c r="D269" s="261"/>
      <c r="E269" s="261"/>
    </row>
    <row r="270" spans="1:5" x14ac:dyDescent="0.25">
      <c r="A270" s="261"/>
      <c r="B270" s="261"/>
      <c r="C270" s="272"/>
      <c r="D270" s="261"/>
      <c r="E270" s="261"/>
    </row>
    <row r="271" spans="1:5" x14ac:dyDescent="0.25">
      <c r="A271" s="261"/>
      <c r="B271" s="261"/>
      <c r="C271" s="272"/>
      <c r="D271" s="261"/>
      <c r="E271" s="261"/>
    </row>
    <row r="272" spans="1:5" x14ac:dyDescent="0.25">
      <c r="A272" s="261"/>
      <c r="B272" s="261"/>
      <c r="C272" s="272"/>
      <c r="D272" s="261"/>
      <c r="E272" s="261"/>
    </row>
    <row r="273" spans="1:5" x14ac:dyDescent="0.25">
      <c r="A273" s="261"/>
      <c r="B273" s="261"/>
      <c r="C273" s="272"/>
      <c r="D273" s="261"/>
      <c r="E273" s="261"/>
    </row>
    <row r="274" spans="1:5" x14ac:dyDescent="0.25">
      <c r="A274" s="261"/>
      <c r="B274" s="261"/>
      <c r="C274" s="272"/>
      <c r="D274" s="261"/>
      <c r="E274" s="261"/>
    </row>
    <row r="275" spans="1:5" x14ac:dyDescent="0.25">
      <c r="A275" s="261"/>
      <c r="B275" s="261"/>
      <c r="C275" s="272"/>
      <c r="D275" s="261"/>
      <c r="E275" s="261"/>
    </row>
    <row r="276" spans="1:5" x14ac:dyDescent="0.25">
      <c r="A276" s="261"/>
      <c r="B276" s="261"/>
      <c r="C276" s="272"/>
      <c r="D276" s="261"/>
      <c r="E276" s="261"/>
    </row>
    <row r="277" spans="1:5" x14ac:dyDescent="0.25">
      <c r="A277" s="261"/>
      <c r="B277" s="261"/>
      <c r="C277" s="272"/>
      <c r="D277" s="261"/>
      <c r="E277" s="261"/>
    </row>
    <row r="278" spans="1:5" x14ac:dyDescent="0.25">
      <c r="A278" s="261"/>
      <c r="B278" s="261"/>
      <c r="C278" s="272"/>
      <c r="D278" s="261"/>
      <c r="E278" s="261"/>
    </row>
    <row r="279" spans="1:5" x14ac:dyDescent="0.25">
      <c r="A279" s="261"/>
      <c r="B279" s="261"/>
      <c r="C279" s="272"/>
      <c r="D279" s="261"/>
      <c r="E279" s="261"/>
    </row>
    <row r="280" spans="1:5" x14ac:dyDescent="0.25">
      <c r="A280" s="261"/>
      <c r="B280" s="261"/>
      <c r="C280" s="272"/>
      <c r="D280" s="261"/>
      <c r="E280" s="261"/>
    </row>
    <row r="281" spans="1:5" x14ac:dyDescent="0.25">
      <c r="A281" s="261"/>
      <c r="B281" s="261"/>
      <c r="C281" s="272"/>
      <c r="D281" s="261"/>
      <c r="E281" s="261"/>
    </row>
    <row r="282" spans="1:5" x14ac:dyDescent="0.25">
      <c r="A282" s="261"/>
      <c r="B282" s="261"/>
      <c r="C282" s="272"/>
      <c r="D282" s="261"/>
      <c r="E282" s="261"/>
    </row>
    <row r="283" spans="1:5" x14ac:dyDescent="0.25">
      <c r="A283" s="261"/>
      <c r="B283" s="261"/>
      <c r="C283" s="272"/>
      <c r="D283" s="261"/>
      <c r="E283" s="261"/>
    </row>
    <row r="284" spans="1:5" x14ac:dyDescent="0.25">
      <c r="A284" s="261"/>
      <c r="B284" s="261"/>
      <c r="C284" s="272"/>
      <c r="D284" s="261"/>
      <c r="E284" s="261"/>
    </row>
    <row r="285" spans="1:5" x14ac:dyDescent="0.25">
      <c r="A285" s="261"/>
      <c r="B285" s="261"/>
      <c r="C285" s="272"/>
      <c r="D285" s="261"/>
      <c r="E285" s="261"/>
    </row>
    <row r="286" spans="1:5" x14ac:dyDescent="0.25">
      <c r="A286" s="261"/>
      <c r="B286" s="261"/>
      <c r="C286" s="272"/>
      <c r="D286" s="261"/>
      <c r="E286" s="261"/>
    </row>
    <row r="287" spans="1:5" x14ac:dyDescent="0.25">
      <c r="A287" s="261"/>
      <c r="B287" s="261"/>
      <c r="C287" s="272"/>
      <c r="D287" s="261"/>
      <c r="E287" s="261"/>
    </row>
    <row r="288" spans="1:5" x14ac:dyDescent="0.25">
      <c r="A288" s="261"/>
      <c r="B288" s="261"/>
      <c r="C288" s="272"/>
      <c r="D288" s="261"/>
      <c r="E288" s="261"/>
    </row>
    <row r="289" spans="1:5" x14ac:dyDescent="0.25">
      <c r="A289" s="261"/>
      <c r="B289" s="261"/>
      <c r="C289" s="272"/>
      <c r="D289" s="261"/>
      <c r="E289" s="261"/>
    </row>
    <row r="290" spans="1:5" x14ac:dyDescent="0.25">
      <c r="A290" s="261"/>
      <c r="B290" s="261"/>
      <c r="C290" s="272"/>
      <c r="D290" s="261"/>
      <c r="E290" s="261"/>
    </row>
    <row r="291" spans="1:5" x14ac:dyDescent="0.25">
      <c r="A291" s="261"/>
      <c r="B291" s="261"/>
      <c r="C291" s="272"/>
      <c r="D291" s="261"/>
      <c r="E291" s="261"/>
    </row>
    <row r="292" spans="1:5" x14ac:dyDescent="0.25">
      <c r="A292" s="261"/>
      <c r="B292" s="261"/>
      <c r="C292" s="272"/>
      <c r="D292" s="261"/>
      <c r="E292" s="261"/>
    </row>
    <row r="293" spans="1:5" x14ac:dyDescent="0.25">
      <c r="A293" s="261"/>
      <c r="B293" s="261"/>
      <c r="C293" s="272"/>
      <c r="D293" s="261"/>
      <c r="E293" s="261"/>
    </row>
    <row r="294" spans="1:5" x14ac:dyDescent="0.25">
      <c r="A294" s="261"/>
      <c r="B294" s="261"/>
      <c r="C294" s="272"/>
      <c r="D294" s="261"/>
      <c r="E294" s="261"/>
    </row>
    <row r="295" spans="1:5" x14ac:dyDescent="0.25">
      <c r="A295" s="261"/>
      <c r="B295" s="261"/>
      <c r="C295" s="272"/>
      <c r="D295" s="261"/>
      <c r="E295" s="261"/>
    </row>
    <row r="296" spans="1:5" x14ac:dyDescent="0.25">
      <c r="A296" s="261"/>
      <c r="B296" s="261"/>
      <c r="C296" s="272"/>
      <c r="D296" s="261"/>
      <c r="E296" s="261"/>
    </row>
    <row r="297" spans="1:5" x14ac:dyDescent="0.25">
      <c r="A297" s="261"/>
      <c r="B297" s="261"/>
      <c r="C297" s="272"/>
      <c r="D297" s="261"/>
      <c r="E297" s="261"/>
    </row>
    <row r="298" spans="1:5" x14ac:dyDescent="0.25">
      <c r="A298" s="261"/>
      <c r="B298" s="261"/>
      <c r="C298" s="272"/>
      <c r="D298" s="261"/>
      <c r="E298" s="261"/>
    </row>
    <row r="299" spans="1:5" x14ac:dyDescent="0.25">
      <c r="A299" s="261"/>
      <c r="B299" s="261"/>
      <c r="C299" s="272"/>
      <c r="D299" s="261"/>
      <c r="E299" s="261"/>
    </row>
    <row r="300" spans="1:5" x14ac:dyDescent="0.25">
      <c r="A300" s="261"/>
      <c r="B300" s="261"/>
      <c r="C300" s="272"/>
      <c r="D300" s="261"/>
      <c r="E300" s="261"/>
    </row>
    <row r="301" spans="1:5" x14ac:dyDescent="0.25">
      <c r="A301" s="261"/>
      <c r="B301" s="261"/>
      <c r="C301" s="272"/>
      <c r="D301" s="261"/>
      <c r="E301" s="261"/>
    </row>
    <row r="302" spans="1:5" x14ac:dyDescent="0.25">
      <c r="A302" s="261"/>
      <c r="B302" s="261"/>
      <c r="C302" s="272"/>
      <c r="D302" s="261"/>
      <c r="E302" s="261"/>
    </row>
    <row r="303" spans="1:5" x14ac:dyDescent="0.25">
      <c r="A303" s="261"/>
      <c r="B303" s="261"/>
      <c r="C303" s="272"/>
      <c r="D303" s="261"/>
      <c r="E303" s="261"/>
    </row>
    <row r="304" spans="1:5" x14ac:dyDescent="0.25">
      <c r="A304" s="261"/>
      <c r="B304" s="261"/>
      <c r="C304" s="272"/>
      <c r="D304" s="261"/>
      <c r="E304" s="261"/>
    </row>
    <row r="305" spans="1:5" x14ac:dyDescent="0.25">
      <c r="A305" s="261"/>
      <c r="B305" s="261"/>
      <c r="C305" s="272"/>
      <c r="D305" s="261"/>
      <c r="E305" s="261"/>
    </row>
    <row r="306" spans="1:5" x14ac:dyDescent="0.25">
      <c r="A306" s="261"/>
      <c r="B306" s="261"/>
      <c r="C306" s="272"/>
      <c r="D306" s="261"/>
      <c r="E306" s="261"/>
    </row>
    <row r="307" spans="1:5" x14ac:dyDescent="0.25">
      <c r="A307" s="261"/>
      <c r="B307" s="261"/>
      <c r="C307" s="272"/>
      <c r="D307" s="261"/>
      <c r="E307" s="261"/>
    </row>
    <row r="308" spans="1:5" x14ac:dyDescent="0.25">
      <c r="A308" s="261"/>
      <c r="B308" s="261"/>
      <c r="C308" s="272"/>
      <c r="D308" s="261"/>
      <c r="E308" s="261"/>
    </row>
    <row r="309" spans="1:5" x14ac:dyDescent="0.25">
      <c r="A309" s="261"/>
      <c r="B309" s="261"/>
      <c r="C309" s="272"/>
      <c r="D309" s="261"/>
      <c r="E309" s="261"/>
    </row>
    <row r="310" spans="1:5" x14ac:dyDescent="0.25">
      <c r="A310" s="261"/>
      <c r="B310" s="261"/>
      <c r="C310" s="272"/>
      <c r="D310" s="261"/>
      <c r="E310" s="261"/>
    </row>
    <row r="311" spans="1:5" x14ac:dyDescent="0.25">
      <c r="A311" s="261"/>
      <c r="B311" s="261"/>
      <c r="C311" s="272"/>
      <c r="D311" s="261"/>
      <c r="E311" s="261"/>
    </row>
    <row r="312" spans="1:5" x14ac:dyDescent="0.25">
      <c r="A312" s="261"/>
      <c r="B312" s="261"/>
      <c r="C312" s="272"/>
      <c r="D312" s="261"/>
      <c r="E312" s="261"/>
    </row>
    <row r="313" spans="1:5" x14ac:dyDescent="0.25">
      <c r="A313" s="261"/>
      <c r="B313" s="261"/>
      <c r="C313" s="272"/>
      <c r="D313" s="261"/>
      <c r="E313" s="261"/>
    </row>
    <row r="314" spans="1:5" x14ac:dyDescent="0.25">
      <c r="A314" s="261"/>
      <c r="B314" s="261"/>
      <c r="C314" s="272"/>
      <c r="D314" s="261"/>
      <c r="E314" s="261"/>
    </row>
    <row r="315" spans="1:5" x14ac:dyDescent="0.25">
      <c r="A315" s="261"/>
      <c r="B315" s="261"/>
      <c r="C315" s="272"/>
      <c r="D315" s="261"/>
      <c r="E315" s="261"/>
    </row>
    <row r="316" spans="1:5" x14ac:dyDescent="0.25">
      <c r="A316" s="261"/>
      <c r="B316" s="261"/>
      <c r="C316" s="272"/>
      <c r="D316" s="261"/>
      <c r="E316" s="261"/>
    </row>
    <row r="317" spans="1:5" x14ac:dyDescent="0.25">
      <c r="A317" s="261"/>
      <c r="B317" s="261"/>
      <c r="C317" s="272"/>
      <c r="D317" s="261"/>
      <c r="E317" s="261"/>
    </row>
    <row r="318" spans="1:5" x14ac:dyDescent="0.25">
      <c r="A318" s="261"/>
      <c r="B318" s="261"/>
      <c r="C318" s="272"/>
      <c r="D318" s="261"/>
      <c r="E318" s="261"/>
    </row>
    <row r="319" spans="1:5" x14ac:dyDescent="0.25">
      <c r="A319" s="261"/>
      <c r="B319" s="261"/>
      <c r="C319" s="272"/>
      <c r="D319" s="261"/>
      <c r="E319" s="261"/>
    </row>
    <row r="320" spans="1:5" x14ac:dyDescent="0.25">
      <c r="A320" s="261"/>
      <c r="B320" s="261"/>
      <c r="C320" s="272"/>
      <c r="D320" s="261"/>
      <c r="E320" s="261"/>
    </row>
    <row r="321" spans="1:5" x14ac:dyDescent="0.25">
      <c r="A321" s="261"/>
      <c r="B321" s="261"/>
      <c r="C321" s="272"/>
      <c r="D321" s="261"/>
      <c r="E321" s="261"/>
    </row>
    <row r="322" spans="1:5" x14ac:dyDescent="0.25">
      <c r="A322" s="261"/>
      <c r="B322" s="261"/>
      <c r="C322" s="272"/>
      <c r="D322" s="261"/>
      <c r="E322" s="261"/>
    </row>
    <row r="323" spans="1:5" x14ac:dyDescent="0.25">
      <c r="A323" s="261"/>
      <c r="B323" s="261"/>
      <c r="C323" s="272"/>
      <c r="D323" s="261"/>
      <c r="E323" s="261"/>
    </row>
    <row r="324" spans="1:5" x14ac:dyDescent="0.25">
      <c r="A324" s="261"/>
      <c r="B324" s="261"/>
      <c r="C324" s="272"/>
      <c r="D324" s="261"/>
      <c r="E324" s="261"/>
    </row>
    <row r="325" spans="1:5" x14ac:dyDescent="0.25">
      <c r="A325" s="261"/>
      <c r="B325" s="261"/>
      <c r="C325" s="272"/>
      <c r="D325" s="261"/>
      <c r="E325" s="261"/>
    </row>
    <row r="326" spans="1:5" x14ac:dyDescent="0.25">
      <c r="A326" s="261"/>
      <c r="B326" s="261"/>
      <c r="C326" s="272"/>
      <c r="D326" s="261"/>
      <c r="E326" s="261"/>
    </row>
    <row r="327" spans="1:5" x14ac:dyDescent="0.25">
      <c r="A327" s="261"/>
      <c r="B327" s="261"/>
      <c r="C327" s="272"/>
      <c r="D327" s="261"/>
      <c r="E327" s="261"/>
    </row>
    <row r="328" spans="1:5" x14ac:dyDescent="0.25">
      <c r="A328" s="261"/>
      <c r="B328" s="261"/>
      <c r="C328" s="272"/>
      <c r="D328" s="261"/>
      <c r="E328" s="261"/>
    </row>
    <row r="329" spans="1:5" x14ac:dyDescent="0.25">
      <c r="A329" s="261"/>
      <c r="B329" s="261"/>
      <c r="C329" s="272"/>
      <c r="D329" s="261"/>
      <c r="E329" s="261"/>
    </row>
    <row r="330" spans="1:5" x14ac:dyDescent="0.25">
      <c r="A330" s="261"/>
      <c r="B330" s="261"/>
      <c r="C330" s="272"/>
      <c r="D330" s="261"/>
      <c r="E330" s="261"/>
    </row>
    <row r="331" spans="1:5" x14ac:dyDescent="0.25">
      <c r="A331" s="261"/>
      <c r="B331" s="261"/>
      <c r="C331" s="272"/>
      <c r="D331" s="261"/>
      <c r="E331" s="261"/>
    </row>
    <row r="332" spans="1:5" x14ac:dyDescent="0.25">
      <c r="A332" s="261"/>
      <c r="B332" s="261"/>
      <c r="C332" s="272"/>
      <c r="D332" s="261"/>
      <c r="E332" s="261"/>
    </row>
    <row r="333" spans="1:5" x14ac:dyDescent="0.25">
      <c r="A333" s="261"/>
      <c r="B333" s="261"/>
      <c r="C333" s="272"/>
      <c r="D333" s="261"/>
      <c r="E333" s="261"/>
    </row>
    <row r="334" spans="1:5" x14ac:dyDescent="0.25">
      <c r="A334" s="261"/>
      <c r="B334" s="261"/>
      <c r="C334" s="272"/>
      <c r="D334" s="261"/>
      <c r="E334" s="261"/>
    </row>
    <row r="335" spans="1:5" x14ac:dyDescent="0.25">
      <c r="A335" s="261"/>
      <c r="B335" s="261"/>
      <c r="C335" s="272"/>
      <c r="D335" s="261"/>
      <c r="E335" s="261"/>
    </row>
    <row r="336" spans="1:5" x14ac:dyDescent="0.25">
      <c r="A336" s="261"/>
      <c r="B336" s="261"/>
      <c r="C336" s="272"/>
      <c r="D336" s="261"/>
      <c r="E336" s="261"/>
    </row>
    <row r="337" spans="1:5" x14ac:dyDescent="0.25">
      <c r="A337" s="261"/>
      <c r="B337" s="261"/>
      <c r="C337" s="272"/>
      <c r="D337" s="261"/>
      <c r="E337" s="261"/>
    </row>
    <row r="338" spans="1:5" x14ac:dyDescent="0.25">
      <c r="A338" s="261"/>
      <c r="B338" s="261"/>
      <c r="C338" s="272"/>
      <c r="D338" s="261"/>
      <c r="E338" s="261"/>
    </row>
    <row r="339" spans="1:5" x14ac:dyDescent="0.25">
      <c r="A339" s="261"/>
      <c r="B339" s="261"/>
      <c r="C339" s="272"/>
      <c r="D339" s="261"/>
      <c r="E339" s="261"/>
    </row>
    <row r="340" spans="1:5" x14ac:dyDescent="0.25">
      <c r="A340" s="261"/>
      <c r="B340" s="261"/>
      <c r="C340" s="272"/>
      <c r="D340" s="261"/>
      <c r="E340" s="261"/>
    </row>
    <row r="341" spans="1:5" x14ac:dyDescent="0.25">
      <c r="A341" s="261"/>
      <c r="B341" s="261"/>
      <c r="C341" s="272"/>
      <c r="D341" s="261"/>
      <c r="E341" s="261"/>
    </row>
    <row r="342" spans="1:5" x14ac:dyDescent="0.25">
      <c r="A342" s="261"/>
      <c r="B342" s="261"/>
      <c r="C342" s="272"/>
      <c r="D342" s="261"/>
      <c r="E342" s="261"/>
    </row>
    <row r="343" spans="1:5" x14ac:dyDescent="0.25">
      <c r="A343" s="261"/>
      <c r="B343" s="261"/>
      <c r="C343" s="272"/>
      <c r="D343" s="261"/>
      <c r="E343" s="261"/>
    </row>
    <row r="344" spans="1:5" x14ac:dyDescent="0.25">
      <c r="A344" s="261"/>
      <c r="B344" s="261"/>
      <c r="C344" s="272"/>
      <c r="D344" s="261"/>
      <c r="E344" s="261"/>
    </row>
    <row r="345" spans="1:5" x14ac:dyDescent="0.25">
      <c r="A345" s="261"/>
      <c r="B345" s="261"/>
      <c r="C345" s="272"/>
      <c r="D345" s="261"/>
      <c r="E345" s="261"/>
    </row>
    <row r="346" spans="1:5" x14ac:dyDescent="0.25">
      <c r="A346" s="261"/>
      <c r="B346" s="261"/>
      <c r="C346" s="272"/>
      <c r="D346" s="261"/>
      <c r="E346" s="261"/>
    </row>
    <row r="347" spans="1:5" x14ac:dyDescent="0.25">
      <c r="A347" s="261"/>
      <c r="B347" s="261"/>
      <c r="C347" s="272"/>
      <c r="D347" s="261"/>
      <c r="E347" s="261"/>
    </row>
    <row r="348" spans="1:5" x14ac:dyDescent="0.25">
      <c r="A348" s="261"/>
      <c r="B348" s="261"/>
      <c r="C348" s="272"/>
      <c r="D348" s="261"/>
      <c r="E348" s="261"/>
    </row>
    <row r="349" spans="1:5" x14ac:dyDescent="0.25">
      <c r="A349" s="261"/>
      <c r="B349" s="261"/>
      <c r="C349" s="272"/>
      <c r="D349" s="261"/>
      <c r="E349" s="261"/>
    </row>
    <row r="350" spans="1:5" x14ac:dyDescent="0.25">
      <c r="A350" s="261"/>
      <c r="B350" s="261"/>
      <c r="C350" s="272"/>
      <c r="D350" s="261"/>
      <c r="E350" s="261"/>
    </row>
    <row r="351" spans="1:5" x14ac:dyDescent="0.25">
      <c r="A351" s="261"/>
      <c r="B351" s="261"/>
      <c r="C351" s="272"/>
      <c r="D351" s="261"/>
      <c r="E351" s="261"/>
    </row>
    <row r="352" spans="1:5" x14ac:dyDescent="0.25">
      <c r="A352" s="261"/>
      <c r="B352" s="261"/>
      <c r="C352" s="272"/>
      <c r="D352" s="261"/>
      <c r="E352" s="261"/>
    </row>
    <row r="353" spans="1:5" x14ac:dyDescent="0.25">
      <c r="A353" s="261"/>
      <c r="B353" s="261"/>
      <c r="C353" s="272"/>
      <c r="D353" s="261"/>
      <c r="E353" s="261"/>
    </row>
    <row r="354" spans="1:5" x14ac:dyDescent="0.25">
      <c r="A354" s="261"/>
      <c r="B354" s="261"/>
      <c r="C354" s="272"/>
      <c r="D354" s="261"/>
      <c r="E354" s="261"/>
    </row>
    <row r="355" spans="1:5" x14ac:dyDescent="0.25">
      <c r="A355" s="261"/>
      <c r="B355" s="261"/>
      <c r="C355" s="272"/>
      <c r="D355" s="261"/>
      <c r="E355" s="261"/>
    </row>
    <row r="356" spans="1:5" x14ac:dyDescent="0.25">
      <c r="A356" s="261"/>
      <c r="B356" s="261"/>
      <c r="C356" s="272"/>
      <c r="D356" s="261"/>
      <c r="E356" s="261"/>
    </row>
    <row r="357" spans="1:5" x14ac:dyDescent="0.25">
      <c r="A357" s="261"/>
      <c r="B357" s="261"/>
      <c r="C357" s="272"/>
      <c r="D357" s="261"/>
      <c r="E357" s="261"/>
    </row>
    <row r="358" spans="1:5" x14ac:dyDescent="0.25">
      <c r="A358" s="261"/>
      <c r="B358" s="261"/>
      <c r="C358" s="272"/>
      <c r="D358" s="261"/>
      <c r="E358" s="261"/>
    </row>
    <row r="359" spans="1:5" x14ac:dyDescent="0.25">
      <c r="A359" s="261"/>
      <c r="B359" s="261"/>
      <c r="C359" s="272"/>
      <c r="D359" s="261"/>
      <c r="E359" s="261"/>
    </row>
    <row r="360" spans="1:5" x14ac:dyDescent="0.25">
      <c r="A360" s="261"/>
      <c r="B360" s="261"/>
      <c r="C360" s="272"/>
      <c r="D360" s="261"/>
      <c r="E360" s="261"/>
    </row>
    <row r="361" spans="1:5" x14ac:dyDescent="0.25">
      <c r="A361" s="261"/>
      <c r="B361" s="261"/>
      <c r="C361" s="272"/>
      <c r="D361" s="261"/>
      <c r="E361" s="261"/>
    </row>
    <row r="362" spans="1:5" x14ac:dyDescent="0.25">
      <c r="A362" s="261"/>
      <c r="B362" s="261"/>
      <c r="C362" s="272"/>
      <c r="D362" s="261"/>
      <c r="E362" s="261"/>
    </row>
    <row r="363" spans="1:5" x14ac:dyDescent="0.25">
      <c r="A363" s="261"/>
      <c r="B363" s="261"/>
      <c r="C363" s="272"/>
      <c r="D363" s="261"/>
      <c r="E363" s="261"/>
    </row>
    <row r="364" spans="1:5" x14ac:dyDescent="0.25">
      <c r="A364" s="261"/>
      <c r="B364" s="261"/>
      <c r="C364" s="272"/>
      <c r="D364" s="261"/>
      <c r="E364" s="261"/>
    </row>
    <row r="365" spans="1:5" x14ac:dyDescent="0.25">
      <c r="A365" s="261"/>
      <c r="B365" s="261"/>
      <c r="C365" s="272"/>
      <c r="D365" s="261"/>
      <c r="E365" s="261"/>
    </row>
    <row r="366" spans="1:5" x14ac:dyDescent="0.25">
      <c r="A366" s="261"/>
      <c r="B366" s="261"/>
      <c r="C366" s="272"/>
      <c r="D366" s="261"/>
      <c r="E366" s="261"/>
    </row>
    <row r="367" spans="1:5" x14ac:dyDescent="0.25">
      <c r="A367" s="261"/>
      <c r="B367" s="261"/>
      <c r="C367" s="272"/>
      <c r="D367" s="261"/>
      <c r="E367" s="261"/>
    </row>
    <row r="368" spans="1:5" x14ac:dyDescent="0.25">
      <c r="A368" s="261"/>
      <c r="B368" s="261"/>
      <c r="C368" s="272"/>
      <c r="D368" s="261"/>
      <c r="E368" s="261"/>
    </row>
    <row r="369" spans="1:5" x14ac:dyDescent="0.25">
      <c r="A369" s="261"/>
      <c r="B369" s="261"/>
      <c r="C369" s="272"/>
      <c r="D369" s="261"/>
      <c r="E369" s="261"/>
    </row>
    <row r="370" spans="1:5" x14ac:dyDescent="0.25">
      <c r="A370" s="261"/>
      <c r="B370" s="261"/>
      <c r="C370" s="272"/>
      <c r="D370" s="261"/>
      <c r="E370" s="261"/>
    </row>
    <row r="371" spans="1:5" x14ac:dyDescent="0.25">
      <c r="A371" s="261"/>
      <c r="B371" s="261"/>
      <c r="C371" s="272"/>
      <c r="D371" s="261"/>
      <c r="E371" s="261"/>
    </row>
    <row r="372" spans="1:5" x14ac:dyDescent="0.25">
      <c r="A372" s="261"/>
      <c r="B372" s="261"/>
      <c r="C372" s="272"/>
      <c r="D372" s="261"/>
      <c r="E372" s="261"/>
    </row>
    <row r="373" spans="1:5" x14ac:dyDescent="0.25">
      <c r="A373" s="261"/>
      <c r="B373" s="261"/>
      <c r="C373" s="272"/>
      <c r="D373" s="261"/>
      <c r="E373" s="261"/>
    </row>
    <row r="374" spans="1:5" x14ac:dyDescent="0.25">
      <c r="A374" s="261"/>
      <c r="B374" s="261"/>
      <c r="C374" s="272"/>
      <c r="D374" s="261"/>
      <c r="E374" s="261"/>
    </row>
    <row r="375" spans="1:5" x14ac:dyDescent="0.25">
      <c r="A375" s="261"/>
      <c r="B375" s="261"/>
      <c r="C375" s="272"/>
      <c r="D375" s="261"/>
      <c r="E375" s="261"/>
    </row>
    <row r="376" spans="1:5" x14ac:dyDescent="0.25">
      <c r="A376" s="261"/>
      <c r="B376" s="261"/>
      <c r="C376" s="272"/>
      <c r="D376" s="261"/>
      <c r="E376" s="261"/>
    </row>
    <row r="377" spans="1:5" x14ac:dyDescent="0.25">
      <c r="A377" s="261"/>
      <c r="B377" s="261"/>
      <c r="C377" s="272"/>
      <c r="D377" s="261"/>
      <c r="E377" s="261"/>
    </row>
    <row r="378" spans="1:5" x14ac:dyDescent="0.25">
      <c r="A378" s="261"/>
      <c r="B378" s="261"/>
      <c r="C378" s="272"/>
      <c r="D378" s="261"/>
      <c r="E378" s="261"/>
    </row>
    <row r="379" spans="1:5" x14ac:dyDescent="0.25">
      <c r="A379" s="261"/>
      <c r="B379" s="261"/>
      <c r="C379" s="272"/>
      <c r="D379" s="261"/>
      <c r="E379" s="261"/>
    </row>
    <row r="380" spans="1:5" x14ac:dyDescent="0.25">
      <c r="A380" s="261"/>
      <c r="B380" s="261"/>
      <c r="C380" s="272"/>
      <c r="D380" s="261"/>
      <c r="E380" s="261"/>
    </row>
    <row r="381" spans="1:5" x14ac:dyDescent="0.25">
      <c r="A381" s="261"/>
      <c r="B381" s="261"/>
      <c r="C381" s="272"/>
      <c r="D381" s="261"/>
      <c r="E381" s="261"/>
    </row>
    <row r="382" spans="1:5" x14ac:dyDescent="0.25">
      <c r="A382" s="261"/>
      <c r="B382" s="261"/>
      <c r="C382" s="272"/>
      <c r="D382" s="261"/>
      <c r="E382" s="261"/>
    </row>
    <row r="383" spans="1:5" x14ac:dyDescent="0.25">
      <c r="A383" s="261"/>
      <c r="B383" s="261"/>
      <c r="C383" s="272"/>
      <c r="D383" s="261"/>
      <c r="E383" s="261"/>
    </row>
    <row r="384" spans="1:5" x14ac:dyDescent="0.25">
      <c r="A384" s="261"/>
      <c r="B384" s="261"/>
      <c r="C384" s="272"/>
      <c r="D384" s="261"/>
      <c r="E384" s="261"/>
    </row>
    <row r="385" spans="1:5" x14ac:dyDescent="0.25">
      <c r="A385" s="261"/>
      <c r="B385" s="261"/>
      <c r="C385" s="272"/>
      <c r="D385" s="261"/>
      <c r="E385" s="261"/>
    </row>
    <row r="386" spans="1:5" x14ac:dyDescent="0.25">
      <c r="A386" s="261"/>
      <c r="B386" s="261"/>
      <c r="C386" s="272"/>
      <c r="D386" s="261"/>
      <c r="E386" s="261"/>
    </row>
    <row r="387" spans="1:5" x14ac:dyDescent="0.25">
      <c r="A387" s="261"/>
      <c r="B387" s="261"/>
      <c r="C387" s="272"/>
      <c r="D387" s="261"/>
      <c r="E387" s="261"/>
    </row>
    <row r="388" spans="1:5" x14ac:dyDescent="0.25">
      <c r="A388" s="261"/>
      <c r="B388" s="261"/>
      <c r="C388" s="272"/>
      <c r="D388" s="261"/>
      <c r="E388" s="261"/>
    </row>
    <row r="389" spans="1:5" x14ac:dyDescent="0.25">
      <c r="A389" s="261"/>
      <c r="B389" s="261"/>
      <c r="C389" s="272"/>
      <c r="D389" s="261"/>
      <c r="E389" s="261"/>
    </row>
    <row r="390" spans="1:5" x14ac:dyDescent="0.25">
      <c r="A390" s="261"/>
      <c r="B390" s="261"/>
      <c r="C390" s="272"/>
      <c r="D390" s="261"/>
      <c r="E390" s="261"/>
    </row>
    <row r="391" spans="1:5" x14ac:dyDescent="0.25">
      <c r="A391" s="261"/>
      <c r="B391" s="261"/>
      <c r="C391" s="272"/>
      <c r="D391" s="261"/>
      <c r="E391" s="261"/>
    </row>
    <row r="392" spans="1:5" x14ac:dyDescent="0.25">
      <c r="A392" s="261"/>
      <c r="B392" s="261"/>
      <c r="C392" s="272"/>
      <c r="D392" s="261"/>
      <c r="E392" s="261"/>
    </row>
    <row r="393" spans="1:5" x14ac:dyDescent="0.25">
      <c r="A393" s="261"/>
      <c r="B393" s="261"/>
      <c r="C393" s="272"/>
      <c r="D393" s="261"/>
      <c r="E393" s="261"/>
    </row>
    <row r="394" spans="1:5" x14ac:dyDescent="0.25">
      <c r="A394" s="261"/>
      <c r="B394" s="261"/>
      <c r="C394" s="272"/>
      <c r="D394" s="261"/>
      <c r="E394" s="261"/>
    </row>
    <row r="395" spans="1:5" x14ac:dyDescent="0.25">
      <c r="A395" s="261"/>
      <c r="B395" s="261"/>
      <c r="C395" s="272"/>
      <c r="D395" s="261"/>
      <c r="E395" s="261"/>
    </row>
    <row r="396" spans="1:5" x14ac:dyDescent="0.25">
      <c r="A396" s="261"/>
      <c r="B396" s="261"/>
      <c r="C396" s="272"/>
      <c r="D396" s="261"/>
      <c r="E396" s="261"/>
    </row>
    <row r="397" spans="1:5" x14ac:dyDescent="0.25">
      <c r="A397" s="261"/>
      <c r="B397" s="261"/>
      <c r="C397" s="272"/>
      <c r="D397" s="261"/>
      <c r="E397" s="261"/>
    </row>
    <row r="398" spans="1:5" x14ac:dyDescent="0.25">
      <c r="A398" s="261"/>
      <c r="B398" s="261"/>
      <c r="C398" s="272"/>
      <c r="D398" s="261"/>
      <c r="E398" s="261"/>
    </row>
    <row r="399" spans="1:5" x14ac:dyDescent="0.25">
      <c r="A399" s="261"/>
      <c r="B399" s="261"/>
      <c r="C399" s="272"/>
      <c r="D399" s="261"/>
      <c r="E399" s="261"/>
    </row>
    <row r="400" spans="1:5" x14ac:dyDescent="0.25">
      <c r="A400" s="261"/>
      <c r="B400" s="261"/>
      <c r="C400" s="272"/>
      <c r="D400" s="261"/>
      <c r="E400" s="261"/>
    </row>
    <row r="401" spans="1:5" x14ac:dyDescent="0.25">
      <c r="A401" s="261"/>
      <c r="B401" s="261"/>
      <c r="C401" s="272"/>
      <c r="D401" s="261"/>
      <c r="E401" s="261"/>
    </row>
    <row r="402" spans="1:5" x14ac:dyDescent="0.25">
      <c r="A402" s="261"/>
      <c r="B402" s="261"/>
      <c r="C402" s="272"/>
      <c r="D402" s="261"/>
      <c r="E402" s="261"/>
    </row>
    <row r="403" spans="1:5" x14ac:dyDescent="0.25">
      <c r="A403" s="261"/>
      <c r="B403" s="261"/>
      <c r="C403" s="272"/>
      <c r="D403" s="261"/>
      <c r="E403" s="261"/>
    </row>
    <row r="404" spans="1:5" x14ac:dyDescent="0.25">
      <c r="A404" s="261"/>
      <c r="B404" s="261"/>
      <c r="C404" s="272"/>
      <c r="D404" s="261"/>
      <c r="E404" s="261"/>
    </row>
    <row r="405" spans="1:5" x14ac:dyDescent="0.25">
      <c r="A405" s="261"/>
      <c r="B405" s="261"/>
      <c r="C405" s="272"/>
      <c r="D405" s="261"/>
      <c r="E405" s="261"/>
    </row>
    <row r="406" spans="1:5" x14ac:dyDescent="0.25">
      <c r="A406" s="261"/>
      <c r="B406" s="261"/>
      <c r="C406" s="272"/>
      <c r="D406" s="261"/>
      <c r="E406" s="261"/>
    </row>
    <row r="407" spans="1:5" x14ac:dyDescent="0.25">
      <c r="A407" s="261"/>
      <c r="B407" s="261"/>
      <c r="C407" s="272"/>
      <c r="D407" s="261"/>
      <c r="E407" s="261"/>
    </row>
    <row r="408" spans="1:5" x14ac:dyDescent="0.25">
      <c r="A408" s="261"/>
      <c r="B408" s="261"/>
      <c r="C408" s="272"/>
      <c r="D408" s="261"/>
      <c r="E408" s="261"/>
    </row>
    <row r="409" spans="1:5" x14ac:dyDescent="0.25">
      <c r="A409" s="261"/>
      <c r="B409" s="261"/>
      <c r="C409" s="272"/>
      <c r="D409" s="261"/>
      <c r="E409" s="261"/>
    </row>
    <row r="410" spans="1:5" x14ac:dyDescent="0.25">
      <c r="A410" s="261"/>
      <c r="B410" s="261"/>
      <c r="C410" s="272"/>
      <c r="D410" s="261"/>
      <c r="E410" s="261"/>
    </row>
    <row r="411" spans="1:5" x14ac:dyDescent="0.25">
      <c r="A411" s="261"/>
      <c r="B411" s="261"/>
      <c r="C411" s="272"/>
      <c r="D411" s="261"/>
      <c r="E411" s="261"/>
    </row>
    <row r="412" spans="1:5" x14ac:dyDescent="0.25">
      <c r="A412" s="261"/>
      <c r="B412" s="261"/>
      <c r="C412" s="272"/>
      <c r="D412" s="261"/>
      <c r="E412" s="261"/>
    </row>
    <row r="413" spans="1:5" x14ac:dyDescent="0.25">
      <c r="A413" s="261"/>
      <c r="B413" s="261"/>
      <c r="C413" s="272"/>
      <c r="D413" s="261"/>
      <c r="E413" s="261"/>
    </row>
    <row r="414" spans="1:5" x14ac:dyDescent="0.25">
      <c r="A414" s="261"/>
      <c r="B414" s="261"/>
      <c r="C414" s="272"/>
      <c r="D414" s="261"/>
      <c r="E414" s="261"/>
    </row>
    <row r="415" spans="1:5" x14ac:dyDescent="0.25">
      <c r="A415" s="261"/>
      <c r="B415" s="261"/>
      <c r="C415" s="272"/>
      <c r="D415" s="261"/>
      <c r="E415" s="261"/>
    </row>
    <row r="416" spans="1:5" x14ac:dyDescent="0.25">
      <c r="A416" s="261"/>
      <c r="B416" s="261"/>
      <c r="C416" s="272"/>
      <c r="D416" s="261"/>
      <c r="E416" s="261"/>
    </row>
    <row r="417" spans="1:5" x14ac:dyDescent="0.25">
      <c r="A417" s="261"/>
      <c r="B417" s="261"/>
      <c r="C417" s="272"/>
      <c r="D417" s="261"/>
      <c r="E417" s="261"/>
    </row>
    <row r="418" spans="1:5" x14ac:dyDescent="0.25">
      <c r="A418" s="261"/>
      <c r="B418" s="261"/>
      <c r="C418" s="272"/>
      <c r="D418" s="261"/>
      <c r="E418" s="261"/>
    </row>
    <row r="419" spans="1:5" x14ac:dyDescent="0.25">
      <c r="A419" s="261"/>
      <c r="B419" s="261"/>
      <c r="C419" s="272"/>
      <c r="D419" s="261"/>
      <c r="E419" s="261"/>
    </row>
    <row r="420" spans="1:5" x14ac:dyDescent="0.25">
      <c r="A420" s="261"/>
      <c r="B420" s="261"/>
      <c r="C420" s="272"/>
      <c r="D420" s="261"/>
      <c r="E420" s="261"/>
    </row>
    <row r="421" spans="1:5" x14ac:dyDescent="0.25">
      <c r="A421" s="261"/>
      <c r="B421" s="261"/>
      <c r="C421" s="272"/>
      <c r="D421" s="261"/>
      <c r="E421" s="261"/>
    </row>
    <row r="422" spans="1:5" x14ac:dyDescent="0.25">
      <c r="A422" s="261"/>
      <c r="B422" s="261"/>
      <c r="C422" s="272"/>
      <c r="D422" s="261"/>
      <c r="E422" s="261"/>
    </row>
    <row r="423" spans="1:5" x14ac:dyDescent="0.25">
      <c r="A423" s="261"/>
      <c r="B423" s="261"/>
      <c r="C423" s="272"/>
      <c r="D423" s="261"/>
      <c r="E423" s="261"/>
    </row>
    <row r="424" spans="1:5" x14ac:dyDescent="0.25">
      <c r="A424" s="261"/>
      <c r="B424" s="261"/>
      <c r="C424" s="272"/>
      <c r="D424" s="261"/>
      <c r="E424" s="261"/>
    </row>
    <row r="425" spans="1:5" x14ac:dyDescent="0.25">
      <c r="A425" s="261"/>
      <c r="B425" s="261"/>
      <c r="C425" s="272"/>
      <c r="D425" s="261"/>
      <c r="E425" s="261"/>
    </row>
    <row r="426" spans="1:5" x14ac:dyDescent="0.25">
      <c r="A426" s="261"/>
      <c r="B426" s="261"/>
      <c r="C426" s="272"/>
      <c r="D426" s="261"/>
      <c r="E426" s="261"/>
    </row>
    <row r="427" spans="1:5" x14ac:dyDescent="0.25">
      <c r="A427" s="261"/>
      <c r="B427" s="261"/>
      <c r="C427" s="272"/>
      <c r="D427" s="261"/>
      <c r="E427" s="261"/>
    </row>
    <row r="428" spans="1:5" x14ac:dyDescent="0.25">
      <c r="A428" s="261"/>
      <c r="B428" s="261"/>
      <c r="C428" s="272"/>
      <c r="D428" s="261"/>
      <c r="E428" s="261"/>
    </row>
    <row r="429" spans="1:5" x14ac:dyDescent="0.25">
      <c r="A429" s="261"/>
      <c r="B429" s="261"/>
      <c r="C429" s="272"/>
      <c r="D429" s="261"/>
      <c r="E429" s="261"/>
    </row>
    <row r="430" spans="1:5" x14ac:dyDescent="0.25">
      <c r="A430" s="261"/>
      <c r="B430" s="261"/>
      <c r="C430" s="272"/>
      <c r="D430" s="261"/>
      <c r="E430" s="261"/>
    </row>
    <row r="431" spans="1:5" x14ac:dyDescent="0.25">
      <c r="A431" s="261"/>
      <c r="B431" s="261"/>
      <c r="C431" s="272"/>
      <c r="D431" s="261"/>
      <c r="E431" s="261"/>
    </row>
    <row r="432" spans="1:5" x14ac:dyDescent="0.25">
      <c r="A432" s="261"/>
      <c r="B432" s="261"/>
      <c r="C432" s="272"/>
      <c r="D432" s="261"/>
      <c r="E432" s="261"/>
    </row>
    <row r="433" spans="1:5" x14ac:dyDescent="0.25">
      <c r="A433" s="261"/>
      <c r="B433" s="261"/>
      <c r="C433" s="272"/>
      <c r="D433" s="261"/>
      <c r="E433" s="261"/>
    </row>
    <row r="434" spans="1:5" x14ac:dyDescent="0.25">
      <c r="A434" s="261"/>
      <c r="B434" s="261"/>
      <c r="C434" s="272"/>
      <c r="D434" s="261"/>
      <c r="E434" s="261"/>
    </row>
    <row r="435" spans="1:5" x14ac:dyDescent="0.25">
      <c r="A435" s="261"/>
      <c r="B435" s="261"/>
      <c r="C435" s="272"/>
      <c r="D435" s="261"/>
      <c r="E435" s="261"/>
    </row>
    <row r="436" spans="1:5" x14ac:dyDescent="0.25">
      <c r="A436" s="261"/>
      <c r="B436" s="261"/>
      <c r="C436" s="272"/>
      <c r="D436" s="261"/>
      <c r="E436" s="261"/>
    </row>
    <row r="437" spans="1:5" x14ac:dyDescent="0.25">
      <c r="A437" s="261"/>
      <c r="B437" s="261"/>
      <c r="C437" s="272"/>
      <c r="D437" s="261"/>
      <c r="E437" s="261"/>
    </row>
    <row r="438" spans="1:5" x14ac:dyDescent="0.25">
      <c r="A438" s="261"/>
      <c r="B438" s="261"/>
      <c r="C438" s="272"/>
      <c r="D438" s="261"/>
      <c r="E438" s="261"/>
    </row>
    <row r="439" spans="1:5" x14ac:dyDescent="0.25">
      <c r="A439" s="261"/>
      <c r="B439" s="261"/>
      <c r="C439" s="272"/>
      <c r="D439" s="261"/>
      <c r="E439" s="261"/>
    </row>
    <row r="440" spans="1:5" x14ac:dyDescent="0.25">
      <c r="A440" s="261"/>
      <c r="B440" s="261"/>
      <c r="C440" s="272"/>
      <c r="D440" s="261"/>
      <c r="E440" s="261"/>
    </row>
    <row r="441" spans="1:5" x14ac:dyDescent="0.25">
      <c r="A441" s="261"/>
      <c r="B441" s="261"/>
      <c r="C441" s="272"/>
      <c r="D441" s="261"/>
      <c r="E441" s="261"/>
    </row>
    <row r="442" spans="1:5" x14ac:dyDescent="0.25">
      <c r="A442" s="261"/>
      <c r="B442" s="261"/>
      <c r="C442" s="272"/>
      <c r="D442" s="261"/>
      <c r="E442" s="261"/>
    </row>
    <row r="443" spans="1:5" x14ac:dyDescent="0.25">
      <c r="A443" s="261"/>
      <c r="B443" s="261"/>
      <c r="C443" s="272"/>
      <c r="D443" s="261"/>
      <c r="E443" s="261"/>
    </row>
    <row r="444" spans="1:5" x14ac:dyDescent="0.25">
      <c r="A444" s="261"/>
      <c r="B444" s="261"/>
      <c r="C444" s="272"/>
      <c r="D444" s="261"/>
      <c r="E444" s="261"/>
    </row>
    <row r="445" spans="1:5" x14ac:dyDescent="0.25">
      <c r="A445" s="261"/>
      <c r="B445" s="261"/>
      <c r="C445" s="272"/>
      <c r="D445" s="261"/>
      <c r="E445" s="261"/>
    </row>
    <row r="446" spans="1:5" x14ac:dyDescent="0.25">
      <c r="A446" s="261"/>
      <c r="B446" s="261"/>
      <c r="C446" s="272"/>
      <c r="D446" s="261"/>
      <c r="E446" s="261"/>
    </row>
    <row r="447" spans="1:5" x14ac:dyDescent="0.25">
      <c r="A447" s="261"/>
      <c r="B447" s="261"/>
      <c r="C447" s="272"/>
      <c r="D447" s="261"/>
      <c r="E447" s="261"/>
    </row>
    <row r="448" spans="1:5" x14ac:dyDescent="0.25">
      <c r="A448" s="261"/>
      <c r="B448" s="261"/>
      <c r="C448" s="272"/>
      <c r="D448" s="261"/>
      <c r="E448" s="261"/>
    </row>
    <row r="449" spans="1:5" x14ac:dyDescent="0.25">
      <c r="A449" s="261"/>
      <c r="B449" s="261"/>
      <c r="C449" s="272"/>
      <c r="D449" s="261"/>
      <c r="E449" s="261"/>
    </row>
    <row r="450" spans="1:5" x14ac:dyDescent="0.25">
      <c r="A450" s="261"/>
      <c r="B450" s="261"/>
      <c r="C450" s="272"/>
      <c r="D450" s="261"/>
      <c r="E450" s="261"/>
    </row>
    <row r="451" spans="1:5" x14ac:dyDescent="0.25">
      <c r="A451" s="261"/>
      <c r="B451" s="261"/>
      <c r="C451" s="272"/>
      <c r="D451" s="261"/>
      <c r="E451" s="261"/>
    </row>
    <row r="452" spans="1:5" x14ac:dyDescent="0.25">
      <c r="A452" s="261"/>
      <c r="B452" s="261"/>
      <c r="C452" s="272"/>
      <c r="D452" s="261"/>
      <c r="E452" s="261"/>
    </row>
    <row r="453" spans="1:5" x14ac:dyDescent="0.25">
      <c r="A453" s="261"/>
      <c r="B453" s="261"/>
      <c r="C453" s="272"/>
      <c r="D453" s="261"/>
      <c r="E453" s="261"/>
    </row>
    <row r="454" spans="1:5" x14ac:dyDescent="0.25">
      <c r="A454" s="261"/>
      <c r="B454" s="261"/>
      <c r="C454" s="272"/>
      <c r="D454" s="261"/>
      <c r="E454" s="261"/>
    </row>
    <row r="455" spans="1:5" x14ac:dyDescent="0.25">
      <c r="A455" s="261"/>
      <c r="B455" s="261"/>
      <c r="C455" s="272"/>
      <c r="D455" s="261"/>
      <c r="E455" s="261"/>
    </row>
    <row r="456" spans="1:5" x14ac:dyDescent="0.25">
      <c r="A456" s="261"/>
      <c r="B456" s="261"/>
      <c r="C456" s="272"/>
      <c r="D456" s="261"/>
      <c r="E456" s="261"/>
    </row>
    <row r="457" spans="1:5" x14ac:dyDescent="0.25">
      <c r="A457" s="261"/>
      <c r="B457" s="261"/>
      <c r="C457" s="272"/>
      <c r="D457" s="261"/>
      <c r="E457" s="261"/>
    </row>
    <row r="458" spans="1:5" x14ac:dyDescent="0.25">
      <c r="A458" s="261"/>
      <c r="B458" s="261"/>
      <c r="C458" s="272"/>
      <c r="D458" s="261"/>
      <c r="E458" s="261"/>
    </row>
    <row r="459" spans="1:5" x14ac:dyDescent="0.25">
      <c r="A459" s="261"/>
      <c r="B459" s="261"/>
      <c r="C459" s="272"/>
      <c r="D459" s="261"/>
      <c r="E459" s="261"/>
    </row>
    <row r="460" spans="1:5" x14ac:dyDescent="0.25">
      <c r="A460" s="261"/>
      <c r="B460" s="261"/>
      <c r="C460" s="272"/>
      <c r="D460" s="261"/>
      <c r="E460" s="261"/>
    </row>
    <row r="461" spans="1:5" x14ac:dyDescent="0.25">
      <c r="A461" s="261"/>
      <c r="B461" s="261"/>
      <c r="C461" s="272"/>
      <c r="D461" s="261"/>
      <c r="E461" s="261"/>
    </row>
    <row r="462" spans="1:5" x14ac:dyDescent="0.25">
      <c r="A462" s="261"/>
      <c r="B462" s="261"/>
      <c r="C462" s="272"/>
      <c r="D462" s="261"/>
      <c r="E462" s="261"/>
    </row>
    <row r="463" spans="1:5" x14ac:dyDescent="0.25">
      <c r="A463" s="261"/>
      <c r="B463" s="261"/>
      <c r="C463" s="272"/>
      <c r="D463" s="261"/>
      <c r="E463" s="261"/>
    </row>
    <row r="464" spans="1:5" x14ac:dyDescent="0.25">
      <c r="A464" s="261"/>
      <c r="B464" s="261"/>
      <c r="C464" s="272"/>
      <c r="D464" s="261"/>
      <c r="E464" s="261"/>
    </row>
    <row r="465" spans="1:5" x14ac:dyDescent="0.25">
      <c r="A465" s="261"/>
      <c r="B465" s="261"/>
      <c r="C465" s="272"/>
      <c r="D465" s="261"/>
      <c r="E465" s="261"/>
    </row>
    <row r="466" spans="1:5" x14ac:dyDescent="0.25">
      <c r="A466" s="261"/>
      <c r="B466" s="261"/>
      <c r="C466" s="272"/>
      <c r="D466" s="261"/>
      <c r="E466" s="261"/>
    </row>
    <row r="467" spans="1:5" x14ac:dyDescent="0.25">
      <c r="A467" s="261"/>
      <c r="B467" s="261"/>
      <c r="C467" s="272"/>
      <c r="D467" s="261"/>
      <c r="E467" s="261"/>
    </row>
    <row r="468" spans="1:5" x14ac:dyDescent="0.25">
      <c r="A468" s="261"/>
      <c r="B468" s="261"/>
      <c r="C468" s="272"/>
      <c r="D468" s="261"/>
      <c r="E468" s="261"/>
    </row>
    <row r="469" spans="1:5" x14ac:dyDescent="0.25">
      <c r="A469" s="261"/>
      <c r="B469" s="261"/>
      <c r="C469" s="272"/>
      <c r="D469" s="261"/>
      <c r="E469" s="261"/>
    </row>
    <row r="470" spans="1:5" x14ac:dyDescent="0.25">
      <c r="A470" s="261"/>
      <c r="B470" s="261"/>
      <c r="C470" s="272"/>
      <c r="D470" s="261"/>
      <c r="E470" s="261"/>
    </row>
    <row r="471" spans="1:5" x14ac:dyDescent="0.25">
      <c r="A471" s="261"/>
      <c r="B471" s="261"/>
      <c r="C471" s="272"/>
      <c r="D471" s="261"/>
      <c r="E471" s="261"/>
    </row>
    <row r="472" spans="1:5" x14ac:dyDescent="0.25">
      <c r="A472" s="261"/>
      <c r="B472" s="261"/>
      <c r="C472" s="272"/>
      <c r="D472" s="261"/>
      <c r="E472" s="261"/>
    </row>
    <row r="473" spans="1:5" x14ac:dyDescent="0.25">
      <c r="A473" s="261"/>
      <c r="B473" s="261"/>
      <c r="C473" s="272"/>
      <c r="D473" s="261"/>
      <c r="E473" s="261"/>
    </row>
    <row r="474" spans="1:5" x14ac:dyDescent="0.25">
      <c r="A474" s="261"/>
      <c r="B474" s="261"/>
      <c r="C474" s="272"/>
      <c r="D474" s="261"/>
      <c r="E474" s="261"/>
    </row>
    <row r="475" spans="1:5" x14ac:dyDescent="0.25">
      <c r="A475" s="261"/>
      <c r="B475" s="261"/>
      <c r="C475" s="272"/>
      <c r="D475" s="261"/>
      <c r="E475" s="261"/>
    </row>
    <row r="476" spans="1:5" x14ac:dyDescent="0.25">
      <c r="A476" s="261"/>
      <c r="B476" s="261"/>
      <c r="C476" s="272"/>
      <c r="D476" s="261"/>
      <c r="E476" s="261"/>
    </row>
    <row r="477" spans="1:5" x14ac:dyDescent="0.25">
      <c r="A477" s="261"/>
      <c r="B477" s="261"/>
      <c r="C477" s="272"/>
      <c r="D477" s="261"/>
      <c r="E477" s="261"/>
    </row>
    <row r="478" spans="1:5" x14ac:dyDescent="0.25">
      <c r="A478" s="261"/>
      <c r="B478" s="261"/>
      <c r="C478" s="272"/>
      <c r="D478" s="261"/>
      <c r="E478" s="261"/>
    </row>
    <row r="479" spans="1:5" x14ac:dyDescent="0.25">
      <c r="A479" s="261"/>
      <c r="B479" s="261"/>
      <c r="C479" s="272"/>
      <c r="D479" s="261"/>
      <c r="E479" s="261"/>
    </row>
    <row r="480" spans="1:5" x14ac:dyDescent="0.25">
      <c r="A480" s="261"/>
      <c r="B480" s="261"/>
      <c r="C480" s="272"/>
      <c r="D480" s="261"/>
      <c r="E480" s="261"/>
    </row>
    <row r="481" spans="1:5" x14ac:dyDescent="0.25">
      <c r="A481" s="261"/>
      <c r="B481" s="261"/>
      <c r="C481" s="272"/>
      <c r="D481" s="261"/>
      <c r="E481" s="261"/>
    </row>
    <row r="482" spans="1:5" x14ac:dyDescent="0.25">
      <c r="A482" s="261"/>
      <c r="B482" s="261"/>
      <c r="C482" s="272"/>
      <c r="D482" s="261"/>
      <c r="E482" s="261"/>
    </row>
    <row r="483" spans="1:5" x14ac:dyDescent="0.25">
      <c r="A483" s="261"/>
      <c r="B483" s="261"/>
      <c r="C483" s="272"/>
      <c r="D483" s="261"/>
      <c r="E483" s="261"/>
    </row>
    <row r="484" spans="1:5" x14ac:dyDescent="0.25">
      <c r="A484" s="261"/>
      <c r="B484" s="261"/>
      <c r="C484" s="272"/>
      <c r="D484" s="261"/>
      <c r="E484" s="261"/>
    </row>
    <row r="485" spans="1:5" x14ac:dyDescent="0.25">
      <c r="A485" s="261"/>
      <c r="B485" s="261"/>
      <c r="C485" s="272"/>
      <c r="D485" s="261"/>
      <c r="E485" s="261"/>
    </row>
    <row r="486" spans="1:5" x14ac:dyDescent="0.25">
      <c r="A486" s="261"/>
      <c r="B486" s="261"/>
      <c r="C486" s="272"/>
      <c r="D486" s="261"/>
      <c r="E486" s="261"/>
    </row>
    <row r="487" spans="1:5" x14ac:dyDescent="0.25">
      <c r="A487" s="261"/>
      <c r="B487" s="261"/>
      <c r="C487" s="272"/>
      <c r="D487" s="261"/>
      <c r="E487" s="261"/>
    </row>
    <row r="488" spans="1:5" x14ac:dyDescent="0.25">
      <c r="A488" s="261"/>
      <c r="B488" s="261"/>
      <c r="C488" s="272"/>
      <c r="D488" s="261"/>
      <c r="E488" s="261"/>
    </row>
    <row r="489" spans="1:5" x14ac:dyDescent="0.25">
      <c r="A489" s="261"/>
      <c r="B489" s="261"/>
      <c r="C489" s="272"/>
      <c r="D489" s="261"/>
      <c r="E489" s="261"/>
    </row>
    <row r="490" spans="1:5" x14ac:dyDescent="0.25">
      <c r="A490" s="261"/>
      <c r="B490" s="261"/>
      <c r="C490" s="272"/>
      <c r="D490" s="261"/>
      <c r="E490" s="261"/>
    </row>
    <row r="491" spans="1:5" x14ac:dyDescent="0.25">
      <c r="A491" s="261"/>
      <c r="B491" s="261"/>
      <c r="C491" s="272"/>
      <c r="D491" s="261"/>
      <c r="E491" s="261"/>
    </row>
    <row r="492" spans="1:5" x14ac:dyDescent="0.25">
      <c r="A492" s="261"/>
      <c r="B492" s="261"/>
      <c r="C492" s="272"/>
      <c r="D492" s="261"/>
      <c r="E492" s="261"/>
    </row>
    <row r="493" spans="1:5" x14ac:dyDescent="0.25">
      <c r="A493" s="261"/>
      <c r="B493" s="261"/>
      <c r="C493" s="272"/>
      <c r="D493" s="261"/>
      <c r="E493" s="261"/>
    </row>
    <row r="494" spans="1:5" x14ac:dyDescent="0.25">
      <c r="A494" s="261"/>
      <c r="B494" s="261"/>
      <c r="C494" s="272"/>
      <c r="D494" s="261"/>
      <c r="E494" s="261"/>
    </row>
    <row r="495" spans="1:5" x14ac:dyDescent="0.25">
      <c r="A495" s="261"/>
      <c r="B495" s="261"/>
      <c r="C495" s="272"/>
      <c r="D495" s="261"/>
      <c r="E495" s="261"/>
    </row>
    <row r="496" spans="1:5" x14ac:dyDescent="0.25">
      <c r="A496" s="261"/>
      <c r="B496" s="261"/>
      <c r="C496" s="272"/>
      <c r="D496" s="261"/>
      <c r="E496" s="261"/>
    </row>
    <row r="497" spans="1:5" x14ac:dyDescent="0.25">
      <c r="A497" s="261"/>
      <c r="B497" s="261"/>
      <c r="C497" s="272"/>
      <c r="D497" s="261"/>
      <c r="E497" s="261"/>
    </row>
    <row r="498" spans="1:5" x14ac:dyDescent="0.25">
      <c r="A498" s="261"/>
      <c r="B498" s="261"/>
      <c r="C498" s="272"/>
      <c r="D498" s="261"/>
      <c r="E498" s="261"/>
    </row>
    <row r="499" spans="1:5" x14ac:dyDescent="0.25">
      <c r="A499" s="261"/>
      <c r="B499" s="261"/>
      <c r="C499" s="272"/>
      <c r="D499" s="261"/>
      <c r="E499" s="261"/>
    </row>
    <row r="500" spans="1:5" x14ac:dyDescent="0.25">
      <c r="A500" s="261"/>
      <c r="B500" s="261"/>
      <c r="C500" s="272"/>
      <c r="D500" s="261"/>
      <c r="E500" s="261"/>
    </row>
    <row r="501" spans="1:5" x14ac:dyDescent="0.25">
      <c r="A501" s="261"/>
      <c r="B501" s="261"/>
      <c r="C501" s="272"/>
      <c r="D501" s="261"/>
      <c r="E501" s="261"/>
    </row>
    <row r="502" spans="1:5" x14ac:dyDescent="0.25">
      <c r="A502" s="261"/>
      <c r="B502" s="261"/>
      <c r="C502" s="272"/>
      <c r="D502" s="261"/>
      <c r="E502" s="261"/>
    </row>
    <row r="503" spans="1:5" x14ac:dyDescent="0.25">
      <c r="A503" s="261"/>
      <c r="B503" s="261"/>
      <c r="C503" s="272"/>
      <c r="D503" s="261"/>
      <c r="E503" s="261"/>
    </row>
    <row r="504" spans="1:5" x14ac:dyDescent="0.25">
      <c r="A504" s="261"/>
      <c r="B504" s="261"/>
      <c r="C504" s="272"/>
      <c r="D504" s="261"/>
      <c r="E504" s="261"/>
    </row>
    <row r="505" spans="1:5" x14ac:dyDescent="0.25">
      <c r="A505" s="261"/>
      <c r="B505" s="261"/>
      <c r="C505" s="272"/>
      <c r="D505" s="261"/>
      <c r="E505" s="261"/>
    </row>
    <row r="506" spans="1:5" x14ac:dyDescent="0.25">
      <c r="A506" s="261"/>
      <c r="B506" s="261"/>
      <c r="C506" s="272"/>
      <c r="D506" s="261"/>
      <c r="E506" s="261"/>
    </row>
    <row r="507" spans="1:5" x14ac:dyDescent="0.25">
      <c r="A507" s="261"/>
      <c r="B507" s="261"/>
      <c r="C507" s="272"/>
      <c r="D507" s="261"/>
      <c r="E507" s="261"/>
    </row>
    <row r="508" spans="1:5" x14ac:dyDescent="0.25">
      <c r="A508" s="261"/>
      <c r="B508" s="261"/>
      <c r="C508" s="272"/>
      <c r="D508" s="261"/>
      <c r="E508" s="261"/>
    </row>
    <row r="509" spans="1:5" x14ac:dyDescent="0.25">
      <c r="A509" s="261"/>
      <c r="B509" s="261"/>
      <c r="C509" s="272"/>
      <c r="D509" s="261"/>
      <c r="E509" s="261"/>
    </row>
    <row r="510" spans="1:5" x14ac:dyDescent="0.25">
      <c r="A510" s="261"/>
      <c r="B510" s="261"/>
      <c r="C510" s="272"/>
      <c r="D510" s="261"/>
      <c r="E510" s="261"/>
    </row>
    <row r="511" spans="1:5" x14ac:dyDescent="0.25">
      <c r="A511" s="261"/>
      <c r="B511" s="261"/>
      <c r="C511" s="272"/>
      <c r="D511" s="261"/>
      <c r="E511" s="261"/>
    </row>
    <row r="512" spans="1:5" x14ac:dyDescent="0.25">
      <c r="A512" s="261"/>
      <c r="B512" s="261"/>
      <c r="C512" s="272"/>
      <c r="D512" s="261"/>
      <c r="E512" s="261"/>
    </row>
    <row r="513" spans="1:5" x14ac:dyDescent="0.25">
      <c r="A513" s="261"/>
      <c r="B513" s="261"/>
      <c r="C513" s="272"/>
      <c r="D513" s="261"/>
      <c r="E513" s="261"/>
    </row>
    <row r="514" spans="1:5" x14ac:dyDescent="0.25">
      <c r="A514" s="261"/>
      <c r="B514" s="261"/>
      <c r="C514" s="272"/>
      <c r="D514" s="261"/>
      <c r="E514" s="261"/>
    </row>
    <row r="515" spans="1:5" x14ac:dyDescent="0.25">
      <c r="A515" s="261"/>
      <c r="B515" s="261"/>
      <c r="C515" s="272"/>
      <c r="D515" s="261"/>
      <c r="E515" s="261"/>
    </row>
    <row r="516" spans="1:5" x14ac:dyDescent="0.25">
      <c r="A516" s="261"/>
      <c r="B516" s="261"/>
      <c r="C516" s="272"/>
      <c r="D516" s="261"/>
      <c r="E516" s="261"/>
    </row>
    <row r="517" spans="1:5" x14ac:dyDescent="0.25">
      <c r="A517" s="261"/>
      <c r="B517" s="261"/>
      <c r="C517" s="272"/>
      <c r="D517" s="261"/>
      <c r="E517" s="261"/>
    </row>
    <row r="518" spans="1:5" x14ac:dyDescent="0.25">
      <c r="A518" s="261"/>
      <c r="B518" s="261"/>
      <c r="C518" s="272"/>
      <c r="D518" s="261"/>
      <c r="E518" s="261"/>
    </row>
    <row r="519" spans="1:5" x14ac:dyDescent="0.25">
      <c r="A519" s="261"/>
      <c r="B519" s="261"/>
      <c r="C519" s="272"/>
      <c r="D519" s="261"/>
      <c r="E519" s="261"/>
    </row>
    <row r="520" spans="1:5" x14ac:dyDescent="0.25">
      <c r="A520" s="261"/>
      <c r="B520" s="261"/>
      <c r="C520" s="272"/>
      <c r="D520" s="261"/>
      <c r="E520" s="261"/>
    </row>
    <row r="521" spans="1:5" x14ac:dyDescent="0.25">
      <c r="A521" s="261"/>
      <c r="B521" s="261"/>
      <c r="C521" s="272"/>
      <c r="D521" s="261"/>
      <c r="E521" s="261"/>
    </row>
    <row r="522" spans="1:5" x14ac:dyDescent="0.25">
      <c r="A522" s="261"/>
      <c r="B522" s="261"/>
      <c r="C522" s="272"/>
      <c r="D522" s="261"/>
      <c r="E522" s="261"/>
    </row>
    <row r="523" spans="1:5" x14ac:dyDescent="0.25">
      <c r="A523" s="261"/>
      <c r="B523" s="261"/>
      <c r="C523" s="272"/>
      <c r="D523" s="261"/>
      <c r="E523" s="261"/>
    </row>
    <row r="524" spans="1:5" x14ac:dyDescent="0.25">
      <c r="A524" s="261"/>
      <c r="B524" s="261"/>
      <c r="C524" s="272"/>
      <c r="D524" s="261"/>
      <c r="E524" s="261"/>
    </row>
    <row r="525" spans="1:5" x14ac:dyDescent="0.25">
      <c r="A525" s="261"/>
      <c r="B525" s="261"/>
      <c r="C525" s="272"/>
      <c r="D525" s="261"/>
      <c r="E525" s="261"/>
    </row>
    <row r="526" spans="1:5" x14ac:dyDescent="0.25">
      <c r="A526" s="261"/>
      <c r="B526" s="261"/>
      <c r="C526" s="272"/>
      <c r="D526" s="261"/>
      <c r="E526" s="261"/>
    </row>
    <row r="527" spans="1:5" x14ac:dyDescent="0.25">
      <c r="A527" s="261"/>
      <c r="B527" s="261"/>
      <c r="C527" s="272"/>
      <c r="D527" s="261"/>
      <c r="E527" s="261"/>
    </row>
    <row r="528" spans="1:5" x14ac:dyDescent="0.25">
      <c r="A528" s="261"/>
      <c r="B528" s="261"/>
      <c r="C528" s="272"/>
      <c r="D528" s="261"/>
      <c r="E528" s="261"/>
    </row>
    <row r="529" spans="1:5" x14ac:dyDescent="0.25">
      <c r="A529" s="261"/>
      <c r="B529" s="261"/>
      <c r="C529" s="272"/>
      <c r="D529" s="261"/>
      <c r="E529" s="261"/>
    </row>
    <row r="530" spans="1:5" x14ac:dyDescent="0.25">
      <c r="A530" s="261"/>
      <c r="B530" s="261"/>
      <c r="C530" s="272"/>
      <c r="D530" s="261"/>
      <c r="E530" s="261"/>
    </row>
    <row r="531" spans="1:5" x14ac:dyDescent="0.25">
      <c r="A531" s="261"/>
      <c r="B531" s="261"/>
      <c r="C531" s="272"/>
      <c r="D531" s="261"/>
      <c r="E531" s="261"/>
    </row>
    <row r="532" spans="1:5" x14ac:dyDescent="0.25">
      <c r="A532" s="261"/>
      <c r="B532" s="261"/>
      <c r="C532" s="272"/>
      <c r="D532" s="261"/>
      <c r="E532" s="261"/>
    </row>
    <row r="533" spans="1:5" x14ac:dyDescent="0.25">
      <c r="A533" s="261"/>
      <c r="B533" s="261"/>
      <c r="C533" s="272"/>
      <c r="D533" s="261"/>
      <c r="E533" s="261"/>
    </row>
    <row r="534" spans="1:5" x14ac:dyDescent="0.25">
      <c r="A534" s="261"/>
      <c r="B534" s="261"/>
      <c r="C534" s="272"/>
      <c r="D534" s="261"/>
      <c r="E534" s="261"/>
    </row>
    <row r="535" spans="1:5" x14ac:dyDescent="0.25">
      <c r="A535" s="261"/>
      <c r="B535" s="261"/>
      <c r="C535" s="272"/>
      <c r="D535" s="261"/>
      <c r="E535" s="261"/>
    </row>
    <row r="536" spans="1:5" x14ac:dyDescent="0.25">
      <c r="A536" s="261"/>
      <c r="B536" s="261"/>
      <c r="C536" s="272"/>
      <c r="D536" s="261"/>
      <c r="E536" s="261"/>
    </row>
    <row r="537" spans="1:5" x14ac:dyDescent="0.25">
      <c r="A537" s="261"/>
      <c r="B537" s="261"/>
      <c r="C537" s="272"/>
      <c r="D537" s="261"/>
      <c r="E537" s="261"/>
    </row>
    <row r="538" spans="1:5" x14ac:dyDescent="0.25">
      <c r="A538" s="261"/>
      <c r="B538" s="261"/>
      <c r="C538" s="272"/>
      <c r="D538" s="261"/>
      <c r="E538" s="261"/>
    </row>
    <row r="539" spans="1:5" x14ac:dyDescent="0.25">
      <c r="A539" s="261"/>
      <c r="B539" s="261"/>
      <c r="C539" s="272"/>
      <c r="D539" s="261"/>
      <c r="E539" s="261"/>
    </row>
    <row r="540" spans="1:5" x14ac:dyDescent="0.25">
      <c r="A540" s="261"/>
      <c r="B540" s="261"/>
      <c r="C540" s="272"/>
      <c r="D540" s="261"/>
      <c r="E540" s="261"/>
    </row>
    <row r="541" spans="1:5" x14ac:dyDescent="0.25">
      <c r="A541" s="261"/>
      <c r="B541" s="261"/>
      <c r="C541" s="272"/>
      <c r="D541" s="261"/>
      <c r="E541" s="261"/>
    </row>
    <row r="542" spans="1:5" x14ac:dyDescent="0.25">
      <c r="A542" s="261"/>
      <c r="B542" s="261"/>
      <c r="C542" s="272"/>
      <c r="D542" s="261"/>
      <c r="E542" s="261"/>
    </row>
    <row r="543" spans="1:5" x14ac:dyDescent="0.25">
      <c r="A543" s="261"/>
      <c r="B543" s="261"/>
      <c r="C543" s="272"/>
      <c r="D543" s="261"/>
      <c r="E543" s="261"/>
    </row>
    <row r="544" spans="1:5" x14ac:dyDescent="0.25">
      <c r="A544" s="261"/>
      <c r="B544" s="261"/>
      <c r="C544" s="272"/>
      <c r="D544" s="261"/>
      <c r="E544" s="261"/>
    </row>
    <row r="545" spans="1:5" x14ac:dyDescent="0.25">
      <c r="A545" s="261"/>
      <c r="B545" s="261"/>
      <c r="C545" s="272"/>
      <c r="D545" s="261"/>
      <c r="E545" s="261"/>
    </row>
    <row r="546" spans="1:5" x14ac:dyDescent="0.25">
      <c r="A546" s="261"/>
      <c r="B546" s="261"/>
      <c r="C546" s="272"/>
      <c r="D546" s="261"/>
      <c r="E546" s="261"/>
    </row>
    <row r="547" spans="1:5" x14ac:dyDescent="0.25">
      <c r="A547" s="261"/>
      <c r="B547" s="261"/>
      <c r="C547" s="272"/>
      <c r="D547" s="261"/>
      <c r="E547" s="261"/>
    </row>
    <row r="548" spans="1:5" x14ac:dyDescent="0.25">
      <c r="A548" s="261"/>
      <c r="B548" s="261"/>
      <c r="C548" s="272"/>
      <c r="D548" s="261"/>
      <c r="E548" s="261"/>
    </row>
    <row r="549" spans="1:5" x14ac:dyDescent="0.25">
      <c r="A549" s="261"/>
      <c r="B549" s="261"/>
      <c r="C549" s="272"/>
      <c r="D549" s="261"/>
      <c r="E549" s="261"/>
    </row>
    <row r="550" spans="1:5" x14ac:dyDescent="0.25">
      <c r="A550" s="261"/>
      <c r="B550" s="261"/>
      <c r="C550" s="272"/>
      <c r="D550" s="261"/>
      <c r="E550" s="261"/>
    </row>
    <row r="551" spans="1:5" x14ac:dyDescent="0.25">
      <c r="A551" s="261"/>
      <c r="B551" s="261"/>
      <c r="C551" s="272"/>
      <c r="D551" s="261"/>
      <c r="E551" s="261"/>
    </row>
    <row r="552" spans="1:5" x14ac:dyDescent="0.25">
      <c r="A552" s="261"/>
      <c r="B552" s="261"/>
      <c r="C552" s="272"/>
      <c r="D552" s="261"/>
      <c r="E552" s="261"/>
    </row>
    <row r="553" spans="1:5" x14ac:dyDescent="0.25">
      <c r="A553" s="261"/>
      <c r="B553" s="261"/>
      <c r="C553" s="272"/>
      <c r="D553" s="261"/>
      <c r="E553" s="261"/>
    </row>
    <row r="554" spans="1:5" x14ac:dyDescent="0.25">
      <c r="A554" s="261"/>
      <c r="B554" s="261"/>
      <c r="C554" s="272"/>
      <c r="D554" s="261"/>
      <c r="E554" s="261"/>
    </row>
    <row r="555" spans="1:5" x14ac:dyDescent="0.25">
      <c r="A555" s="261"/>
      <c r="B555" s="261"/>
      <c r="C555" s="272"/>
      <c r="D555" s="261"/>
      <c r="E555" s="261"/>
    </row>
    <row r="556" spans="1:5" x14ac:dyDescent="0.25">
      <c r="A556" s="261"/>
      <c r="B556" s="261"/>
      <c r="C556" s="272"/>
      <c r="D556" s="261"/>
      <c r="E556" s="261"/>
    </row>
    <row r="557" spans="1:5" x14ac:dyDescent="0.25">
      <c r="A557" s="261"/>
      <c r="B557" s="261"/>
      <c r="C557" s="272"/>
      <c r="D557" s="261"/>
      <c r="E557" s="261"/>
    </row>
    <row r="558" spans="1:5" x14ac:dyDescent="0.25">
      <c r="A558" s="261"/>
      <c r="B558" s="261"/>
      <c r="C558" s="272"/>
      <c r="D558" s="261"/>
      <c r="E558" s="261"/>
    </row>
    <row r="559" spans="1:5" x14ac:dyDescent="0.25">
      <c r="A559" s="261"/>
      <c r="B559" s="261"/>
      <c r="C559" s="272"/>
      <c r="D559" s="261"/>
      <c r="E559" s="261"/>
    </row>
    <row r="560" spans="1:5" x14ac:dyDescent="0.25">
      <c r="A560" s="261"/>
      <c r="B560" s="261"/>
      <c r="C560" s="272"/>
      <c r="D560" s="261"/>
      <c r="E560" s="261"/>
    </row>
    <row r="561" spans="1:5" x14ac:dyDescent="0.25">
      <c r="A561" s="261"/>
      <c r="B561" s="261"/>
      <c r="C561" s="272"/>
      <c r="D561" s="261"/>
      <c r="E561" s="261"/>
    </row>
    <row r="562" spans="1:5" x14ac:dyDescent="0.25">
      <c r="A562" s="261"/>
      <c r="B562" s="261"/>
      <c r="C562" s="272"/>
      <c r="D562" s="261"/>
      <c r="E562" s="261"/>
    </row>
    <row r="563" spans="1:5" x14ac:dyDescent="0.25">
      <c r="A563" s="261"/>
      <c r="B563" s="261"/>
      <c r="C563" s="272"/>
      <c r="D563" s="261"/>
      <c r="E563" s="261"/>
    </row>
    <row r="564" spans="1:5" x14ac:dyDescent="0.25">
      <c r="A564" s="261"/>
      <c r="B564" s="261"/>
      <c r="C564" s="272"/>
      <c r="D564" s="261"/>
      <c r="E564" s="261"/>
    </row>
    <row r="565" spans="1:5" x14ac:dyDescent="0.25">
      <c r="A565" s="261"/>
      <c r="B565" s="261"/>
      <c r="C565" s="272"/>
      <c r="D565" s="261"/>
      <c r="E565" s="261"/>
    </row>
    <row r="566" spans="1:5" x14ac:dyDescent="0.25">
      <c r="A566" s="261"/>
      <c r="B566" s="261"/>
      <c r="C566" s="272"/>
      <c r="D566" s="261"/>
      <c r="E566" s="261"/>
    </row>
    <row r="567" spans="1:5" x14ac:dyDescent="0.25">
      <c r="A567" s="261"/>
      <c r="B567" s="261"/>
      <c r="C567" s="272"/>
      <c r="D567" s="261"/>
      <c r="E567" s="261"/>
    </row>
    <row r="568" spans="1:5" x14ac:dyDescent="0.25">
      <c r="A568" s="261"/>
      <c r="B568" s="261"/>
      <c r="C568" s="272"/>
      <c r="D568" s="261"/>
      <c r="E568" s="261"/>
    </row>
    <row r="569" spans="1:5" x14ac:dyDescent="0.25">
      <c r="A569" s="261"/>
      <c r="B569" s="261"/>
      <c r="C569" s="272"/>
      <c r="D569" s="261"/>
      <c r="E569" s="261"/>
    </row>
    <row r="570" spans="1:5" x14ac:dyDescent="0.25">
      <c r="A570" s="261"/>
      <c r="B570" s="261"/>
      <c r="C570" s="272"/>
      <c r="D570" s="261"/>
      <c r="E570" s="261"/>
    </row>
    <row r="571" spans="1:5" x14ac:dyDescent="0.25">
      <c r="A571" s="261"/>
      <c r="B571" s="261"/>
      <c r="C571" s="272"/>
      <c r="D571" s="261"/>
      <c r="E571" s="261"/>
    </row>
    <row r="572" spans="1:5" x14ac:dyDescent="0.25">
      <c r="A572" s="261"/>
      <c r="B572" s="261"/>
      <c r="C572" s="272"/>
      <c r="D572" s="261"/>
      <c r="E572" s="261"/>
    </row>
    <row r="573" spans="1:5" x14ac:dyDescent="0.25">
      <c r="A573" s="261"/>
      <c r="B573" s="261"/>
      <c r="C573" s="272"/>
      <c r="D573" s="261"/>
      <c r="E573" s="261"/>
    </row>
    <row r="574" spans="1:5" x14ac:dyDescent="0.25">
      <c r="A574" s="261"/>
      <c r="B574" s="261"/>
      <c r="C574" s="272"/>
      <c r="D574" s="261"/>
      <c r="E574" s="261"/>
    </row>
    <row r="575" spans="1:5" x14ac:dyDescent="0.25">
      <c r="A575" s="261"/>
      <c r="B575" s="261"/>
      <c r="C575" s="272"/>
      <c r="D575" s="261"/>
      <c r="E575" s="261"/>
    </row>
    <row r="576" spans="1:5" x14ac:dyDescent="0.25">
      <c r="A576" s="261"/>
      <c r="B576" s="261"/>
      <c r="C576" s="272"/>
      <c r="D576" s="261"/>
      <c r="E576" s="261"/>
    </row>
    <row r="577" spans="1:5" x14ac:dyDescent="0.25">
      <c r="A577" s="261"/>
      <c r="B577" s="261"/>
      <c r="C577" s="272"/>
      <c r="D577" s="261"/>
      <c r="E577" s="261"/>
    </row>
    <row r="578" spans="1:5" x14ac:dyDescent="0.25">
      <c r="A578" s="261"/>
      <c r="B578" s="261"/>
      <c r="C578" s="272"/>
      <c r="D578" s="261"/>
      <c r="E578" s="261"/>
    </row>
    <row r="579" spans="1:5" x14ac:dyDescent="0.25">
      <c r="A579" s="261"/>
      <c r="B579" s="261"/>
      <c r="C579" s="272"/>
      <c r="D579" s="261"/>
      <c r="E579" s="261"/>
    </row>
    <row r="580" spans="1:5" x14ac:dyDescent="0.25">
      <c r="A580" s="261"/>
      <c r="B580" s="261"/>
      <c r="C580" s="272"/>
      <c r="D580" s="261"/>
      <c r="E580" s="261"/>
    </row>
    <row r="581" spans="1:5" x14ac:dyDescent="0.25">
      <c r="A581" s="261"/>
      <c r="B581" s="261"/>
      <c r="C581" s="272"/>
      <c r="D581" s="261"/>
      <c r="E581" s="261"/>
    </row>
    <row r="582" spans="1:5" x14ac:dyDescent="0.25">
      <c r="A582" s="261"/>
      <c r="B582" s="261"/>
      <c r="C582" s="272"/>
      <c r="D582" s="261"/>
      <c r="E582" s="261"/>
    </row>
    <row r="583" spans="1:5" x14ac:dyDescent="0.25">
      <c r="A583" s="261"/>
      <c r="B583" s="261"/>
      <c r="C583" s="272"/>
      <c r="D583" s="261"/>
      <c r="E583" s="261"/>
    </row>
    <row r="584" spans="1:5" x14ac:dyDescent="0.25">
      <c r="A584" s="261"/>
      <c r="B584" s="261"/>
      <c r="C584" s="272"/>
      <c r="D584" s="261"/>
      <c r="E584" s="261"/>
    </row>
    <row r="585" spans="1:5" x14ac:dyDescent="0.25">
      <c r="A585" s="261"/>
      <c r="B585" s="261"/>
      <c r="C585" s="272"/>
      <c r="D585" s="261"/>
      <c r="E585" s="261"/>
    </row>
    <row r="586" spans="1:5" x14ac:dyDescent="0.25">
      <c r="A586" s="261"/>
      <c r="B586" s="261"/>
      <c r="C586" s="272"/>
      <c r="D586" s="261"/>
      <c r="E586" s="261"/>
    </row>
    <row r="587" spans="1:5" x14ac:dyDescent="0.25">
      <c r="A587" s="261"/>
      <c r="B587" s="261"/>
      <c r="C587" s="272"/>
      <c r="D587" s="261"/>
      <c r="E587" s="261"/>
    </row>
    <row r="588" spans="1:5" x14ac:dyDescent="0.25">
      <c r="A588" s="261"/>
      <c r="B588" s="261"/>
      <c r="C588" s="272"/>
      <c r="D588" s="261"/>
      <c r="E588" s="261"/>
    </row>
    <row r="589" spans="1:5" x14ac:dyDescent="0.25">
      <c r="A589" s="261"/>
      <c r="B589" s="261"/>
      <c r="C589" s="272"/>
      <c r="D589" s="261"/>
      <c r="E589" s="261"/>
    </row>
    <row r="590" spans="1:5" x14ac:dyDescent="0.25">
      <c r="A590" s="261"/>
      <c r="B590" s="261"/>
      <c r="C590" s="272"/>
      <c r="D590" s="261"/>
      <c r="E590" s="261"/>
    </row>
    <row r="591" spans="1:5" x14ac:dyDescent="0.25">
      <c r="A591" s="261"/>
      <c r="B591" s="261"/>
      <c r="C591" s="272"/>
      <c r="D591" s="261"/>
      <c r="E591" s="261"/>
    </row>
    <row r="592" spans="1:5" x14ac:dyDescent="0.25">
      <c r="A592" s="261"/>
      <c r="B592" s="261"/>
      <c r="C592" s="272"/>
      <c r="D592" s="261"/>
      <c r="E592" s="261"/>
    </row>
    <row r="593" spans="1:5" x14ac:dyDescent="0.25">
      <c r="A593" s="261"/>
      <c r="B593" s="261"/>
      <c r="C593" s="272"/>
      <c r="D593" s="261"/>
      <c r="E593" s="261"/>
    </row>
    <row r="594" spans="1:5" x14ac:dyDescent="0.25">
      <c r="A594" s="261"/>
      <c r="B594" s="261"/>
      <c r="C594" s="272"/>
      <c r="D594" s="261"/>
      <c r="E594" s="261"/>
    </row>
    <row r="595" spans="1:5" x14ac:dyDescent="0.25">
      <c r="A595" s="261"/>
      <c r="B595" s="261"/>
      <c r="C595" s="272"/>
      <c r="D595" s="261"/>
      <c r="E595" s="261"/>
    </row>
    <row r="596" spans="1:5" x14ac:dyDescent="0.25">
      <c r="A596" s="261"/>
      <c r="B596" s="261"/>
      <c r="C596" s="272"/>
      <c r="D596" s="261"/>
      <c r="E596" s="261"/>
    </row>
    <row r="597" spans="1:5" x14ac:dyDescent="0.25">
      <c r="A597" s="261"/>
      <c r="B597" s="261"/>
      <c r="C597" s="272"/>
      <c r="D597" s="261"/>
      <c r="E597" s="261"/>
    </row>
    <row r="598" spans="1:5" x14ac:dyDescent="0.25">
      <c r="A598" s="261"/>
      <c r="B598" s="261"/>
      <c r="C598" s="272"/>
      <c r="D598" s="261"/>
      <c r="E598" s="261"/>
    </row>
    <row r="599" spans="1:5" x14ac:dyDescent="0.25">
      <c r="A599" s="261"/>
      <c r="B599" s="261"/>
      <c r="C599" s="272"/>
      <c r="D599" s="261"/>
      <c r="E599" s="261"/>
    </row>
    <row r="600" spans="1:5" x14ac:dyDescent="0.25">
      <c r="A600" s="261"/>
      <c r="B600" s="261"/>
      <c r="C600" s="272"/>
      <c r="D600" s="261"/>
      <c r="E600" s="261"/>
    </row>
    <row r="601" spans="1:5" x14ac:dyDescent="0.25">
      <c r="A601" s="261"/>
      <c r="B601" s="261"/>
      <c r="C601" s="272"/>
      <c r="D601" s="261"/>
      <c r="E601" s="261"/>
    </row>
    <row r="602" spans="1:5" x14ac:dyDescent="0.25">
      <c r="A602" s="261"/>
      <c r="B602" s="261"/>
      <c r="C602" s="272"/>
      <c r="D602" s="261"/>
      <c r="E602" s="261"/>
    </row>
    <row r="603" spans="1:5" x14ac:dyDescent="0.25">
      <c r="A603" s="261"/>
      <c r="B603" s="261"/>
      <c r="C603" s="272"/>
      <c r="D603" s="261"/>
      <c r="E603" s="261"/>
    </row>
    <row r="604" spans="1:5" x14ac:dyDescent="0.25">
      <c r="A604" s="261"/>
      <c r="B604" s="261"/>
      <c r="C604" s="272"/>
      <c r="D604" s="261"/>
      <c r="E604" s="261"/>
    </row>
    <row r="605" spans="1:5" x14ac:dyDescent="0.25">
      <c r="A605" s="261"/>
      <c r="B605" s="261"/>
      <c r="C605" s="272"/>
      <c r="D605" s="261"/>
      <c r="E605" s="261"/>
    </row>
    <row r="606" spans="1:5" x14ac:dyDescent="0.25">
      <c r="A606" s="261"/>
      <c r="B606" s="261"/>
      <c r="C606" s="272"/>
      <c r="D606" s="261"/>
      <c r="E606" s="261"/>
    </row>
    <row r="607" spans="1:5" x14ac:dyDescent="0.25">
      <c r="A607" s="261"/>
      <c r="B607" s="261"/>
      <c r="C607" s="272"/>
      <c r="D607" s="261"/>
      <c r="E607" s="261"/>
    </row>
    <row r="608" spans="1:5" x14ac:dyDescent="0.25">
      <c r="A608" s="261"/>
      <c r="B608" s="261"/>
      <c r="C608" s="272"/>
      <c r="D608" s="261"/>
      <c r="E608" s="261"/>
    </row>
    <row r="609" spans="1:5" x14ac:dyDescent="0.25">
      <c r="A609" s="261"/>
      <c r="B609" s="261"/>
      <c r="C609" s="272"/>
      <c r="D609" s="261"/>
      <c r="E609" s="261"/>
    </row>
    <row r="610" spans="1:5" x14ac:dyDescent="0.25">
      <c r="A610" s="261"/>
      <c r="B610" s="261"/>
      <c r="C610" s="272"/>
      <c r="D610" s="261"/>
      <c r="E610" s="261"/>
    </row>
    <row r="611" spans="1:5" x14ac:dyDescent="0.25">
      <c r="A611" s="261"/>
      <c r="B611" s="261"/>
      <c r="C611" s="272"/>
      <c r="D611" s="261"/>
      <c r="E611" s="261"/>
    </row>
    <row r="612" spans="1:5" x14ac:dyDescent="0.25">
      <c r="A612" s="261"/>
      <c r="B612" s="261"/>
      <c r="C612" s="272"/>
      <c r="D612" s="261"/>
      <c r="E612" s="261"/>
    </row>
    <row r="613" spans="1:5" x14ac:dyDescent="0.25">
      <c r="A613" s="261"/>
      <c r="B613" s="261"/>
      <c r="C613" s="272"/>
      <c r="D613" s="261"/>
      <c r="E613" s="261"/>
    </row>
    <row r="614" spans="1:5" x14ac:dyDescent="0.25">
      <c r="A614" s="261"/>
      <c r="B614" s="261"/>
      <c r="C614" s="272"/>
      <c r="D614" s="261"/>
      <c r="E614" s="261"/>
    </row>
    <row r="615" spans="1:5" x14ac:dyDescent="0.25">
      <c r="A615" s="261"/>
      <c r="B615" s="261"/>
      <c r="C615" s="272"/>
      <c r="D615" s="261"/>
      <c r="E615" s="261"/>
    </row>
    <row r="616" spans="1:5" x14ac:dyDescent="0.25">
      <c r="A616" s="261"/>
      <c r="B616" s="261"/>
      <c r="C616" s="272"/>
      <c r="D616" s="261"/>
      <c r="E616" s="261"/>
    </row>
    <row r="617" spans="1:5" x14ac:dyDescent="0.25">
      <c r="A617" s="261"/>
      <c r="B617" s="261"/>
      <c r="C617" s="272"/>
      <c r="D617" s="261"/>
      <c r="E617" s="261"/>
    </row>
    <row r="618" spans="1:5" x14ac:dyDescent="0.25">
      <c r="A618" s="261"/>
      <c r="B618" s="261"/>
      <c r="C618" s="272"/>
      <c r="D618" s="261"/>
      <c r="E618" s="261"/>
    </row>
    <row r="619" spans="1:5" x14ac:dyDescent="0.25">
      <c r="A619" s="261"/>
      <c r="B619" s="261"/>
      <c r="C619" s="272"/>
      <c r="D619" s="261"/>
      <c r="E619" s="261"/>
    </row>
    <row r="620" spans="1:5" x14ac:dyDescent="0.25">
      <c r="A620" s="261"/>
      <c r="B620" s="261"/>
      <c r="C620" s="272"/>
      <c r="D620" s="261"/>
      <c r="E620" s="261"/>
    </row>
    <row r="621" spans="1:5" x14ac:dyDescent="0.25">
      <c r="A621" s="261"/>
      <c r="B621" s="261"/>
      <c r="C621" s="272"/>
      <c r="D621" s="261"/>
      <c r="E621" s="261"/>
    </row>
    <row r="622" spans="1:5" x14ac:dyDescent="0.25">
      <c r="A622" s="261"/>
      <c r="B622" s="261"/>
      <c r="C622" s="272"/>
      <c r="D622" s="261"/>
      <c r="E622" s="261"/>
    </row>
    <row r="623" spans="1:5" x14ac:dyDescent="0.25">
      <c r="A623" s="261"/>
      <c r="B623" s="261"/>
      <c r="C623" s="272"/>
      <c r="D623" s="261"/>
      <c r="E623" s="261"/>
    </row>
    <row r="624" spans="1:5" x14ac:dyDescent="0.25">
      <c r="A624" s="261"/>
      <c r="B624" s="261"/>
      <c r="C624" s="272"/>
      <c r="D624" s="261"/>
      <c r="E624" s="261"/>
    </row>
    <row r="625" spans="1:5" x14ac:dyDescent="0.25">
      <c r="A625" s="261"/>
      <c r="B625" s="261"/>
      <c r="C625" s="272"/>
      <c r="D625" s="261"/>
      <c r="E625" s="261"/>
    </row>
    <row r="626" spans="1:5" x14ac:dyDescent="0.25">
      <c r="A626" s="261"/>
      <c r="B626" s="261"/>
      <c r="C626" s="272"/>
      <c r="D626" s="261"/>
      <c r="E626" s="261"/>
    </row>
    <row r="627" spans="1:5" x14ac:dyDescent="0.25">
      <c r="A627" s="261"/>
      <c r="B627" s="261"/>
      <c r="C627" s="272"/>
      <c r="D627" s="261"/>
      <c r="E627" s="261"/>
    </row>
    <row r="628" spans="1:5" x14ac:dyDescent="0.25">
      <c r="A628" s="261"/>
      <c r="B628" s="261"/>
      <c r="C628" s="272"/>
      <c r="D628" s="261"/>
      <c r="E628" s="261"/>
    </row>
    <row r="629" spans="1:5" x14ac:dyDescent="0.25">
      <c r="A629" s="261"/>
      <c r="B629" s="261"/>
      <c r="C629" s="272"/>
      <c r="D629" s="261"/>
      <c r="E629" s="261"/>
    </row>
    <row r="630" spans="1:5" x14ac:dyDescent="0.25">
      <c r="A630" s="261"/>
      <c r="B630" s="261"/>
      <c r="C630" s="272"/>
      <c r="D630" s="261"/>
      <c r="E630" s="261"/>
    </row>
    <row r="631" spans="1:5" x14ac:dyDescent="0.25">
      <c r="A631" s="261"/>
      <c r="B631" s="261"/>
      <c r="C631" s="272"/>
      <c r="D631" s="261"/>
      <c r="E631" s="261"/>
    </row>
    <row r="632" spans="1:5" x14ac:dyDescent="0.25">
      <c r="A632" s="261"/>
      <c r="B632" s="261"/>
      <c r="C632" s="272"/>
      <c r="D632" s="261"/>
      <c r="E632" s="261"/>
    </row>
    <row r="633" spans="1:5" x14ac:dyDescent="0.25">
      <c r="A633" s="261"/>
      <c r="B633" s="261"/>
      <c r="C633" s="272"/>
      <c r="D633" s="261"/>
      <c r="E633" s="261"/>
    </row>
    <row r="634" spans="1:5" x14ac:dyDescent="0.25">
      <c r="A634" s="261"/>
      <c r="B634" s="261"/>
      <c r="C634" s="272"/>
      <c r="D634" s="261"/>
      <c r="E634" s="261"/>
    </row>
    <row r="635" spans="1:5" x14ac:dyDescent="0.25">
      <c r="A635" s="261"/>
      <c r="B635" s="261"/>
      <c r="C635" s="272"/>
      <c r="D635" s="261"/>
      <c r="E635" s="261"/>
    </row>
    <row r="636" spans="1:5" x14ac:dyDescent="0.25">
      <c r="A636" s="261"/>
      <c r="B636" s="261"/>
      <c r="C636" s="272"/>
      <c r="D636" s="261"/>
      <c r="E636" s="261"/>
    </row>
    <row r="637" spans="1:5" x14ac:dyDescent="0.25">
      <c r="A637" s="261"/>
      <c r="B637" s="261"/>
      <c r="C637" s="272"/>
      <c r="D637" s="261"/>
      <c r="E637" s="261"/>
    </row>
    <row r="638" spans="1:5" x14ac:dyDescent="0.25">
      <c r="A638" s="261"/>
      <c r="B638" s="261"/>
      <c r="C638" s="272"/>
      <c r="D638" s="261"/>
      <c r="E638" s="261"/>
    </row>
    <row r="639" spans="1:5" x14ac:dyDescent="0.25">
      <c r="A639" s="261"/>
      <c r="B639" s="261"/>
      <c r="C639" s="272"/>
      <c r="D639" s="261"/>
      <c r="E639" s="261"/>
    </row>
    <row r="640" spans="1:5" x14ac:dyDescent="0.25">
      <c r="A640" s="261"/>
      <c r="B640" s="261"/>
      <c r="C640" s="272"/>
      <c r="D640" s="261"/>
      <c r="E640" s="261"/>
    </row>
    <row r="641" spans="1:5" x14ac:dyDescent="0.25">
      <c r="A641" s="261"/>
      <c r="B641" s="261"/>
      <c r="C641" s="272"/>
      <c r="D641" s="261"/>
      <c r="E641" s="261"/>
    </row>
    <row r="642" spans="1:5" x14ac:dyDescent="0.25">
      <c r="A642" s="261"/>
      <c r="B642" s="261"/>
      <c r="C642" s="272"/>
      <c r="D642" s="261"/>
      <c r="E642" s="261"/>
    </row>
    <row r="643" spans="1:5" x14ac:dyDescent="0.25">
      <c r="A643" s="261"/>
      <c r="B643" s="261"/>
      <c r="C643" s="272"/>
      <c r="D643" s="261"/>
      <c r="E643" s="261"/>
    </row>
    <row r="644" spans="1:5" x14ac:dyDescent="0.25">
      <c r="A644" s="261"/>
      <c r="B644" s="261"/>
      <c r="C644" s="272"/>
      <c r="D644" s="261"/>
      <c r="E644" s="261"/>
    </row>
    <row r="645" spans="1:5" x14ac:dyDescent="0.25">
      <c r="A645" s="261"/>
      <c r="B645" s="261"/>
      <c r="C645" s="272"/>
      <c r="D645" s="261"/>
      <c r="E645" s="261"/>
    </row>
    <row r="646" spans="1:5" x14ac:dyDescent="0.25">
      <c r="A646" s="261"/>
      <c r="B646" s="261"/>
      <c r="C646" s="272"/>
      <c r="D646" s="261"/>
      <c r="E646" s="261"/>
    </row>
    <row r="647" spans="1:5" x14ac:dyDescent="0.25">
      <c r="A647" s="261"/>
      <c r="B647" s="261"/>
      <c r="C647" s="272"/>
      <c r="D647" s="261"/>
      <c r="E647" s="261"/>
    </row>
    <row r="648" spans="1:5" x14ac:dyDescent="0.25">
      <c r="A648" s="261"/>
      <c r="B648" s="261"/>
      <c r="C648" s="272"/>
      <c r="D648" s="261"/>
      <c r="E648" s="261"/>
    </row>
    <row r="649" spans="1:5" x14ac:dyDescent="0.25">
      <c r="A649" s="261"/>
      <c r="B649" s="261"/>
      <c r="C649" s="272"/>
      <c r="D649" s="261"/>
      <c r="E649" s="261"/>
    </row>
    <row r="650" spans="1:5" x14ac:dyDescent="0.25">
      <c r="A650" s="261"/>
      <c r="B650" s="261"/>
      <c r="C650" s="272"/>
      <c r="D650" s="261"/>
      <c r="E650" s="261"/>
    </row>
    <row r="651" spans="1:5" x14ac:dyDescent="0.25">
      <c r="A651" s="261"/>
      <c r="B651" s="261"/>
      <c r="C651" s="272"/>
      <c r="D651" s="261"/>
      <c r="E651" s="261"/>
    </row>
    <row r="652" spans="1:5" x14ac:dyDescent="0.25">
      <c r="A652" s="261"/>
      <c r="B652" s="261"/>
      <c r="C652" s="272"/>
      <c r="D652" s="261"/>
      <c r="E652" s="261"/>
    </row>
    <row r="653" spans="1:5" x14ac:dyDescent="0.25">
      <c r="A653" s="261"/>
      <c r="B653" s="261"/>
      <c r="C653" s="272"/>
      <c r="D653" s="261"/>
      <c r="E653" s="261"/>
    </row>
    <row r="654" spans="1:5" x14ac:dyDescent="0.25">
      <c r="A654" s="261"/>
      <c r="B654" s="261"/>
      <c r="C654" s="272"/>
      <c r="D654" s="261"/>
      <c r="E654" s="261"/>
    </row>
    <row r="655" spans="1:5" x14ac:dyDescent="0.25">
      <c r="A655" s="261"/>
      <c r="B655" s="261"/>
      <c r="C655" s="272"/>
      <c r="D655" s="261"/>
      <c r="E655" s="261"/>
    </row>
    <row r="656" spans="1:5" x14ac:dyDescent="0.25">
      <c r="A656" s="261"/>
      <c r="B656" s="261"/>
      <c r="C656" s="272"/>
      <c r="D656" s="261"/>
      <c r="E656" s="261"/>
    </row>
    <row r="657" spans="1:5" x14ac:dyDescent="0.25">
      <c r="A657" s="261"/>
      <c r="B657" s="261"/>
      <c r="C657" s="272"/>
      <c r="D657" s="261"/>
      <c r="E657" s="261"/>
    </row>
    <row r="658" spans="1:5" x14ac:dyDescent="0.25">
      <c r="A658" s="261"/>
      <c r="B658" s="261"/>
      <c r="C658" s="272"/>
      <c r="D658" s="261"/>
      <c r="E658" s="261"/>
    </row>
    <row r="659" spans="1:5" x14ac:dyDescent="0.25">
      <c r="A659" s="261"/>
      <c r="B659" s="261"/>
      <c r="C659" s="272"/>
      <c r="D659" s="261"/>
      <c r="E659" s="261"/>
    </row>
    <row r="660" spans="1:5" x14ac:dyDescent="0.25">
      <c r="A660" s="261"/>
      <c r="B660" s="261"/>
      <c r="C660" s="272"/>
      <c r="D660" s="261"/>
      <c r="E660" s="261"/>
    </row>
    <row r="661" spans="1:5" x14ac:dyDescent="0.25">
      <c r="A661" s="261"/>
      <c r="B661" s="261"/>
      <c r="C661" s="272"/>
      <c r="D661" s="261"/>
      <c r="E661" s="261"/>
    </row>
    <row r="662" spans="1:5" x14ac:dyDescent="0.25">
      <c r="A662" s="261"/>
      <c r="B662" s="261"/>
      <c r="C662" s="272"/>
      <c r="D662" s="261"/>
      <c r="E662" s="261"/>
    </row>
    <row r="663" spans="1:5" x14ac:dyDescent="0.25">
      <c r="A663" s="261"/>
      <c r="B663" s="261"/>
      <c r="C663" s="272"/>
      <c r="D663" s="261"/>
      <c r="E663" s="261"/>
    </row>
    <row r="664" spans="1:5" x14ac:dyDescent="0.25">
      <c r="A664" s="261"/>
      <c r="B664" s="261"/>
      <c r="C664" s="272"/>
      <c r="D664" s="261"/>
      <c r="E664" s="261"/>
    </row>
    <row r="665" spans="1:5" x14ac:dyDescent="0.25">
      <c r="A665" s="261"/>
      <c r="B665" s="261"/>
      <c r="C665" s="272"/>
      <c r="D665" s="261"/>
      <c r="E665" s="261"/>
    </row>
    <row r="666" spans="1:5" x14ac:dyDescent="0.25">
      <c r="A666" s="261"/>
      <c r="B666" s="261"/>
      <c r="C666" s="272"/>
      <c r="D666" s="261"/>
      <c r="E666" s="261"/>
    </row>
    <row r="667" spans="1:5" x14ac:dyDescent="0.25">
      <c r="A667" s="261"/>
      <c r="B667" s="261"/>
      <c r="C667" s="272"/>
      <c r="D667" s="261"/>
      <c r="E667" s="261"/>
    </row>
    <row r="668" spans="1:5" x14ac:dyDescent="0.25">
      <c r="A668" s="261"/>
      <c r="B668" s="261"/>
      <c r="C668" s="272"/>
      <c r="D668" s="261"/>
      <c r="E668" s="261"/>
    </row>
    <row r="669" spans="1:5" x14ac:dyDescent="0.25">
      <c r="A669" s="261"/>
      <c r="B669" s="261"/>
      <c r="C669" s="272"/>
      <c r="D669" s="261"/>
      <c r="E669" s="261"/>
    </row>
    <row r="670" spans="1:5" x14ac:dyDescent="0.25">
      <c r="A670" s="261"/>
      <c r="B670" s="261"/>
      <c r="C670" s="272"/>
      <c r="D670" s="261"/>
      <c r="E670" s="261"/>
    </row>
    <row r="671" spans="1:5" x14ac:dyDescent="0.25">
      <c r="A671" s="261"/>
      <c r="B671" s="261"/>
      <c r="C671" s="272"/>
      <c r="D671" s="261"/>
      <c r="E671" s="261"/>
    </row>
    <row r="672" spans="1:5" x14ac:dyDescent="0.25">
      <c r="A672" s="261"/>
      <c r="B672" s="261"/>
      <c r="C672" s="272"/>
      <c r="D672" s="261"/>
      <c r="E672" s="261"/>
    </row>
    <row r="673" spans="1:5" x14ac:dyDescent="0.25">
      <c r="A673" s="261"/>
      <c r="B673" s="261"/>
      <c r="C673" s="272"/>
      <c r="D673" s="261"/>
      <c r="E673" s="261"/>
    </row>
    <row r="674" spans="1:5" x14ac:dyDescent="0.25">
      <c r="A674" s="261"/>
      <c r="B674" s="261"/>
      <c r="C674" s="272"/>
      <c r="D674" s="261"/>
      <c r="E674" s="261"/>
    </row>
    <row r="675" spans="1:5" x14ac:dyDescent="0.25">
      <c r="A675" s="261"/>
      <c r="B675" s="261"/>
      <c r="C675" s="272"/>
      <c r="D675" s="261"/>
      <c r="E675" s="261"/>
    </row>
    <row r="676" spans="1:5" x14ac:dyDescent="0.25">
      <c r="A676" s="261"/>
      <c r="B676" s="261"/>
      <c r="C676" s="272"/>
      <c r="D676" s="261"/>
      <c r="E676" s="261"/>
    </row>
    <row r="677" spans="1:5" x14ac:dyDescent="0.25">
      <c r="A677" s="261"/>
      <c r="B677" s="261"/>
      <c r="C677" s="272"/>
      <c r="D677" s="261"/>
      <c r="E677" s="261"/>
    </row>
    <row r="678" spans="1:5" x14ac:dyDescent="0.25">
      <c r="A678" s="261"/>
      <c r="B678" s="261"/>
      <c r="C678" s="272"/>
      <c r="D678" s="261"/>
      <c r="E678" s="261"/>
    </row>
    <row r="679" spans="1:5" x14ac:dyDescent="0.25">
      <c r="A679" s="261"/>
      <c r="B679" s="261"/>
      <c r="C679" s="272"/>
      <c r="D679" s="261"/>
      <c r="E679" s="261"/>
    </row>
    <row r="680" spans="1:5" x14ac:dyDescent="0.25">
      <c r="A680" s="261"/>
      <c r="B680" s="261"/>
      <c r="C680" s="272"/>
      <c r="D680" s="261"/>
      <c r="E680" s="261"/>
    </row>
    <row r="681" spans="1:5" x14ac:dyDescent="0.25">
      <c r="A681" s="261"/>
      <c r="B681" s="261"/>
      <c r="C681" s="272"/>
      <c r="D681" s="261"/>
      <c r="E681" s="261"/>
    </row>
    <row r="682" spans="1:5" x14ac:dyDescent="0.25">
      <c r="A682" s="261"/>
      <c r="B682" s="261"/>
      <c r="C682" s="272"/>
      <c r="D682" s="261"/>
      <c r="E682" s="261"/>
    </row>
    <row r="683" spans="1:5" x14ac:dyDescent="0.25">
      <c r="A683" s="261"/>
      <c r="B683" s="261"/>
      <c r="C683" s="272"/>
      <c r="D683" s="261"/>
      <c r="E683" s="261"/>
    </row>
    <row r="684" spans="1:5" x14ac:dyDescent="0.25">
      <c r="A684" s="261"/>
      <c r="B684" s="261"/>
      <c r="C684" s="272"/>
      <c r="D684" s="261"/>
      <c r="E684" s="261"/>
    </row>
    <row r="685" spans="1:5" x14ac:dyDescent="0.25">
      <c r="A685" s="261"/>
      <c r="B685" s="261"/>
      <c r="C685" s="272"/>
      <c r="D685" s="261"/>
      <c r="E685" s="261"/>
    </row>
    <row r="686" spans="1:5" x14ac:dyDescent="0.25">
      <c r="A686" s="261"/>
      <c r="B686" s="261"/>
      <c r="C686" s="272"/>
      <c r="D686" s="261"/>
      <c r="E686" s="261"/>
    </row>
    <row r="687" spans="1:5" x14ac:dyDescent="0.25">
      <c r="A687" s="261"/>
      <c r="B687" s="261"/>
      <c r="C687" s="272"/>
      <c r="D687" s="261"/>
      <c r="E687" s="261"/>
    </row>
    <row r="688" spans="1:5" x14ac:dyDescent="0.25">
      <c r="A688" s="261"/>
      <c r="B688" s="261"/>
      <c r="C688" s="272"/>
      <c r="D688" s="261"/>
      <c r="E688" s="261"/>
    </row>
    <row r="689" spans="1:5" x14ac:dyDescent="0.25">
      <c r="A689" s="261"/>
      <c r="B689" s="261"/>
      <c r="C689" s="272"/>
      <c r="D689" s="261"/>
      <c r="E689" s="261"/>
    </row>
    <row r="690" spans="1:5" x14ac:dyDescent="0.25">
      <c r="A690" s="261"/>
      <c r="B690" s="261"/>
      <c r="C690" s="272"/>
      <c r="D690" s="261"/>
      <c r="E690" s="261"/>
    </row>
    <row r="691" spans="1:5" x14ac:dyDescent="0.25">
      <c r="A691" s="261"/>
      <c r="B691" s="261"/>
      <c r="C691" s="272"/>
      <c r="D691" s="261"/>
      <c r="E691" s="261"/>
    </row>
    <row r="692" spans="1:5" x14ac:dyDescent="0.25">
      <c r="A692" s="261"/>
      <c r="B692" s="261"/>
      <c r="C692" s="272"/>
      <c r="D692" s="261"/>
      <c r="E692" s="261"/>
    </row>
    <row r="693" spans="1:5" x14ac:dyDescent="0.25">
      <c r="A693" s="261"/>
      <c r="B693" s="261"/>
      <c r="C693" s="272"/>
      <c r="D693" s="261"/>
      <c r="E693" s="261"/>
    </row>
    <row r="694" spans="1:5" x14ac:dyDescent="0.25">
      <c r="A694" s="261"/>
      <c r="B694" s="261"/>
      <c r="C694" s="272"/>
      <c r="D694" s="261"/>
      <c r="E694" s="261"/>
    </row>
    <row r="695" spans="1:5" x14ac:dyDescent="0.25">
      <c r="A695" s="261"/>
      <c r="B695" s="261"/>
      <c r="C695" s="272"/>
      <c r="D695" s="261"/>
      <c r="E695" s="261"/>
    </row>
    <row r="696" spans="1:5" x14ac:dyDescent="0.25">
      <c r="A696" s="261"/>
      <c r="B696" s="261"/>
      <c r="C696" s="272"/>
      <c r="D696" s="261"/>
      <c r="E696" s="261"/>
    </row>
    <row r="697" spans="1:5" x14ac:dyDescent="0.25">
      <c r="A697" s="261"/>
      <c r="B697" s="261"/>
      <c r="C697" s="272"/>
      <c r="D697" s="261"/>
      <c r="E697" s="261"/>
    </row>
    <row r="698" spans="1:5" x14ac:dyDescent="0.25">
      <c r="A698" s="261"/>
      <c r="B698" s="261"/>
      <c r="C698" s="272"/>
      <c r="D698" s="261"/>
      <c r="E698" s="261"/>
    </row>
    <row r="699" spans="1:5" x14ac:dyDescent="0.25">
      <c r="A699" s="261"/>
      <c r="B699" s="261"/>
      <c r="C699" s="272"/>
      <c r="D699" s="261"/>
      <c r="E699" s="261"/>
    </row>
    <row r="700" spans="1:5" x14ac:dyDescent="0.25">
      <c r="A700" s="261"/>
      <c r="B700" s="261"/>
      <c r="C700" s="272"/>
      <c r="D700" s="261"/>
      <c r="E700" s="261"/>
    </row>
    <row r="701" spans="1:5" x14ac:dyDescent="0.25">
      <c r="A701" s="261"/>
      <c r="B701" s="261"/>
      <c r="C701" s="272"/>
      <c r="D701" s="261"/>
      <c r="E701" s="261"/>
    </row>
    <row r="702" spans="1:5" x14ac:dyDescent="0.25">
      <c r="A702" s="261"/>
      <c r="B702" s="261"/>
      <c r="C702" s="272"/>
      <c r="D702" s="261"/>
      <c r="E702" s="261"/>
    </row>
    <row r="703" spans="1:5" x14ac:dyDescent="0.25">
      <c r="A703" s="261"/>
      <c r="B703" s="261"/>
      <c r="C703" s="272"/>
      <c r="D703" s="261"/>
      <c r="E703" s="261"/>
    </row>
    <row r="704" spans="1:5" x14ac:dyDescent="0.25">
      <c r="A704" s="261"/>
      <c r="B704" s="261"/>
      <c r="C704" s="272"/>
      <c r="D704" s="261"/>
      <c r="E704" s="261"/>
    </row>
    <row r="705" spans="1:5" x14ac:dyDescent="0.25">
      <c r="A705" s="261"/>
      <c r="B705" s="261"/>
      <c r="C705" s="272"/>
      <c r="D705" s="261"/>
      <c r="E705" s="261"/>
    </row>
    <row r="706" spans="1:5" x14ac:dyDescent="0.25">
      <c r="A706" s="261"/>
      <c r="B706" s="261"/>
      <c r="C706" s="272"/>
      <c r="D706" s="261"/>
      <c r="E706" s="261"/>
    </row>
    <row r="707" spans="1:5" x14ac:dyDescent="0.25">
      <c r="A707" s="261"/>
      <c r="B707" s="261"/>
      <c r="C707" s="272"/>
      <c r="D707" s="261"/>
      <c r="E707" s="261"/>
    </row>
    <row r="708" spans="1:5" x14ac:dyDescent="0.25">
      <c r="A708" s="261"/>
      <c r="B708" s="261"/>
      <c r="C708" s="272"/>
      <c r="D708" s="261"/>
      <c r="E708" s="261"/>
    </row>
    <row r="709" spans="1:5" x14ac:dyDescent="0.25">
      <c r="A709" s="261"/>
      <c r="B709" s="261"/>
      <c r="C709" s="272"/>
      <c r="D709" s="261"/>
      <c r="E709" s="261"/>
    </row>
    <row r="710" spans="1:5" x14ac:dyDescent="0.25">
      <c r="A710" s="261"/>
      <c r="B710" s="261"/>
      <c r="C710" s="272"/>
      <c r="D710" s="261"/>
      <c r="E710" s="261"/>
    </row>
    <row r="711" spans="1:5" x14ac:dyDescent="0.25">
      <c r="A711" s="261"/>
      <c r="B711" s="261"/>
      <c r="C711" s="272"/>
      <c r="D711" s="261"/>
      <c r="E711" s="261"/>
    </row>
    <row r="712" spans="1:5" x14ac:dyDescent="0.25">
      <c r="A712" s="261"/>
      <c r="B712" s="261"/>
      <c r="C712" s="272"/>
      <c r="D712" s="261"/>
      <c r="E712" s="261"/>
    </row>
    <row r="713" spans="1:5" x14ac:dyDescent="0.25">
      <c r="A713" s="261"/>
      <c r="B713" s="261"/>
      <c r="C713" s="272"/>
      <c r="D713" s="261"/>
      <c r="E713" s="261"/>
    </row>
    <row r="714" spans="1:5" x14ac:dyDescent="0.25">
      <c r="A714" s="261"/>
      <c r="B714" s="261"/>
      <c r="C714" s="272"/>
      <c r="D714" s="261"/>
      <c r="E714" s="261"/>
    </row>
    <row r="715" spans="1:5" x14ac:dyDescent="0.25">
      <c r="A715" s="261"/>
      <c r="B715" s="261"/>
      <c r="C715" s="272"/>
      <c r="D715" s="261"/>
      <c r="E715" s="261"/>
    </row>
    <row r="716" spans="1:5" x14ac:dyDescent="0.25">
      <c r="A716" s="261"/>
      <c r="B716" s="261"/>
      <c r="C716" s="272"/>
      <c r="D716" s="261"/>
      <c r="E716" s="261"/>
    </row>
    <row r="717" spans="1:5" x14ac:dyDescent="0.25">
      <c r="A717" s="261"/>
      <c r="B717" s="261"/>
      <c r="C717" s="272"/>
      <c r="D717" s="261"/>
      <c r="E717" s="261"/>
    </row>
    <row r="718" spans="1:5" x14ac:dyDescent="0.25">
      <c r="A718" s="261"/>
      <c r="B718" s="261"/>
      <c r="C718" s="272"/>
      <c r="D718" s="261"/>
      <c r="E718" s="261"/>
    </row>
    <row r="719" spans="1:5" x14ac:dyDescent="0.25">
      <c r="A719" s="261"/>
      <c r="B719" s="261"/>
      <c r="C719" s="272"/>
      <c r="D719" s="261"/>
      <c r="E719" s="261"/>
    </row>
    <row r="720" spans="1:5" x14ac:dyDescent="0.25">
      <c r="A720" s="261"/>
      <c r="B720" s="261"/>
      <c r="C720" s="272"/>
      <c r="D720" s="261"/>
      <c r="E720" s="261"/>
    </row>
    <row r="721" spans="1:5" x14ac:dyDescent="0.25">
      <c r="A721" s="261"/>
      <c r="B721" s="261"/>
      <c r="C721" s="272"/>
      <c r="D721" s="261"/>
      <c r="E721" s="261"/>
    </row>
    <row r="722" spans="1:5" x14ac:dyDescent="0.25">
      <c r="A722" s="261"/>
      <c r="B722" s="261"/>
      <c r="C722" s="272"/>
      <c r="D722" s="261"/>
      <c r="E722" s="261"/>
    </row>
    <row r="723" spans="1:5" x14ac:dyDescent="0.25">
      <c r="A723" s="261"/>
      <c r="B723" s="261"/>
      <c r="C723" s="272"/>
      <c r="D723" s="261"/>
      <c r="E723" s="261"/>
    </row>
    <row r="724" spans="1:5" x14ac:dyDescent="0.25">
      <c r="A724" s="261"/>
      <c r="B724" s="261"/>
      <c r="C724" s="272"/>
      <c r="D724" s="261"/>
      <c r="E724" s="261"/>
    </row>
    <row r="725" spans="1:5" x14ac:dyDescent="0.25">
      <c r="A725" s="261"/>
      <c r="B725" s="261"/>
      <c r="C725" s="272"/>
      <c r="D725" s="261"/>
      <c r="E725" s="261"/>
    </row>
    <row r="726" spans="1:5" x14ac:dyDescent="0.25">
      <c r="A726" s="261"/>
      <c r="B726" s="261"/>
      <c r="C726" s="272"/>
      <c r="D726" s="261"/>
      <c r="E726" s="261"/>
    </row>
    <row r="727" spans="1:5" x14ac:dyDescent="0.25">
      <c r="A727" s="261"/>
      <c r="B727" s="261"/>
      <c r="C727" s="272"/>
      <c r="D727" s="261"/>
      <c r="E727" s="261"/>
    </row>
    <row r="728" spans="1:5" x14ac:dyDescent="0.25">
      <c r="A728" s="261"/>
      <c r="B728" s="261"/>
      <c r="C728" s="272"/>
      <c r="D728" s="261"/>
      <c r="E728" s="261"/>
    </row>
    <row r="729" spans="1:5" x14ac:dyDescent="0.25">
      <c r="A729" s="261"/>
      <c r="B729" s="261"/>
      <c r="C729" s="272"/>
      <c r="D729" s="261"/>
      <c r="E729" s="261"/>
    </row>
    <row r="730" spans="1:5" x14ac:dyDescent="0.25">
      <c r="A730" s="261"/>
      <c r="B730" s="261"/>
      <c r="C730" s="272"/>
      <c r="D730" s="261"/>
      <c r="E730" s="261"/>
    </row>
    <row r="731" spans="1:5" x14ac:dyDescent="0.25">
      <c r="A731" s="261"/>
      <c r="B731" s="261"/>
      <c r="C731" s="272"/>
      <c r="D731" s="261"/>
      <c r="E731" s="261"/>
    </row>
    <row r="732" spans="1:5" x14ac:dyDescent="0.25">
      <c r="A732" s="261"/>
      <c r="B732" s="261"/>
      <c r="C732" s="272"/>
      <c r="D732" s="261"/>
      <c r="E732" s="261"/>
    </row>
    <row r="733" spans="1:5" x14ac:dyDescent="0.25">
      <c r="A733" s="261"/>
      <c r="B733" s="261"/>
      <c r="C733" s="272"/>
      <c r="D733" s="261"/>
      <c r="E733" s="261"/>
    </row>
    <row r="734" spans="1:5" x14ac:dyDescent="0.25">
      <c r="A734" s="261"/>
      <c r="B734" s="261"/>
      <c r="C734" s="272"/>
      <c r="D734" s="261"/>
      <c r="E734" s="261"/>
    </row>
    <row r="735" spans="1:5" x14ac:dyDescent="0.25">
      <c r="A735" s="261"/>
      <c r="B735" s="261"/>
      <c r="C735" s="272"/>
      <c r="D735" s="261"/>
      <c r="E735" s="261"/>
    </row>
    <row r="736" spans="1:5" x14ac:dyDescent="0.25">
      <c r="A736" s="261"/>
      <c r="B736" s="261"/>
      <c r="C736" s="272"/>
      <c r="D736" s="261"/>
      <c r="E736" s="261"/>
    </row>
    <row r="737" spans="1:5" x14ac:dyDescent="0.25">
      <c r="A737" s="261"/>
      <c r="B737" s="261"/>
      <c r="C737" s="272"/>
      <c r="D737" s="261"/>
      <c r="E737" s="261"/>
    </row>
    <row r="738" spans="1:5" x14ac:dyDescent="0.25">
      <c r="A738" s="261"/>
      <c r="B738" s="261"/>
      <c r="C738" s="272"/>
      <c r="D738" s="261"/>
      <c r="E738" s="261"/>
    </row>
    <row r="739" spans="1:5" x14ac:dyDescent="0.25">
      <c r="A739" s="261"/>
      <c r="B739" s="261"/>
      <c r="C739" s="272"/>
      <c r="D739" s="261"/>
      <c r="E739" s="261"/>
    </row>
    <row r="740" spans="1:5" x14ac:dyDescent="0.25">
      <c r="A740" s="261"/>
      <c r="B740" s="261"/>
      <c r="C740" s="272"/>
      <c r="D740" s="261"/>
      <c r="E740" s="261"/>
    </row>
    <row r="741" spans="1:5" x14ac:dyDescent="0.25">
      <c r="A741" s="261"/>
      <c r="B741" s="261"/>
      <c r="C741" s="272"/>
      <c r="D741" s="261"/>
      <c r="E741" s="261"/>
    </row>
    <row r="742" spans="1:5" x14ac:dyDescent="0.25">
      <c r="A742" s="261"/>
      <c r="B742" s="261"/>
      <c r="C742" s="272"/>
      <c r="D742" s="261"/>
      <c r="E742" s="261"/>
    </row>
    <row r="743" spans="1:5" x14ac:dyDescent="0.25">
      <c r="A743" s="261"/>
      <c r="B743" s="261"/>
      <c r="C743" s="272"/>
      <c r="D743" s="261"/>
      <c r="E743" s="261"/>
    </row>
    <row r="744" spans="1:5" x14ac:dyDescent="0.25">
      <c r="A744" s="261"/>
      <c r="B744" s="261"/>
      <c r="C744" s="272"/>
      <c r="D744" s="261"/>
      <c r="E744" s="261"/>
    </row>
    <row r="745" spans="1:5" x14ac:dyDescent="0.25">
      <c r="A745" s="261"/>
      <c r="B745" s="261"/>
      <c r="C745" s="272"/>
      <c r="D745" s="261"/>
      <c r="E745" s="261"/>
    </row>
    <row r="746" spans="1:5" x14ac:dyDescent="0.25">
      <c r="A746" s="261"/>
      <c r="B746" s="261"/>
      <c r="C746" s="272"/>
      <c r="D746" s="261"/>
      <c r="E746" s="261"/>
    </row>
    <row r="747" spans="1:5" x14ac:dyDescent="0.25">
      <c r="A747" s="261"/>
      <c r="B747" s="261"/>
      <c r="C747" s="272"/>
      <c r="D747" s="261"/>
      <c r="E747" s="261"/>
    </row>
    <row r="748" spans="1:5" x14ac:dyDescent="0.25">
      <c r="A748" s="261"/>
      <c r="B748" s="261"/>
      <c r="C748" s="272"/>
      <c r="D748" s="261"/>
      <c r="E748" s="261"/>
    </row>
    <row r="749" spans="1:5" x14ac:dyDescent="0.25">
      <c r="A749" s="261"/>
      <c r="B749" s="261"/>
      <c r="C749" s="272"/>
      <c r="D749" s="261"/>
      <c r="E749" s="261"/>
    </row>
    <row r="750" spans="1:5" x14ac:dyDescent="0.25">
      <c r="A750" s="261"/>
      <c r="B750" s="261"/>
      <c r="C750" s="272"/>
      <c r="D750" s="261"/>
      <c r="E750" s="261"/>
    </row>
    <row r="751" spans="1:5" x14ac:dyDescent="0.25">
      <c r="A751" s="261"/>
      <c r="B751" s="261"/>
      <c r="C751" s="272"/>
      <c r="D751" s="261"/>
      <c r="E751" s="261"/>
    </row>
    <row r="752" spans="1:5" x14ac:dyDescent="0.25">
      <c r="A752" s="261"/>
      <c r="B752" s="261"/>
      <c r="C752" s="272"/>
      <c r="D752" s="261"/>
      <c r="E752" s="261"/>
    </row>
    <row r="753" spans="1:5" x14ac:dyDescent="0.25">
      <c r="A753" s="261"/>
      <c r="B753" s="261"/>
      <c r="C753" s="272"/>
      <c r="D753" s="261"/>
      <c r="E753" s="261"/>
    </row>
    <row r="754" spans="1:5" x14ac:dyDescent="0.25">
      <c r="A754" s="261"/>
      <c r="B754" s="261"/>
      <c r="C754" s="272"/>
      <c r="D754" s="261"/>
      <c r="E754" s="261"/>
    </row>
    <row r="755" spans="1:5" x14ac:dyDescent="0.25">
      <c r="A755" s="261"/>
      <c r="B755" s="261"/>
      <c r="C755" s="272"/>
      <c r="D755" s="261"/>
      <c r="E755" s="261"/>
    </row>
    <row r="756" spans="1:5" x14ac:dyDescent="0.25">
      <c r="A756" s="261"/>
      <c r="B756" s="261"/>
      <c r="C756" s="272"/>
      <c r="D756" s="261"/>
      <c r="E756" s="261"/>
    </row>
    <row r="757" spans="1:5" x14ac:dyDescent="0.25">
      <c r="A757" s="261"/>
      <c r="B757" s="261"/>
      <c r="C757" s="272"/>
      <c r="D757" s="261"/>
      <c r="E757" s="261"/>
    </row>
    <row r="758" spans="1:5" x14ac:dyDescent="0.25">
      <c r="A758" s="261"/>
      <c r="B758" s="261"/>
      <c r="C758" s="272"/>
      <c r="D758" s="261"/>
      <c r="E758" s="261"/>
    </row>
    <row r="759" spans="1:5" x14ac:dyDescent="0.25">
      <c r="A759" s="261"/>
      <c r="B759" s="261"/>
      <c r="C759" s="272"/>
      <c r="D759" s="261"/>
      <c r="E759" s="261"/>
    </row>
    <row r="760" spans="1:5" x14ac:dyDescent="0.25">
      <c r="A760" s="261"/>
      <c r="B760" s="261"/>
      <c r="C760" s="272"/>
      <c r="D760" s="261"/>
      <c r="E760" s="261"/>
    </row>
    <row r="761" spans="1:5" x14ac:dyDescent="0.25">
      <c r="A761" s="261"/>
      <c r="B761" s="261"/>
      <c r="C761" s="272"/>
      <c r="D761" s="261"/>
      <c r="E761" s="261"/>
    </row>
    <row r="762" spans="1:5" x14ac:dyDescent="0.25">
      <c r="A762" s="261"/>
      <c r="B762" s="261"/>
      <c r="C762" s="272"/>
      <c r="D762" s="261"/>
      <c r="E762" s="261"/>
    </row>
    <row r="763" spans="1:5" x14ac:dyDescent="0.25">
      <c r="A763" s="261"/>
      <c r="B763" s="261"/>
      <c r="C763" s="272"/>
      <c r="D763" s="261"/>
      <c r="E763" s="261"/>
    </row>
    <row r="764" spans="1:5" x14ac:dyDescent="0.25">
      <c r="A764" s="261"/>
      <c r="B764" s="261"/>
      <c r="C764" s="272"/>
      <c r="D764" s="261"/>
      <c r="E764" s="261"/>
    </row>
    <row r="765" spans="1:5" x14ac:dyDescent="0.25">
      <c r="A765" s="261"/>
      <c r="B765" s="261"/>
      <c r="C765" s="272"/>
      <c r="D765" s="261"/>
      <c r="E765" s="261"/>
    </row>
    <row r="766" spans="1:5" x14ac:dyDescent="0.25">
      <c r="A766" s="261"/>
      <c r="B766" s="261"/>
      <c r="C766" s="272"/>
      <c r="D766" s="261"/>
      <c r="E766" s="261"/>
    </row>
    <row r="767" spans="1:5" x14ac:dyDescent="0.25">
      <c r="A767" s="261"/>
      <c r="B767" s="261"/>
      <c r="C767" s="272"/>
      <c r="D767" s="261"/>
      <c r="E767" s="261"/>
    </row>
    <row r="768" spans="1:5" x14ac:dyDescent="0.25">
      <c r="A768" s="261"/>
      <c r="B768" s="261"/>
      <c r="C768" s="272"/>
      <c r="D768" s="261"/>
      <c r="E768" s="261"/>
    </row>
    <row r="769" spans="1:5" x14ac:dyDescent="0.25">
      <c r="A769" s="261"/>
      <c r="B769" s="261"/>
      <c r="C769" s="272"/>
      <c r="D769" s="261"/>
      <c r="E769" s="261"/>
    </row>
    <row r="770" spans="1:5" x14ac:dyDescent="0.25">
      <c r="A770" s="261"/>
      <c r="B770" s="261"/>
      <c r="C770" s="272"/>
      <c r="D770" s="261"/>
      <c r="E770" s="261"/>
    </row>
    <row r="771" spans="1:5" x14ac:dyDescent="0.25">
      <c r="A771" s="261"/>
      <c r="B771" s="261"/>
      <c r="C771" s="272"/>
      <c r="D771" s="261"/>
      <c r="E771" s="261"/>
    </row>
    <row r="772" spans="1:5" x14ac:dyDescent="0.25">
      <c r="A772" s="261"/>
      <c r="B772" s="261"/>
      <c r="C772" s="272"/>
      <c r="D772" s="261"/>
      <c r="E772" s="261"/>
    </row>
    <row r="773" spans="1:5" x14ac:dyDescent="0.25">
      <c r="A773" s="261"/>
      <c r="B773" s="261"/>
      <c r="C773" s="272"/>
      <c r="D773" s="261"/>
      <c r="E773" s="261"/>
    </row>
    <row r="774" spans="1:5" x14ac:dyDescent="0.25">
      <c r="A774" s="261"/>
      <c r="B774" s="261"/>
      <c r="C774" s="272"/>
      <c r="D774" s="261"/>
      <c r="E774" s="261"/>
    </row>
    <row r="775" spans="1:5" x14ac:dyDescent="0.25">
      <c r="A775" s="261"/>
      <c r="B775" s="261"/>
      <c r="C775" s="272"/>
      <c r="D775" s="261"/>
      <c r="E775" s="261"/>
    </row>
    <row r="776" spans="1:5" x14ac:dyDescent="0.25">
      <c r="A776" s="261"/>
      <c r="B776" s="261"/>
      <c r="C776" s="272"/>
      <c r="D776" s="261"/>
      <c r="E776" s="261"/>
    </row>
    <row r="777" spans="1:5" x14ac:dyDescent="0.25">
      <c r="A777" s="261"/>
      <c r="B777" s="261"/>
      <c r="C777" s="272"/>
      <c r="D777" s="261"/>
      <c r="E777" s="261"/>
    </row>
    <row r="778" spans="1:5" x14ac:dyDescent="0.25">
      <c r="A778" s="261"/>
      <c r="B778" s="261"/>
      <c r="C778" s="272"/>
      <c r="D778" s="261"/>
      <c r="E778" s="261"/>
    </row>
    <row r="779" spans="1:5" x14ac:dyDescent="0.25">
      <c r="A779" s="261"/>
      <c r="B779" s="261"/>
      <c r="C779" s="272"/>
      <c r="D779" s="261"/>
      <c r="E779" s="261"/>
    </row>
    <row r="780" spans="1:5" x14ac:dyDescent="0.25">
      <c r="A780" s="261"/>
      <c r="B780" s="261"/>
      <c r="C780" s="272"/>
      <c r="D780" s="261"/>
      <c r="E780" s="261"/>
    </row>
    <row r="781" spans="1:5" x14ac:dyDescent="0.25">
      <c r="A781" s="261"/>
      <c r="B781" s="261"/>
      <c r="C781" s="272"/>
      <c r="D781" s="261"/>
      <c r="E781" s="261"/>
    </row>
    <row r="782" spans="1:5" x14ac:dyDescent="0.25">
      <c r="A782" s="261"/>
      <c r="B782" s="261"/>
      <c r="C782" s="272"/>
      <c r="D782" s="261"/>
      <c r="E782" s="261"/>
    </row>
    <row r="783" spans="1:5" x14ac:dyDescent="0.25">
      <c r="A783" s="261"/>
      <c r="B783" s="261"/>
      <c r="C783" s="272"/>
      <c r="D783" s="261"/>
      <c r="E783" s="261"/>
    </row>
    <row r="784" spans="1:5" x14ac:dyDescent="0.25">
      <c r="A784" s="261"/>
      <c r="B784" s="261"/>
      <c r="C784" s="272"/>
      <c r="D784" s="261"/>
      <c r="E784" s="261"/>
    </row>
    <row r="785" spans="1:5" x14ac:dyDescent="0.25">
      <c r="A785" s="261"/>
      <c r="B785" s="261"/>
      <c r="C785" s="272"/>
      <c r="D785" s="261"/>
      <c r="E785" s="261"/>
    </row>
    <row r="786" spans="1:5" x14ac:dyDescent="0.25">
      <c r="A786" s="261"/>
      <c r="B786" s="261"/>
      <c r="C786" s="272"/>
      <c r="D786" s="261"/>
      <c r="E786" s="261"/>
    </row>
    <row r="787" spans="1:5" x14ac:dyDescent="0.25">
      <c r="A787" s="261"/>
      <c r="B787" s="261"/>
      <c r="C787" s="272"/>
      <c r="D787" s="261"/>
      <c r="E787" s="261"/>
    </row>
    <row r="788" spans="1:5" x14ac:dyDescent="0.25">
      <c r="A788" s="261"/>
      <c r="B788" s="261"/>
      <c r="C788" s="272"/>
      <c r="D788" s="261"/>
      <c r="E788" s="261"/>
    </row>
    <row r="789" spans="1:5" x14ac:dyDescent="0.25">
      <c r="A789" s="261"/>
      <c r="B789" s="261"/>
      <c r="C789" s="272"/>
      <c r="D789" s="261"/>
      <c r="E789" s="261"/>
    </row>
    <row r="790" spans="1:5" x14ac:dyDescent="0.25">
      <c r="A790" s="261"/>
      <c r="B790" s="261"/>
      <c r="C790" s="272"/>
      <c r="D790" s="261"/>
      <c r="E790" s="261"/>
    </row>
    <row r="791" spans="1:5" x14ac:dyDescent="0.25">
      <c r="A791" s="261"/>
      <c r="B791" s="261"/>
      <c r="C791" s="272"/>
      <c r="D791" s="261"/>
      <c r="E791" s="261"/>
    </row>
    <row r="792" spans="1:5" x14ac:dyDescent="0.25">
      <c r="A792" s="261"/>
      <c r="B792" s="261"/>
      <c r="C792" s="272"/>
      <c r="D792" s="261"/>
      <c r="E792" s="261"/>
    </row>
    <row r="793" spans="1:5" x14ac:dyDescent="0.25">
      <c r="A793" s="261"/>
      <c r="B793" s="261"/>
      <c r="C793" s="272"/>
      <c r="D793" s="261"/>
      <c r="E793" s="261"/>
    </row>
    <row r="794" spans="1:5" x14ac:dyDescent="0.25">
      <c r="A794" s="261"/>
      <c r="B794" s="261"/>
      <c r="C794" s="272"/>
      <c r="D794" s="261"/>
      <c r="E794" s="261"/>
    </row>
    <row r="795" spans="1:5" x14ac:dyDescent="0.25">
      <c r="A795" s="261"/>
      <c r="B795" s="261"/>
      <c r="C795" s="272"/>
      <c r="D795" s="261"/>
      <c r="E795" s="261"/>
    </row>
    <row r="796" spans="1:5" x14ac:dyDescent="0.25">
      <c r="A796" s="261"/>
      <c r="B796" s="261"/>
      <c r="C796" s="272"/>
      <c r="D796" s="261"/>
      <c r="E796" s="261"/>
    </row>
    <row r="797" spans="1:5" x14ac:dyDescent="0.25">
      <c r="A797" s="261"/>
      <c r="B797" s="261"/>
      <c r="C797" s="272"/>
      <c r="D797" s="261"/>
      <c r="E797" s="261"/>
    </row>
    <row r="798" spans="1:5" x14ac:dyDescent="0.25">
      <c r="A798" s="261"/>
      <c r="B798" s="261"/>
      <c r="C798" s="272"/>
      <c r="D798" s="261"/>
      <c r="E798" s="261"/>
    </row>
    <row r="799" spans="1:5" x14ac:dyDescent="0.25">
      <c r="A799" s="261"/>
      <c r="B799" s="261"/>
      <c r="C799" s="272"/>
      <c r="D799" s="261"/>
      <c r="E799" s="261"/>
    </row>
    <row r="800" spans="1:5" x14ac:dyDescent="0.25">
      <c r="A800" s="261"/>
      <c r="B800" s="261"/>
      <c r="C800" s="272"/>
      <c r="D800" s="261"/>
      <c r="E800" s="261"/>
    </row>
    <row r="801" spans="1:5" x14ac:dyDescent="0.25">
      <c r="A801" s="261"/>
      <c r="B801" s="261"/>
      <c r="C801" s="272"/>
      <c r="D801" s="261"/>
      <c r="E801" s="261"/>
    </row>
    <row r="802" spans="1:5" x14ac:dyDescent="0.25">
      <c r="A802" s="261"/>
      <c r="B802" s="261"/>
      <c r="C802" s="272"/>
      <c r="D802" s="261"/>
      <c r="E802" s="261"/>
    </row>
    <row r="803" spans="1:5" x14ac:dyDescent="0.25">
      <c r="A803" s="261"/>
      <c r="B803" s="261"/>
      <c r="C803" s="272"/>
      <c r="D803" s="261"/>
      <c r="E803" s="261"/>
    </row>
    <row r="804" spans="1:5" x14ac:dyDescent="0.25">
      <c r="A804" s="261"/>
      <c r="B804" s="261"/>
      <c r="C804" s="272"/>
      <c r="D804" s="261"/>
      <c r="E804" s="261"/>
    </row>
    <row r="805" spans="1:5" x14ac:dyDescent="0.25">
      <c r="A805" s="261"/>
      <c r="B805" s="261"/>
      <c r="C805" s="272"/>
      <c r="D805" s="261"/>
      <c r="E805" s="261"/>
    </row>
    <row r="806" spans="1:5" x14ac:dyDescent="0.25">
      <c r="A806" s="261"/>
      <c r="B806" s="261"/>
      <c r="C806" s="272"/>
      <c r="D806" s="261"/>
      <c r="E806" s="261"/>
    </row>
    <row r="807" spans="1:5" x14ac:dyDescent="0.25">
      <c r="A807" s="261"/>
      <c r="B807" s="261"/>
      <c r="C807" s="272"/>
      <c r="D807" s="261"/>
      <c r="E807" s="261"/>
    </row>
    <row r="808" spans="1:5" x14ac:dyDescent="0.25">
      <c r="A808" s="261"/>
      <c r="B808" s="261"/>
      <c r="C808" s="272"/>
      <c r="D808" s="261"/>
      <c r="E808" s="261"/>
    </row>
    <row r="809" spans="1:5" x14ac:dyDescent="0.25">
      <c r="A809" s="261"/>
      <c r="B809" s="261"/>
      <c r="C809" s="272"/>
      <c r="D809" s="261"/>
      <c r="E809" s="261"/>
    </row>
    <row r="810" spans="1:5" x14ac:dyDescent="0.25">
      <c r="A810" s="261"/>
      <c r="B810" s="261"/>
      <c r="C810" s="272"/>
      <c r="D810" s="261"/>
      <c r="E810" s="261"/>
    </row>
    <row r="811" spans="1:5" x14ac:dyDescent="0.25">
      <c r="A811" s="261"/>
      <c r="B811" s="261"/>
      <c r="C811" s="272"/>
      <c r="D811" s="261"/>
      <c r="E811" s="261"/>
    </row>
    <row r="812" spans="1:5" x14ac:dyDescent="0.25">
      <c r="A812" s="261"/>
      <c r="B812" s="261"/>
      <c r="C812" s="272"/>
      <c r="D812" s="261"/>
      <c r="E812" s="261"/>
    </row>
    <row r="813" spans="1:5" x14ac:dyDescent="0.25">
      <c r="A813" s="261"/>
      <c r="B813" s="261"/>
      <c r="C813" s="272"/>
      <c r="D813" s="261"/>
      <c r="E813" s="261"/>
    </row>
    <row r="814" spans="1:5" x14ac:dyDescent="0.25">
      <c r="A814" s="261"/>
      <c r="B814" s="261"/>
      <c r="C814" s="272"/>
      <c r="D814" s="261"/>
      <c r="E814" s="261"/>
    </row>
    <row r="815" spans="1:5" x14ac:dyDescent="0.25">
      <c r="A815" s="261"/>
      <c r="B815" s="261"/>
      <c r="C815" s="272"/>
      <c r="D815" s="261"/>
      <c r="E815" s="261"/>
    </row>
    <row r="816" spans="1:5" x14ac:dyDescent="0.25">
      <c r="A816" s="261"/>
      <c r="B816" s="261"/>
      <c r="C816" s="272"/>
      <c r="D816" s="261"/>
      <c r="E816" s="261"/>
    </row>
    <row r="817" spans="1:5" x14ac:dyDescent="0.25">
      <c r="A817" s="261"/>
      <c r="B817" s="261"/>
      <c r="C817" s="272"/>
      <c r="D817" s="261"/>
      <c r="E817" s="261"/>
    </row>
    <row r="818" spans="1:5" x14ac:dyDescent="0.25">
      <c r="A818" s="261"/>
      <c r="B818" s="261"/>
      <c r="C818" s="272"/>
      <c r="D818" s="261"/>
      <c r="E818" s="261"/>
    </row>
    <row r="819" spans="1:5" x14ac:dyDescent="0.25">
      <c r="A819" s="261"/>
      <c r="B819" s="261"/>
      <c r="C819" s="272"/>
      <c r="D819" s="261"/>
      <c r="E819" s="261"/>
    </row>
    <row r="820" spans="1:5" x14ac:dyDescent="0.25">
      <c r="A820" s="261"/>
      <c r="B820" s="261"/>
      <c r="C820" s="272"/>
      <c r="D820" s="261"/>
      <c r="E820" s="261"/>
    </row>
    <row r="821" spans="1:5" x14ac:dyDescent="0.25">
      <c r="A821" s="261"/>
      <c r="B821" s="261"/>
      <c r="C821" s="272"/>
      <c r="D821" s="261"/>
      <c r="E821" s="261"/>
    </row>
    <row r="822" spans="1:5" x14ac:dyDescent="0.25">
      <c r="A822" s="261"/>
      <c r="B822" s="261"/>
      <c r="C822" s="272"/>
      <c r="D822" s="261"/>
      <c r="E822" s="261"/>
    </row>
    <row r="823" spans="1:5" x14ac:dyDescent="0.25">
      <c r="A823" s="261"/>
      <c r="B823" s="261"/>
      <c r="C823" s="272"/>
      <c r="D823" s="261"/>
      <c r="E823" s="261"/>
    </row>
    <row r="824" spans="1:5" x14ac:dyDescent="0.25">
      <c r="A824" s="261"/>
      <c r="B824" s="261"/>
      <c r="C824" s="272"/>
      <c r="D824" s="261"/>
      <c r="E824" s="261"/>
    </row>
    <row r="825" spans="1:5" x14ac:dyDescent="0.25">
      <c r="A825" s="261"/>
      <c r="B825" s="261"/>
      <c r="C825" s="272"/>
      <c r="D825" s="261"/>
      <c r="E825" s="261"/>
    </row>
    <row r="826" spans="1:5" x14ac:dyDescent="0.25">
      <c r="A826" s="261"/>
      <c r="B826" s="261"/>
      <c r="C826" s="272"/>
      <c r="D826" s="261"/>
      <c r="E826" s="261"/>
    </row>
    <row r="827" spans="1:5" x14ac:dyDescent="0.25">
      <c r="A827" s="261"/>
      <c r="B827" s="261"/>
      <c r="C827" s="272"/>
      <c r="D827" s="261"/>
      <c r="E827" s="261"/>
    </row>
    <row r="828" spans="1:5" x14ac:dyDescent="0.25">
      <c r="A828" s="261"/>
      <c r="B828" s="261"/>
      <c r="C828" s="272"/>
      <c r="D828" s="261"/>
      <c r="E828" s="261"/>
    </row>
    <row r="829" spans="1:5" x14ac:dyDescent="0.25">
      <c r="A829" s="261"/>
      <c r="B829" s="261"/>
      <c r="C829" s="272"/>
      <c r="D829" s="261"/>
      <c r="E829" s="261"/>
    </row>
    <row r="830" spans="1:5" x14ac:dyDescent="0.25">
      <c r="A830" s="261"/>
      <c r="B830" s="261"/>
      <c r="C830" s="272"/>
      <c r="D830" s="261"/>
      <c r="E830" s="261"/>
    </row>
    <row r="831" spans="1:5" x14ac:dyDescent="0.25">
      <c r="A831" s="261"/>
      <c r="B831" s="261"/>
      <c r="C831" s="272"/>
      <c r="D831" s="261"/>
      <c r="E831" s="261"/>
    </row>
    <row r="832" spans="1:5" x14ac:dyDescent="0.25">
      <c r="A832" s="261"/>
      <c r="B832" s="261"/>
      <c r="C832" s="272"/>
      <c r="D832" s="261"/>
      <c r="E832" s="261"/>
    </row>
    <row r="833" spans="1:5" x14ac:dyDescent="0.25">
      <c r="A833" s="261"/>
      <c r="B833" s="261"/>
      <c r="C833" s="272"/>
      <c r="D833" s="261"/>
      <c r="E833" s="261"/>
    </row>
    <row r="834" spans="1:5" x14ac:dyDescent="0.25">
      <c r="A834" s="261"/>
      <c r="B834" s="261"/>
      <c r="C834" s="272"/>
      <c r="D834" s="261"/>
      <c r="E834" s="261"/>
    </row>
    <row r="835" spans="1:5" x14ac:dyDescent="0.25">
      <c r="A835" s="261"/>
      <c r="B835" s="261"/>
      <c r="C835" s="272"/>
      <c r="D835" s="261"/>
      <c r="E835" s="261"/>
    </row>
    <row r="836" spans="1:5" x14ac:dyDescent="0.25">
      <c r="A836" s="261"/>
      <c r="B836" s="261"/>
      <c r="C836" s="272"/>
      <c r="D836" s="261"/>
      <c r="E836" s="261"/>
    </row>
    <row r="837" spans="1:5" x14ac:dyDescent="0.25">
      <c r="A837" s="261"/>
      <c r="B837" s="261"/>
      <c r="C837" s="272"/>
      <c r="D837" s="261"/>
      <c r="E837" s="261"/>
    </row>
    <row r="838" spans="1:5" x14ac:dyDescent="0.25">
      <c r="A838" s="261"/>
      <c r="B838" s="261"/>
      <c r="C838" s="272"/>
      <c r="D838" s="261"/>
      <c r="E838" s="261"/>
    </row>
    <row r="839" spans="1:5" x14ac:dyDescent="0.25">
      <c r="A839" s="261"/>
      <c r="B839" s="261"/>
      <c r="C839" s="272"/>
      <c r="D839" s="261"/>
      <c r="E839" s="261"/>
    </row>
    <row r="840" spans="1:5" x14ac:dyDescent="0.25">
      <c r="A840" s="261"/>
      <c r="B840" s="261"/>
      <c r="C840" s="272"/>
      <c r="D840" s="261"/>
      <c r="E840" s="261"/>
    </row>
    <row r="841" spans="1:5" x14ac:dyDescent="0.25">
      <c r="A841" s="261"/>
      <c r="B841" s="261"/>
      <c r="C841" s="272"/>
      <c r="D841" s="261"/>
      <c r="E841" s="261"/>
    </row>
    <row r="842" spans="1:5" x14ac:dyDescent="0.25">
      <c r="A842" s="261"/>
      <c r="B842" s="261"/>
      <c r="C842" s="272"/>
      <c r="D842" s="261"/>
      <c r="E842" s="261"/>
    </row>
    <row r="843" spans="1:5" x14ac:dyDescent="0.25">
      <c r="A843" s="261"/>
      <c r="B843" s="261"/>
      <c r="C843" s="272"/>
      <c r="D843" s="261"/>
      <c r="E843" s="261"/>
    </row>
    <row r="844" spans="1:5" x14ac:dyDescent="0.25">
      <c r="A844" s="261"/>
      <c r="B844" s="261"/>
      <c r="C844" s="272"/>
      <c r="D844" s="261"/>
      <c r="E844" s="261"/>
    </row>
    <row r="845" spans="1:5" x14ac:dyDescent="0.25">
      <c r="A845" s="261"/>
      <c r="B845" s="261"/>
      <c r="C845" s="272"/>
      <c r="D845" s="261"/>
      <c r="E845" s="261"/>
    </row>
    <row r="846" spans="1:5" x14ac:dyDescent="0.25">
      <c r="A846" s="261"/>
      <c r="B846" s="261"/>
      <c r="C846" s="272"/>
      <c r="D846" s="261"/>
      <c r="E846" s="261"/>
    </row>
    <row r="847" spans="1:5" x14ac:dyDescent="0.25">
      <c r="A847" s="261"/>
      <c r="B847" s="261"/>
      <c r="C847" s="272"/>
      <c r="D847" s="261"/>
      <c r="E847" s="261"/>
    </row>
    <row r="848" spans="1:5" x14ac:dyDescent="0.25">
      <c r="A848" s="261"/>
      <c r="B848" s="261"/>
      <c r="C848" s="272"/>
      <c r="D848" s="261"/>
      <c r="E848" s="261"/>
    </row>
    <row r="849" spans="1:5" x14ac:dyDescent="0.25">
      <c r="A849" s="261"/>
      <c r="B849" s="261"/>
      <c r="C849" s="272"/>
      <c r="D849" s="261"/>
      <c r="E849" s="261"/>
    </row>
    <row r="850" spans="1:5" x14ac:dyDescent="0.25">
      <c r="A850" s="261"/>
      <c r="B850" s="261"/>
      <c r="C850" s="272"/>
      <c r="D850" s="261"/>
      <c r="E850" s="261"/>
    </row>
    <row r="851" spans="1:5" x14ac:dyDescent="0.25">
      <c r="A851" s="261"/>
      <c r="B851" s="261"/>
      <c r="C851" s="272"/>
      <c r="D851" s="261"/>
      <c r="E851" s="261"/>
    </row>
    <row r="852" spans="1:5" x14ac:dyDescent="0.25">
      <c r="A852" s="261"/>
      <c r="B852" s="261"/>
      <c r="C852" s="272"/>
      <c r="D852" s="261"/>
      <c r="E852" s="261"/>
    </row>
    <row r="853" spans="1:5" x14ac:dyDescent="0.25">
      <c r="A853" s="261"/>
      <c r="B853" s="261"/>
      <c r="C853" s="272"/>
      <c r="D853" s="261"/>
      <c r="E853" s="261"/>
    </row>
    <row r="854" spans="1:5" x14ac:dyDescent="0.25">
      <c r="A854" s="261"/>
      <c r="B854" s="261"/>
      <c r="C854" s="272"/>
      <c r="D854" s="261"/>
      <c r="E854" s="261"/>
    </row>
    <row r="855" spans="1:5" x14ac:dyDescent="0.25">
      <c r="A855" s="261"/>
      <c r="B855" s="261"/>
      <c r="C855" s="272"/>
      <c r="D855" s="261"/>
      <c r="E855" s="261"/>
    </row>
    <row r="856" spans="1:5" x14ac:dyDescent="0.25">
      <c r="A856" s="261"/>
      <c r="B856" s="261"/>
      <c r="C856" s="272"/>
      <c r="D856" s="261"/>
      <c r="E856" s="261"/>
    </row>
    <row r="857" spans="1:5" x14ac:dyDescent="0.25">
      <c r="A857" s="261"/>
      <c r="B857" s="261"/>
      <c r="C857" s="272"/>
      <c r="D857" s="261"/>
      <c r="E857" s="261"/>
    </row>
    <row r="858" spans="1:5" x14ac:dyDescent="0.25">
      <c r="A858" s="261"/>
      <c r="B858" s="261"/>
      <c r="C858" s="272"/>
      <c r="D858" s="261"/>
      <c r="E858" s="261"/>
    </row>
    <row r="859" spans="1:5" x14ac:dyDescent="0.25">
      <c r="A859" s="261"/>
      <c r="B859" s="261"/>
      <c r="C859" s="272"/>
      <c r="D859" s="261"/>
      <c r="E859" s="261"/>
    </row>
    <row r="860" spans="1:5" x14ac:dyDescent="0.25">
      <c r="A860" s="261"/>
      <c r="B860" s="261"/>
      <c r="C860" s="272"/>
      <c r="D860" s="261"/>
      <c r="E860" s="261"/>
    </row>
    <row r="861" spans="1:5" x14ac:dyDescent="0.25">
      <c r="A861" s="261"/>
      <c r="B861" s="261"/>
      <c r="C861" s="272"/>
      <c r="D861" s="261"/>
      <c r="E861" s="261"/>
    </row>
    <row r="862" spans="1:5" x14ac:dyDescent="0.25">
      <c r="A862" s="261"/>
      <c r="B862" s="261"/>
      <c r="C862" s="272"/>
      <c r="D862" s="261"/>
      <c r="E862" s="261"/>
    </row>
    <row r="863" spans="1:5" x14ac:dyDescent="0.25">
      <c r="A863" s="261"/>
      <c r="B863" s="261"/>
      <c r="C863" s="272"/>
      <c r="D863" s="261"/>
      <c r="E863" s="261"/>
    </row>
    <row r="864" spans="1:5" x14ac:dyDescent="0.25">
      <c r="A864" s="261"/>
      <c r="B864" s="261"/>
      <c r="C864" s="272"/>
      <c r="D864" s="261"/>
      <c r="E864" s="261"/>
    </row>
    <row r="865" spans="1:5" x14ac:dyDescent="0.25">
      <c r="A865" s="261"/>
      <c r="B865" s="261"/>
      <c r="C865" s="272"/>
      <c r="D865" s="261"/>
      <c r="E865" s="261"/>
    </row>
    <row r="866" spans="1:5" x14ac:dyDescent="0.25">
      <c r="A866" s="261"/>
      <c r="B866" s="261"/>
      <c r="C866" s="272"/>
      <c r="D866" s="261"/>
      <c r="E866" s="261"/>
    </row>
    <row r="867" spans="1:5" x14ac:dyDescent="0.25">
      <c r="A867" s="261"/>
      <c r="B867" s="261"/>
      <c r="C867" s="272"/>
      <c r="D867" s="261"/>
      <c r="E867" s="261"/>
    </row>
    <row r="868" spans="1:5" x14ac:dyDescent="0.25">
      <c r="A868" s="261"/>
      <c r="B868" s="261"/>
      <c r="C868" s="272"/>
      <c r="D868" s="261"/>
      <c r="E868" s="261"/>
    </row>
    <row r="869" spans="1:5" x14ac:dyDescent="0.25">
      <c r="A869" s="261"/>
      <c r="B869" s="261"/>
      <c r="C869" s="272"/>
      <c r="D869" s="261"/>
      <c r="E869" s="261"/>
    </row>
    <row r="870" spans="1:5" x14ac:dyDescent="0.25">
      <c r="A870" s="261"/>
      <c r="B870" s="261"/>
      <c r="C870" s="272"/>
      <c r="D870" s="261"/>
      <c r="E870" s="261"/>
    </row>
    <row r="871" spans="1:5" x14ac:dyDescent="0.25">
      <c r="A871" s="261"/>
      <c r="B871" s="261"/>
      <c r="C871" s="272"/>
      <c r="D871" s="261"/>
      <c r="E871" s="261"/>
    </row>
    <row r="872" spans="1:5" x14ac:dyDescent="0.25">
      <c r="A872" s="261"/>
      <c r="B872" s="261"/>
      <c r="C872" s="272"/>
      <c r="D872" s="261"/>
      <c r="E872" s="261"/>
    </row>
    <row r="873" spans="1:5" x14ac:dyDescent="0.25">
      <c r="A873" s="261"/>
      <c r="B873" s="261"/>
      <c r="C873" s="272"/>
      <c r="D873" s="261"/>
      <c r="E873" s="261"/>
    </row>
    <row r="874" spans="1:5" x14ac:dyDescent="0.25">
      <c r="A874" s="261"/>
      <c r="B874" s="261"/>
      <c r="C874" s="272"/>
      <c r="D874" s="261"/>
      <c r="E874" s="261"/>
    </row>
    <row r="875" spans="1:5" x14ac:dyDescent="0.25">
      <c r="A875" s="261"/>
      <c r="B875" s="261"/>
      <c r="C875" s="272"/>
      <c r="D875" s="261"/>
      <c r="E875" s="261"/>
    </row>
    <row r="876" spans="1:5" x14ac:dyDescent="0.25">
      <c r="A876" s="261"/>
      <c r="B876" s="261"/>
      <c r="C876" s="272"/>
      <c r="D876" s="261"/>
      <c r="E876" s="261"/>
    </row>
    <row r="877" spans="1:5" x14ac:dyDescent="0.25">
      <c r="A877" s="261"/>
      <c r="B877" s="261"/>
      <c r="C877" s="272"/>
      <c r="D877" s="261"/>
      <c r="E877" s="261"/>
    </row>
    <row r="878" spans="1:5" x14ac:dyDescent="0.25">
      <c r="A878" s="261"/>
      <c r="B878" s="261"/>
      <c r="C878" s="272"/>
      <c r="D878" s="261"/>
      <c r="E878" s="261"/>
    </row>
    <row r="879" spans="1:5" x14ac:dyDescent="0.25">
      <c r="A879" s="261"/>
      <c r="B879" s="261"/>
      <c r="C879" s="272"/>
      <c r="D879" s="261"/>
      <c r="E879" s="261"/>
    </row>
    <row r="880" spans="1:5" x14ac:dyDescent="0.25">
      <c r="A880" s="261"/>
      <c r="B880" s="261"/>
      <c r="C880" s="272"/>
      <c r="D880" s="261"/>
      <c r="E880" s="261"/>
    </row>
    <row r="881" spans="1:5" x14ac:dyDescent="0.25">
      <c r="A881" s="261"/>
      <c r="B881" s="261"/>
      <c r="C881" s="272"/>
      <c r="D881" s="261"/>
      <c r="E881" s="261"/>
    </row>
    <row r="882" spans="1:5" x14ac:dyDescent="0.25">
      <c r="A882" s="261"/>
      <c r="B882" s="261"/>
      <c r="C882" s="272"/>
      <c r="D882" s="261"/>
      <c r="E882" s="261"/>
    </row>
    <row r="883" spans="1:5" x14ac:dyDescent="0.25">
      <c r="A883" s="261"/>
      <c r="B883" s="261"/>
      <c r="C883" s="272"/>
      <c r="D883" s="261"/>
      <c r="E883" s="261"/>
    </row>
    <row r="884" spans="1:5" x14ac:dyDescent="0.25">
      <c r="A884" s="261"/>
      <c r="B884" s="261"/>
      <c r="C884" s="272"/>
      <c r="D884" s="261"/>
      <c r="E884" s="261"/>
    </row>
    <row r="885" spans="1:5" x14ac:dyDescent="0.25">
      <c r="A885" s="261"/>
      <c r="B885" s="261"/>
      <c r="C885" s="272"/>
      <c r="D885" s="261"/>
      <c r="E885" s="261"/>
    </row>
    <row r="886" spans="1:5" x14ac:dyDescent="0.25">
      <c r="A886" s="261"/>
      <c r="B886" s="261"/>
      <c r="C886" s="272"/>
      <c r="D886" s="261"/>
      <c r="E886" s="261"/>
    </row>
    <row r="887" spans="1:5" x14ac:dyDescent="0.25">
      <c r="A887" s="261"/>
      <c r="B887" s="261"/>
      <c r="C887" s="272"/>
      <c r="D887" s="261"/>
      <c r="E887" s="261"/>
    </row>
    <row r="888" spans="1:5" x14ac:dyDescent="0.25">
      <c r="A888" s="261"/>
      <c r="B888" s="261"/>
      <c r="C888" s="272"/>
      <c r="D888" s="261"/>
      <c r="E888" s="261"/>
    </row>
    <row r="889" spans="1:5" x14ac:dyDescent="0.25">
      <c r="A889" s="261"/>
      <c r="B889" s="261"/>
      <c r="C889" s="272"/>
      <c r="D889" s="261"/>
      <c r="E889" s="261"/>
    </row>
    <row r="890" spans="1:5" x14ac:dyDescent="0.25">
      <c r="A890" s="261"/>
      <c r="B890" s="261"/>
      <c r="C890" s="272"/>
      <c r="D890" s="261"/>
      <c r="E890" s="261"/>
    </row>
    <row r="891" spans="1:5" x14ac:dyDescent="0.25">
      <c r="A891" s="261"/>
      <c r="B891" s="261"/>
      <c r="C891" s="272"/>
      <c r="D891" s="261"/>
      <c r="E891" s="261"/>
    </row>
    <row r="892" spans="1:5" x14ac:dyDescent="0.25">
      <c r="A892" s="261"/>
      <c r="B892" s="261"/>
      <c r="C892" s="272"/>
      <c r="D892" s="261"/>
      <c r="E892" s="261"/>
    </row>
    <row r="893" spans="1:5" x14ac:dyDescent="0.25">
      <c r="A893" s="261"/>
      <c r="B893" s="261"/>
      <c r="C893" s="272"/>
      <c r="D893" s="261"/>
      <c r="E893" s="261"/>
    </row>
    <row r="894" spans="1:5" x14ac:dyDescent="0.25">
      <c r="A894" s="261"/>
      <c r="B894" s="261"/>
      <c r="C894" s="272"/>
      <c r="D894" s="261"/>
      <c r="E894" s="261"/>
    </row>
    <row r="895" spans="1:5" x14ac:dyDescent="0.25">
      <c r="A895" s="261"/>
      <c r="B895" s="261"/>
      <c r="C895" s="272"/>
      <c r="D895" s="261"/>
      <c r="E895" s="261"/>
    </row>
    <row r="896" spans="1:5" x14ac:dyDescent="0.25">
      <c r="A896" s="261"/>
      <c r="B896" s="261"/>
      <c r="C896" s="272"/>
      <c r="D896" s="261"/>
      <c r="E896" s="261"/>
    </row>
    <row r="897" spans="1:5" x14ac:dyDescent="0.25">
      <c r="A897" s="261"/>
      <c r="B897" s="261"/>
      <c r="C897" s="272"/>
      <c r="D897" s="261"/>
      <c r="E897" s="261"/>
    </row>
    <row r="898" spans="1:5" x14ac:dyDescent="0.25">
      <c r="A898" s="261"/>
      <c r="B898" s="261"/>
      <c r="C898" s="272"/>
      <c r="D898" s="261"/>
      <c r="E898" s="261"/>
    </row>
    <row r="899" spans="1:5" x14ac:dyDescent="0.25">
      <c r="A899" s="261"/>
      <c r="B899" s="261"/>
      <c r="C899" s="272"/>
      <c r="D899" s="261"/>
      <c r="E899" s="261"/>
    </row>
    <row r="900" spans="1:5" x14ac:dyDescent="0.25">
      <c r="A900" s="261"/>
      <c r="B900" s="261"/>
      <c r="C900" s="272"/>
      <c r="D900" s="261"/>
      <c r="E900" s="261"/>
    </row>
    <row r="901" spans="1:5" x14ac:dyDescent="0.25">
      <c r="A901" s="261"/>
      <c r="B901" s="261"/>
      <c r="C901" s="272"/>
      <c r="D901" s="261"/>
      <c r="E901" s="261"/>
    </row>
    <row r="902" spans="1:5" x14ac:dyDescent="0.25">
      <c r="A902" s="261"/>
      <c r="B902" s="261"/>
      <c r="C902" s="272"/>
      <c r="D902" s="261"/>
      <c r="E902" s="261"/>
    </row>
    <row r="903" spans="1:5" x14ac:dyDescent="0.25">
      <c r="A903" s="261"/>
      <c r="B903" s="261"/>
      <c r="C903" s="272"/>
      <c r="D903" s="261"/>
      <c r="E903" s="261"/>
    </row>
    <row r="904" spans="1:5" x14ac:dyDescent="0.25">
      <c r="A904" s="261"/>
      <c r="B904" s="261"/>
      <c r="C904" s="272"/>
      <c r="D904" s="261"/>
      <c r="E904" s="261"/>
    </row>
    <row r="905" spans="1:5" x14ac:dyDescent="0.25">
      <c r="A905" s="261"/>
      <c r="B905" s="261"/>
      <c r="C905" s="272"/>
      <c r="D905" s="261"/>
      <c r="E905" s="261"/>
    </row>
    <row r="906" spans="1:5" x14ac:dyDescent="0.25">
      <c r="A906" s="261"/>
      <c r="B906" s="261"/>
      <c r="C906" s="272"/>
      <c r="D906" s="261"/>
      <c r="E906" s="261"/>
    </row>
    <row r="907" spans="1:5" x14ac:dyDescent="0.25">
      <c r="A907" s="261"/>
      <c r="B907" s="261"/>
      <c r="C907" s="272"/>
      <c r="D907" s="261"/>
      <c r="E907" s="261"/>
    </row>
    <row r="908" spans="1:5" x14ac:dyDescent="0.25">
      <c r="A908" s="261"/>
      <c r="B908" s="261"/>
      <c r="C908" s="272"/>
      <c r="D908" s="261"/>
      <c r="E908" s="261"/>
    </row>
    <row r="909" spans="1:5" x14ac:dyDescent="0.25">
      <c r="A909" s="261"/>
      <c r="B909" s="261"/>
      <c r="C909" s="272"/>
      <c r="D909" s="261"/>
      <c r="E909" s="261"/>
    </row>
    <row r="910" spans="1:5" x14ac:dyDescent="0.25">
      <c r="A910" s="261"/>
      <c r="B910" s="261"/>
      <c r="C910" s="272"/>
      <c r="D910" s="261"/>
      <c r="E910" s="261"/>
    </row>
    <row r="911" spans="1:5" x14ac:dyDescent="0.25">
      <c r="A911" s="261"/>
      <c r="B911" s="261"/>
      <c r="C911" s="272"/>
      <c r="D911" s="261"/>
      <c r="E911" s="261"/>
    </row>
    <row r="912" spans="1:5" x14ac:dyDescent="0.25">
      <c r="A912" s="261"/>
      <c r="B912" s="261"/>
      <c r="C912" s="272"/>
      <c r="D912" s="261"/>
      <c r="E912" s="261"/>
    </row>
    <row r="913" spans="1:5" x14ac:dyDescent="0.25">
      <c r="A913" s="261"/>
      <c r="B913" s="261"/>
      <c r="C913" s="272"/>
      <c r="D913" s="261"/>
      <c r="E913" s="261"/>
    </row>
    <row r="914" spans="1:5" x14ac:dyDescent="0.25">
      <c r="A914" s="261"/>
      <c r="B914" s="261"/>
      <c r="C914" s="272"/>
      <c r="D914" s="261"/>
      <c r="E914" s="261"/>
    </row>
    <row r="915" spans="1:5" x14ac:dyDescent="0.25">
      <c r="A915" s="261"/>
      <c r="B915" s="261"/>
      <c r="C915" s="272"/>
      <c r="D915" s="261"/>
      <c r="E915" s="261"/>
    </row>
    <row r="916" spans="1:5" x14ac:dyDescent="0.25">
      <c r="A916" s="261"/>
      <c r="B916" s="261"/>
      <c r="C916" s="272"/>
      <c r="D916" s="261"/>
      <c r="E916" s="261"/>
    </row>
    <row r="917" spans="1:5" x14ac:dyDescent="0.25">
      <c r="A917" s="261"/>
      <c r="B917" s="261"/>
      <c r="C917" s="272"/>
      <c r="D917" s="261"/>
      <c r="E917" s="261"/>
    </row>
    <row r="918" spans="1:5" x14ac:dyDescent="0.25">
      <c r="A918" s="261"/>
      <c r="B918" s="261"/>
      <c r="C918" s="272"/>
      <c r="D918" s="261"/>
      <c r="E918" s="261"/>
    </row>
    <row r="919" spans="1:5" x14ac:dyDescent="0.25">
      <c r="A919" s="261"/>
      <c r="B919" s="261"/>
      <c r="C919" s="272"/>
      <c r="D919" s="261"/>
      <c r="E919" s="261"/>
    </row>
    <row r="920" spans="1:5" x14ac:dyDescent="0.25">
      <c r="A920" s="261"/>
      <c r="B920" s="261"/>
      <c r="C920" s="272"/>
      <c r="D920" s="261"/>
      <c r="E920" s="261"/>
    </row>
    <row r="921" spans="1:5" x14ac:dyDescent="0.25">
      <c r="A921" s="261"/>
      <c r="B921" s="261"/>
      <c r="C921" s="272"/>
      <c r="D921" s="261"/>
      <c r="E921" s="261"/>
    </row>
    <row r="922" spans="1:5" x14ac:dyDescent="0.25">
      <c r="A922" s="261"/>
      <c r="B922" s="261"/>
      <c r="C922" s="272"/>
      <c r="D922" s="261"/>
      <c r="E922" s="261"/>
    </row>
    <row r="923" spans="1:5" x14ac:dyDescent="0.25">
      <c r="A923" s="261"/>
      <c r="B923" s="261"/>
      <c r="C923" s="272"/>
      <c r="D923" s="261"/>
      <c r="E923" s="261"/>
    </row>
    <row r="924" spans="1:5" x14ac:dyDescent="0.25">
      <c r="A924" s="261"/>
      <c r="B924" s="261"/>
      <c r="C924" s="272"/>
      <c r="D924" s="261"/>
      <c r="E924" s="261"/>
    </row>
    <row r="925" spans="1:5" x14ac:dyDescent="0.25">
      <c r="A925" s="261"/>
      <c r="B925" s="261"/>
      <c r="C925" s="272"/>
      <c r="D925" s="261"/>
      <c r="E925" s="261"/>
    </row>
    <row r="926" spans="1:5" x14ac:dyDescent="0.25">
      <c r="A926" s="261"/>
      <c r="B926" s="261"/>
      <c r="C926" s="272"/>
      <c r="D926" s="261"/>
      <c r="E926" s="261"/>
    </row>
    <row r="927" spans="1:5" x14ac:dyDescent="0.25">
      <c r="A927" s="261"/>
      <c r="B927" s="261"/>
      <c r="C927" s="272"/>
      <c r="D927" s="261"/>
      <c r="E927" s="261"/>
    </row>
    <row r="928" spans="1:5" x14ac:dyDescent="0.25">
      <c r="A928" s="261"/>
      <c r="B928" s="261"/>
      <c r="C928" s="272"/>
      <c r="D928" s="261"/>
      <c r="E928" s="261"/>
    </row>
    <row r="929" spans="1:5" x14ac:dyDescent="0.25">
      <c r="A929" s="261"/>
      <c r="B929" s="261"/>
      <c r="C929" s="272"/>
      <c r="D929" s="261"/>
      <c r="E929" s="261"/>
    </row>
    <row r="930" spans="1:5" x14ac:dyDescent="0.25">
      <c r="A930" s="261"/>
      <c r="B930" s="261"/>
      <c r="C930" s="272"/>
      <c r="D930" s="261"/>
      <c r="E930" s="261"/>
    </row>
    <row r="931" spans="1:5" x14ac:dyDescent="0.25">
      <c r="A931" s="261"/>
      <c r="B931" s="261"/>
      <c r="C931" s="272"/>
      <c r="D931" s="261"/>
      <c r="E931" s="261"/>
    </row>
    <row r="932" spans="1:5" x14ac:dyDescent="0.25">
      <c r="A932" s="261"/>
      <c r="B932" s="261"/>
      <c r="C932" s="272"/>
      <c r="D932" s="261"/>
      <c r="E932" s="261"/>
    </row>
    <row r="933" spans="1:5" x14ac:dyDescent="0.25">
      <c r="A933" s="261"/>
      <c r="B933" s="261"/>
      <c r="C933" s="272"/>
      <c r="D933" s="261"/>
      <c r="E933" s="261"/>
    </row>
    <row r="934" spans="1:5" x14ac:dyDescent="0.25">
      <c r="A934" s="261"/>
      <c r="B934" s="261"/>
      <c r="C934" s="272"/>
      <c r="D934" s="261"/>
      <c r="E934" s="261"/>
    </row>
    <row r="935" spans="1:5" x14ac:dyDescent="0.25">
      <c r="A935" s="261"/>
      <c r="B935" s="261"/>
      <c r="C935" s="272"/>
      <c r="D935" s="261"/>
      <c r="E935" s="261"/>
    </row>
    <row r="936" spans="1:5" x14ac:dyDescent="0.25">
      <c r="A936" s="261"/>
      <c r="B936" s="261"/>
      <c r="C936" s="272"/>
      <c r="D936" s="261"/>
      <c r="E936" s="261"/>
    </row>
    <row r="937" spans="1:5" x14ac:dyDescent="0.25">
      <c r="A937" s="261"/>
      <c r="B937" s="261"/>
      <c r="C937" s="272"/>
      <c r="D937" s="261"/>
      <c r="E937" s="261"/>
    </row>
    <row r="938" spans="1:5" x14ac:dyDescent="0.25">
      <c r="A938" s="261"/>
      <c r="B938" s="261"/>
      <c r="C938" s="272"/>
      <c r="D938" s="261"/>
      <c r="E938" s="261"/>
    </row>
    <row r="939" spans="1:5" x14ac:dyDescent="0.25">
      <c r="A939" s="261"/>
      <c r="B939" s="261"/>
      <c r="C939" s="272"/>
      <c r="D939" s="261"/>
      <c r="E939" s="261"/>
    </row>
    <row r="940" spans="1:5" x14ac:dyDescent="0.25">
      <c r="A940" s="261"/>
      <c r="B940" s="261"/>
      <c r="C940" s="272"/>
      <c r="D940" s="261"/>
      <c r="E940" s="261"/>
    </row>
    <row r="941" spans="1:5" x14ac:dyDescent="0.25">
      <c r="A941" s="261"/>
      <c r="B941" s="261"/>
      <c r="C941" s="272"/>
      <c r="D941" s="261"/>
      <c r="E941" s="261"/>
    </row>
    <row r="942" spans="1:5" x14ac:dyDescent="0.25">
      <c r="A942" s="261"/>
      <c r="B942" s="261"/>
      <c r="C942" s="272"/>
      <c r="D942" s="261"/>
      <c r="E942" s="261"/>
    </row>
    <row r="943" spans="1:5" x14ac:dyDescent="0.25">
      <c r="A943" s="261"/>
      <c r="B943" s="261"/>
      <c r="C943" s="272"/>
      <c r="D943" s="261"/>
      <c r="E943" s="261"/>
    </row>
    <row r="944" spans="1:5" x14ac:dyDescent="0.25">
      <c r="A944" s="261"/>
      <c r="B944" s="261"/>
      <c r="C944" s="272"/>
      <c r="D944" s="261"/>
      <c r="E944" s="261"/>
    </row>
    <row r="945" spans="1:5" x14ac:dyDescent="0.25">
      <c r="A945" s="261"/>
      <c r="B945" s="261"/>
      <c r="C945" s="272"/>
      <c r="D945" s="261"/>
      <c r="E945" s="261"/>
    </row>
    <row r="946" spans="1:5" x14ac:dyDescent="0.25">
      <c r="A946" s="261"/>
      <c r="B946" s="261"/>
      <c r="C946" s="272"/>
      <c r="D946" s="261"/>
      <c r="E946" s="261"/>
    </row>
    <row r="947" spans="1:5" x14ac:dyDescent="0.25">
      <c r="A947" s="261"/>
      <c r="B947" s="261"/>
      <c r="C947" s="272"/>
      <c r="D947" s="261"/>
      <c r="E947" s="261"/>
    </row>
    <row r="948" spans="1:5" x14ac:dyDescent="0.25">
      <c r="A948" s="261"/>
      <c r="B948" s="261"/>
      <c r="C948" s="272"/>
      <c r="D948" s="261"/>
      <c r="E948" s="261"/>
    </row>
    <row r="949" spans="1:5" x14ac:dyDescent="0.25">
      <c r="A949" s="261"/>
      <c r="B949" s="261"/>
      <c r="C949" s="272"/>
      <c r="D949" s="261"/>
      <c r="E949" s="261"/>
    </row>
    <row r="950" spans="1:5" x14ac:dyDescent="0.25">
      <c r="A950" s="261"/>
      <c r="B950" s="261"/>
      <c r="C950" s="272"/>
      <c r="D950" s="261"/>
      <c r="E950" s="261"/>
    </row>
    <row r="951" spans="1:5" x14ac:dyDescent="0.25">
      <c r="A951" s="261"/>
      <c r="B951" s="261"/>
      <c r="C951" s="272"/>
      <c r="D951" s="261"/>
      <c r="E951" s="261"/>
    </row>
    <row r="952" spans="1:5" x14ac:dyDescent="0.25">
      <c r="A952" s="261"/>
      <c r="B952" s="261"/>
      <c r="C952" s="272"/>
      <c r="D952" s="261"/>
      <c r="E952" s="261"/>
    </row>
    <row r="953" spans="1:5" x14ac:dyDescent="0.25">
      <c r="A953" s="261"/>
      <c r="B953" s="261"/>
      <c r="C953" s="272"/>
      <c r="D953" s="261"/>
      <c r="E953" s="261"/>
    </row>
    <row r="954" spans="1:5" x14ac:dyDescent="0.25">
      <c r="A954" s="261"/>
      <c r="B954" s="261"/>
      <c r="C954" s="272"/>
      <c r="D954" s="261"/>
      <c r="E954" s="261"/>
    </row>
    <row r="955" spans="1:5" x14ac:dyDescent="0.25">
      <c r="A955" s="261"/>
      <c r="B955" s="261"/>
      <c r="C955" s="272"/>
      <c r="D955" s="261"/>
      <c r="E955" s="261"/>
    </row>
    <row r="956" spans="1:5" x14ac:dyDescent="0.25">
      <c r="A956" s="261"/>
      <c r="B956" s="261"/>
      <c r="C956" s="272"/>
      <c r="D956" s="261"/>
      <c r="E956" s="261"/>
    </row>
    <row r="957" spans="1:5" x14ac:dyDescent="0.25">
      <c r="A957" s="261"/>
      <c r="B957" s="261"/>
      <c r="C957" s="272"/>
      <c r="D957" s="261"/>
      <c r="E957" s="261"/>
    </row>
    <row r="958" spans="1:5" x14ac:dyDescent="0.25">
      <c r="A958" s="261"/>
      <c r="B958" s="261"/>
      <c r="C958" s="272"/>
      <c r="D958" s="261"/>
      <c r="E958" s="261"/>
    </row>
    <row r="959" spans="1:5" x14ac:dyDescent="0.25">
      <c r="A959" s="261"/>
      <c r="B959" s="261"/>
      <c r="C959" s="272"/>
      <c r="D959" s="261"/>
      <c r="E959" s="261"/>
    </row>
    <row r="960" spans="1:5" x14ac:dyDescent="0.25">
      <c r="A960" s="261"/>
      <c r="B960" s="261"/>
      <c r="C960" s="272"/>
      <c r="D960" s="261"/>
      <c r="E960" s="261"/>
    </row>
    <row r="961" spans="1:5" x14ac:dyDescent="0.25">
      <c r="A961" s="261"/>
      <c r="B961" s="261"/>
      <c r="C961" s="272"/>
      <c r="D961" s="261"/>
      <c r="E961" s="261"/>
    </row>
    <row r="962" spans="1:5" x14ac:dyDescent="0.25">
      <c r="A962" s="261"/>
      <c r="B962" s="261"/>
      <c r="C962" s="272"/>
      <c r="D962" s="261"/>
      <c r="E962" s="261"/>
    </row>
    <row r="963" spans="1:5" x14ac:dyDescent="0.25">
      <c r="A963" s="261"/>
      <c r="B963" s="261"/>
      <c r="C963" s="272"/>
      <c r="D963" s="261"/>
      <c r="E963" s="261"/>
    </row>
    <row r="964" spans="1:5" x14ac:dyDescent="0.25">
      <c r="A964" s="261"/>
      <c r="B964" s="261"/>
      <c r="C964" s="272"/>
      <c r="D964" s="261"/>
      <c r="E964" s="261"/>
    </row>
    <row r="965" spans="1:5" x14ac:dyDescent="0.25">
      <c r="A965" s="261"/>
      <c r="B965" s="261"/>
      <c r="C965" s="272"/>
      <c r="D965" s="261"/>
      <c r="E965" s="261"/>
    </row>
    <row r="966" spans="1:5" x14ac:dyDescent="0.25">
      <c r="A966" s="261"/>
      <c r="B966" s="261"/>
      <c r="C966" s="272"/>
      <c r="D966" s="261"/>
      <c r="E966" s="261"/>
    </row>
    <row r="967" spans="1:5" x14ac:dyDescent="0.25">
      <c r="A967" s="261"/>
      <c r="B967" s="261"/>
      <c r="C967" s="272"/>
      <c r="D967" s="261"/>
      <c r="E967" s="261"/>
    </row>
    <row r="968" spans="1:5" x14ac:dyDescent="0.25">
      <c r="A968" s="261"/>
      <c r="B968" s="261"/>
      <c r="C968" s="272"/>
      <c r="D968" s="261"/>
      <c r="E968" s="261"/>
    </row>
    <row r="969" spans="1:5" x14ac:dyDescent="0.25">
      <c r="A969" s="261"/>
      <c r="B969" s="261"/>
      <c r="C969" s="272"/>
      <c r="D969" s="261"/>
      <c r="E969" s="261"/>
    </row>
    <row r="970" spans="1:5" x14ac:dyDescent="0.25">
      <c r="A970" s="261"/>
      <c r="B970" s="261"/>
      <c r="C970" s="272"/>
      <c r="D970" s="261"/>
      <c r="E970" s="261"/>
    </row>
    <row r="971" spans="1:5" x14ac:dyDescent="0.25">
      <c r="A971" s="261"/>
      <c r="B971" s="261"/>
      <c r="C971" s="272"/>
      <c r="D971" s="261"/>
      <c r="E971" s="261"/>
    </row>
    <row r="972" spans="1:5" x14ac:dyDescent="0.25">
      <c r="A972" s="261"/>
      <c r="B972" s="261"/>
      <c r="C972" s="272"/>
      <c r="D972" s="261"/>
      <c r="E972" s="261"/>
    </row>
    <row r="973" spans="1:5" x14ac:dyDescent="0.25">
      <c r="A973" s="261"/>
      <c r="B973" s="261"/>
      <c r="C973" s="272"/>
      <c r="D973" s="261"/>
      <c r="E973" s="261"/>
    </row>
    <row r="974" spans="1:5" x14ac:dyDescent="0.25">
      <c r="A974" s="261"/>
      <c r="B974" s="261"/>
      <c r="C974" s="272"/>
      <c r="D974" s="261"/>
      <c r="E974" s="261"/>
    </row>
    <row r="975" spans="1:5" x14ac:dyDescent="0.25">
      <c r="A975" s="261"/>
      <c r="B975" s="261"/>
      <c r="C975" s="272"/>
      <c r="D975" s="261"/>
      <c r="E975" s="261"/>
    </row>
    <row r="976" spans="1:5" x14ac:dyDescent="0.25">
      <c r="A976" s="261"/>
      <c r="B976" s="261"/>
      <c r="C976" s="272"/>
      <c r="D976" s="261"/>
      <c r="E976" s="261"/>
    </row>
    <row r="977" spans="1:5" x14ac:dyDescent="0.25">
      <c r="A977" s="261"/>
      <c r="B977" s="261"/>
      <c r="C977" s="272"/>
      <c r="D977" s="261"/>
      <c r="E977" s="261"/>
    </row>
    <row r="978" spans="1:5" x14ac:dyDescent="0.25">
      <c r="A978" s="261"/>
      <c r="B978" s="261"/>
      <c r="C978" s="272"/>
      <c r="D978" s="261"/>
      <c r="E978" s="261"/>
    </row>
    <row r="979" spans="1:5" x14ac:dyDescent="0.25">
      <c r="A979" s="261"/>
      <c r="B979" s="261"/>
      <c r="C979" s="272"/>
      <c r="D979" s="261"/>
      <c r="E979" s="261"/>
    </row>
    <row r="980" spans="1:5" x14ac:dyDescent="0.25">
      <c r="A980" s="261"/>
      <c r="B980" s="261"/>
      <c r="C980" s="272"/>
      <c r="D980" s="261"/>
      <c r="E980" s="261"/>
    </row>
    <row r="981" spans="1:5" x14ac:dyDescent="0.25">
      <c r="A981" s="261"/>
      <c r="B981" s="261"/>
      <c r="C981" s="272"/>
      <c r="D981" s="261"/>
      <c r="E981" s="261"/>
    </row>
    <row r="982" spans="1:5" x14ac:dyDescent="0.25">
      <c r="A982" s="261"/>
      <c r="B982" s="261"/>
      <c r="C982" s="272"/>
      <c r="D982" s="261"/>
      <c r="E982" s="261"/>
    </row>
    <row r="983" spans="1:5" x14ac:dyDescent="0.25">
      <c r="A983" s="261"/>
      <c r="B983" s="261"/>
      <c r="C983" s="272"/>
      <c r="D983" s="261"/>
      <c r="E983" s="261"/>
    </row>
    <row r="984" spans="1:5" x14ac:dyDescent="0.25">
      <c r="A984" s="261"/>
      <c r="B984" s="261"/>
      <c r="C984" s="272"/>
      <c r="D984" s="261"/>
      <c r="E984" s="261"/>
    </row>
    <row r="985" spans="1:5" x14ac:dyDescent="0.25">
      <c r="A985" s="261"/>
      <c r="B985" s="261"/>
      <c r="C985" s="272"/>
      <c r="D985" s="261"/>
      <c r="E985" s="261"/>
    </row>
    <row r="986" spans="1:5" x14ac:dyDescent="0.25">
      <c r="A986" s="261"/>
      <c r="B986" s="261"/>
      <c r="C986" s="272"/>
      <c r="D986" s="261"/>
      <c r="E986" s="261"/>
    </row>
    <row r="987" spans="1:5" x14ac:dyDescent="0.25">
      <c r="A987" s="261"/>
      <c r="B987" s="261"/>
      <c r="C987" s="272"/>
      <c r="D987" s="261"/>
      <c r="E987" s="261"/>
    </row>
    <row r="988" spans="1:5" x14ac:dyDescent="0.25">
      <c r="A988" s="261"/>
      <c r="B988" s="261"/>
      <c r="C988" s="272"/>
      <c r="D988" s="261"/>
      <c r="E988" s="261"/>
    </row>
    <row r="989" spans="1:5" x14ac:dyDescent="0.25">
      <c r="A989" s="261"/>
      <c r="B989" s="261"/>
      <c r="C989" s="272"/>
      <c r="D989" s="261"/>
      <c r="E989" s="261"/>
    </row>
    <row r="990" spans="1:5" x14ac:dyDescent="0.25">
      <c r="A990" s="261"/>
      <c r="B990" s="261"/>
      <c r="C990" s="272"/>
      <c r="D990" s="261"/>
      <c r="E990" s="261"/>
    </row>
    <row r="991" spans="1:5" x14ac:dyDescent="0.25">
      <c r="A991" s="261"/>
      <c r="B991" s="261"/>
      <c r="C991" s="272"/>
      <c r="D991" s="261"/>
      <c r="E991" s="261"/>
    </row>
    <row r="992" spans="1:5" x14ac:dyDescent="0.25">
      <c r="A992" s="261"/>
      <c r="B992" s="261"/>
      <c r="C992" s="272"/>
      <c r="D992" s="261"/>
      <c r="E992" s="26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826"/>
  <sheetViews>
    <sheetView workbookViewId="0"/>
  </sheetViews>
  <sheetFormatPr defaultColWidth="11.25" defaultRowHeight="15" customHeight="1" x14ac:dyDescent="0.25"/>
  <cols>
    <col min="1" max="1" width="7.125" customWidth="1"/>
    <col min="2" max="2" width="9.625" customWidth="1"/>
    <col min="3" max="3" width="11" customWidth="1"/>
    <col min="4" max="4" width="5.25" customWidth="1"/>
    <col min="5" max="5" width="8.5" customWidth="1"/>
    <col min="6" max="6" width="12.875" customWidth="1"/>
    <col min="7" max="7" width="6.875" customWidth="1"/>
    <col min="8" max="8" width="8.875" customWidth="1"/>
    <col min="9" max="9" width="6.375" customWidth="1"/>
    <col min="10" max="10" width="13.5" customWidth="1"/>
    <col min="11" max="11" width="13.125" customWidth="1"/>
    <col min="12" max="12" width="7.875" customWidth="1"/>
    <col min="13" max="13" width="14" customWidth="1"/>
    <col min="14" max="14" width="8" customWidth="1"/>
    <col min="15" max="15" width="9.375" customWidth="1"/>
    <col min="16" max="16" width="6.375" customWidth="1"/>
    <col min="17" max="17" width="10.375" customWidth="1"/>
    <col min="18" max="18" width="6.25" customWidth="1"/>
    <col min="19" max="19" width="5.5" customWidth="1"/>
    <col min="20" max="20" width="4.75" customWidth="1"/>
    <col min="21" max="21" width="4.5" customWidth="1"/>
    <col min="22" max="22" width="5.75" customWidth="1"/>
    <col min="23" max="23" width="7.125" customWidth="1"/>
    <col min="24" max="24" width="7.75" customWidth="1"/>
    <col min="25" max="25" width="4.5" customWidth="1"/>
    <col min="26" max="26" width="12.75" customWidth="1"/>
    <col min="27" max="27" width="11.375" customWidth="1"/>
    <col min="28" max="28" width="10.125" customWidth="1"/>
    <col min="29" max="29" width="8.875" customWidth="1"/>
    <col min="30" max="30" width="20.25" customWidth="1"/>
  </cols>
  <sheetData>
    <row r="1" spans="1:31" ht="15.75" x14ac:dyDescent="0.25">
      <c r="A1" s="56" t="s">
        <v>0</v>
      </c>
      <c r="B1" s="56" t="s">
        <v>538</v>
      </c>
      <c r="C1" s="56" t="s">
        <v>539</v>
      </c>
      <c r="D1" s="56" t="s">
        <v>540</v>
      </c>
      <c r="E1" s="56" t="s">
        <v>541</v>
      </c>
      <c r="F1" s="56" t="s">
        <v>542</v>
      </c>
      <c r="G1" s="56" t="s">
        <v>543</v>
      </c>
      <c r="H1" s="56" t="s">
        <v>544</v>
      </c>
      <c r="I1" s="56" t="s">
        <v>545</v>
      </c>
      <c r="J1" s="56" t="s">
        <v>546</v>
      </c>
      <c r="K1" s="56" t="s">
        <v>547</v>
      </c>
      <c r="L1" s="56" t="s">
        <v>548</v>
      </c>
      <c r="M1" s="56" t="s">
        <v>549</v>
      </c>
      <c r="N1" s="274" t="s">
        <v>550</v>
      </c>
      <c r="O1" s="56" t="s">
        <v>551</v>
      </c>
      <c r="P1" s="275" t="s">
        <v>552</v>
      </c>
      <c r="Q1" s="275" t="s">
        <v>553</v>
      </c>
      <c r="R1" s="275" t="s">
        <v>554</v>
      </c>
      <c r="S1" s="275" t="s">
        <v>555</v>
      </c>
      <c r="T1" s="275" t="s">
        <v>556</v>
      </c>
      <c r="U1" s="275" t="s">
        <v>557</v>
      </c>
      <c r="V1" s="275" t="s">
        <v>558</v>
      </c>
      <c r="W1" s="275" t="s">
        <v>559</v>
      </c>
      <c r="X1" s="56" t="s">
        <v>560</v>
      </c>
      <c r="Y1" s="56" t="s">
        <v>561</v>
      </c>
      <c r="Z1" s="56" t="s">
        <v>562</v>
      </c>
      <c r="AA1" s="56" t="s">
        <v>563</v>
      </c>
      <c r="AB1" s="56" t="s">
        <v>564</v>
      </c>
      <c r="AC1" s="56" t="s">
        <v>565</v>
      </c>
      <c r="AD1" s="276" t="s">
        <v>13</v>
      </c>
      <c r="AE1" s="277"/>
    </row>
    <row r="2" spans="1:31" ht="15.75" x14ac:dyDescent="0.25">
      <c r="A2" s="56" t="s">
        <v>566</v>
      </c>
      <c r="B2" s="56" t="s">
        <v>567</v>
      </c>
      <c r="C2" s="56" t="s">
        <v>568</v>
      </c>
      <c r="D2" s="56" t="s">
        <v>569</v>
      </c>
      <c r="E2" s="56">
        <v>1</v>
      </c>
      <c r="F2" s="278">
        <v>45742.427083333336</v>
      </c>
      <c r="G2" s="56">
        <v>1</v>
      </c>
      <c r="H2" s="56">
        <v>51.380699999999997</v>
      </c>
      <c r="I2" s="56">
        <v>10.0421</v>
      </c>
      <c r="J2" s="56">
        <v>-3.1190899999999999</v>
      </c>
      <c r="K2" s="56">
        <v>-1.7124200000000001</v>
      </c>
      <c r="L2" s="56">
        <v>945.96900000000005</v>
      </c>
      <c r="M2" s="56">
        <v>70.000079999999997</v>
      </c>
      <c r="N2" s="274">
        <v>10253.43</v>
      </c>
      <c r="O2" s="56">
        <v>10253.43</v>
      </c>
      <c r="P2" s="275">
        <v>1890.4659999999999</v>
      </c>
      <c r="Q2" s="275">
        <f t="shared" ref="Q2:Q216" si="0">P2</f>
        <v>1890.4659999999999</v>
      </c>
      <c r="R2" s="275" t="s">
        <v>570</v>
      </c>
      <c r="S2" s="275">
        <v>10</v>
      </c>
      <c r="T2" s="275">
        <v>5</v>
      </c>
      <c r="U2" s="275">
        <v>0.7</v>
      </c>
      <c r="V2" s="275">
        <v>0.7</v>
      </c>
      <c r="W2" s="275">
        <v>0.7</v>
      </c>
      <c r="X2" s="56">
        <v>2000</v>
      </c>
      <c r="Y2" s="56" t="s">
        <v>571</v>
      </c>
      <c r="Z2" s="56">
        <v>0.2</v>
      </c>
      <c r="AA2" s="56" t="s">
        <v>572</v>
      </c>
      <c r="AB2" s="56" t="s">
        <v>573</v>
      </c>
      <c r="AC2" s="56">
        <v>220</v>
      </c>
      <c r="AD2" s="277" t="s">
        <v>19</v>
      </c>
      <c r="AE2" s="277"/>
    </row>
    <row r="3" spans="1:31" ht="15.75" x14ac:dyDescent="0.25">
      <c r="A3" s="56" t="s">
        <v>574</v>
      </c>
      <c r="B3" s="56" t="s">
        <v>567</v>
      </c>
      <c r="C3" s="56" t="s">
        <v>568</v>
      </c>
      <c r="D3" s="56" t="s">
        <v>569</v>
      </c>
      <c r="E3" s="56">
        <v>1</v>
      </c>
      <c r="F3" s="278">
        <v>45742.429861111108</v>
      </c>
      <c r="G3" s="56">
        <v>1</v>
      </c>
      <c r="H3" s="56">
        <v>51.377400000000002</v>
      </c>
      <c r="I3" s="56">
        <v>9.4921699999999998</v>
      </c>
      <c r="J3" s="56">
        <v>-3.36253</v>
      </c>
      <c r="K3" s="56">
        <v>-1.72604</v>
      </c>
      <c r="L3" s="56">
        <v>917.14300000000003</v>
      </c>
      <c r="M3" s="56">
        <v>64.500950000000003</v>
      </c>
      <c r="N3" s="274">
        <v>10198.75</v>
      </c>
      <c r="O3" s="56">
        <v>10198.75</v>
      </c>
      <c r="P3" s="275">
        <v>1880.5340000000001</v>
      </c>
      <c r="Q3" s="275">
        <f t="shared" si="0"/>
        <v>1880.5340000000001</v>
      </c>
      <c r="R3" s="275" t="s">
        <v>570</v>
      </c>
      <c r="S3" s="275">
        <v>10</v>
      </c>
      <c r="T3" s="275">
        <v>5</v>
      </c>
      <c r="U3" s="275">
        <v>0.7</v>
      </c>
      <c r="V3" s="275">
        <v>0.7</v>
      </c>
      <c r="W3" s="275">
        <v>0.7</v>
      </c>
      <c r="X3" s="56">
        <v>2000</v>
      </c>
      <c r="Y3" s="56" t="s">
        <v>571</v>
      </c>
      <c r="Z3" s="56">
        <v>0.2</v>
      </c>
      <c r="AA3" s="56" t="s">
        <v>572</v>
      </c>
      <c r="AB3" s="56" t="s">
        <v>573</v>
      </c>
      <c r="AC3" s="56">
        <v>220</v>
      </c>
      <c r="AD3" s="277" t="s">
        <v>19</v>
      </c>
      <c r="AE3" s="277"/>
    </row>
    <row r="4" spans="1:31" ht="15.75" x14ac:dyDescent="0.25">
      <c r="A4" s="56" t="s">
        <v>575</v>
      </c>
      <c r="B4" s="56" t="s">
        <v>567</v>
      </c>
      <c r="C4" s="56" t="s">
        <v>568</v>
      </c>
      <c r="D4" s="56" t="s">
        <v>569</v>
      </c>
      <c r="E4" s="56">
        <v>1</v>
      </c>
      <c r="F4" s="278">
        <v>45742.432638888888</v>
      </c>
      <c r="G4" s="56">
        <v>1</v>
      </c>
      <c r="H4" s="56">
        <v>51.377400000000002</v>
      </c>
      <c r="I4" s="56">
        <v>9.3104700000000005</v>
      </c>
      <c r="J4" s="56">
        <v>-3.1912199999999999</v>
      </c>
      <c r="K4" s="56">
        <v>-1.4349799999999999</v>
      </c>
      <c r="L4" s="56">
        <v>919.10199999999998</v>
      </c>
      <c r="M4" s="56">
        <v>63.000540000000001</v>
      </c>
      <c r="N4" s="274">
        <v>10187.84</v>
      </c>
      <c r="O4" s="56">
        <v>10187.84</v>
      </c>
      <c r="P4" s="275">
        <v>1878.5530000000001</v>
      </c>
      <c r="Q4" s="275">
        <f t="shared" si="0"/>
        <v>1878.5530000000001</v>
      </c>
      <c r="R4" s="275" t="s">
        <v>570</v>
      </c>
      <c r="S4" s="275">
        <v>10</v>
      </c>
      <c r="T4" s="275">
        <v>5</v>
      </c>
      <c r="U4" s="275">
        <v>0.7</v>
      </c>
      <c r="V4" s="275">
        <v>0.7</v>
      </c>
      <c r="W4" s="275">
        <v>0.7</v>
      </c>
      <c r="X4" s="56">
        <v>2000</v>
      </c>
      <c r="Y4" s="56" t="s">
        <v>571</v>
      </c>
      <c r="Z4" s="56">
        <v>0.2</v>
      </c>
      <c r="AA4" s="56" t="s">
        <v>572</v>
      </c>
      <c r="AB4" s="56" t="s">
        <v>573</v>
      </c>
      <c r="AC4" s="56">
        <v>220</v>
      </c>
      <c r="AD4" s="277" t="s">
        <v>19</v>
      </c>
      <c r="AE4" s="277"/>
    </row>
    <row r="5" spans="1:31" ht="15.75" x14ac:dyDescent="0.25">
      <c r="A5" s="56" t="s">
        <v>576</v>
      </c>
      <c r="B5" s="56" t="s">
        <v>567</v>
      </c>
      <c r="C5" s="56" t="s">
        <v>568</v>
      </c>
      <c r="D5" s="56" t="s">
        <v>569</v>
      </c>
      <c r="E5" s="56">
        <v>1</v>
      </c>
      <c r="F5" s="278">
        <v>45742.43472222222</v>
      </c>
      <c r="G5" s="56">
        <v>1</v>
      </c>
      <c r="H5" s="56">
        <v>51.374099999999999</v>
      </c>
      <c r="I5" s="56">
        <v>9.1059000000000001</v>
      </c>
      <c r="J5" s="56">
        <v>-3.1009099999999998</v>
      </c>
      <c r="K5" s="56">
        <v>-2.2167500000000002</v>
      </c>
      <c r="L5" s="56">
        <v>923.40700000000004</v>
      </c>
      <c r="M5" s="56">
        <v>78.500699999999995</v>
      </c>
      <c r="N5" s="274">
        <v>10240.92</v>
      </c>
      <c r="O5" s="56">
        <v>10240.92</v>
      </c>
      <c r="P5" s="275">
        <v>1888.193</v>
      </c>
      <c r="Q5" s="275">
        <f t="shared" si="0"/>
        <v>1888.193</v>
      </c>
      <c r="R5" s="275" t="s">
        <v>570</v>
      </c>
      <c r="S5" s="275">
        <v>10</v>
      </c>
      <c r="T5" s="275">
        <v>5</v>
      </c>
      <c r="U5" s="275">
        <v>0.7</v>
      </c>
      <c r="V5" s="275">
        <v>0.7</v>
      </c>
      <c r="W5" s="275">
        <v>0.7</v>
      </c>
      <c r="X5" s="56">
        <v>2000</v>
      </c>
      <c r="Y5" s="56" t="s">
        <v>571</v>
      </c>
      <c r="Z5" s="56">
        <v>0.2</v>
      </c>
      <c r="AA5" s="56" t="s">
        <v>572</v>
      </c>
      <c r="AB5" s="56" t="s">
        <v>573</v>
      </c>
      <c r="AC5" s="56">
        <v>220</v>
      </c>
      <c r="AD5" s="277" t="s">
        <v>19</v>
      </c>
      <c r="AE5" s="277"/>
    </row>
    <row r="6" spans="1:31" ht="15.75" x14ac:dyDescent="0.25">
      <c r="A6" s="56" t="s">
        <v>577</v>
      </c>
      <c r="B6" s="56" t="s">
        <v>567</v>
      </c>
      <c r="C6" s="56" t="s">
        <v>568</v>
      </c>
      <c r="D6" s="56" t="s">
        <v>569</v>
      </c>
      <c r="E6" s="56">
        <v>1</v>
      </c>
      <c r="F6" s="278">
        <v>45742.438194444447</v>
      </c>
      <c r="G6" s="56">
        <v>1</v>
      </c>
      <c r="H6" s="56">
        <v>51.374099999999999</v>
      </c>
      <c r="I6" s="56">
        <v>8.8674199999999992</v>
      </c>
      <c r="J6" s="56">
        <v>-3.17279</v>
      </c>
      <c r="K6" s="56">
        <v>-1.8249500000000001</v>
      </c>
      <c r="L6" s="56">
        <v>924.01</v>
      </c>
      <c r="M6" s="56">
        <v>68.000630000000001</v>
      </c>
      <c r="N6" s="274">
        <v>10225.86</v>
      </c>
      <c r="O6" s="56">
        <v>10225.86</v>
      </c>
      <c r="P6" s="275">
        <v>1885.4570000000001</v>
      </c>
      <c r="Q6" s="275">
        <f t="shared" si="0"/>
        <v>1885.4570000000001</v>
      </c>
      <c r="R6" s="275" t="s">
        <v>570</v>
      </c>
      <c r="S6" s="275">
        <v>10</v>
      </c>
      <c r="T6" s="275">
        <v>5</v>
      </c>
      <c r="U6" s="275">
        <v>0.7</v>
      </c>
      <c r="V6" s="275">
        <v>0.7</v>
      </c>
      <c r="W6" s="275">
        <v>0.7</v>
      </c>
      <c r="X6" s="56">
        <v>2000</v>
      </c>
      <c r="Y6" s="56" t="s">
        <v>571</v>
      </c>
      <c r="Z6" s="56">
        <v>0.2</v>
      </c>
      <c r="AA6" s="56" t="s">
        <v>572</v>
      </c>
      <c r="AB6" s="56" t="s">
        <v>573</v>
      </c>
      <c r="AC6" s="56">
        <v>220</v>
      </c>
      <c r="AD6" s="277" t="s">
        <v>19</v>
      </c>
      <c r="AE6" s="277"/>
    </row>
    <row r="7" spans="1:31" ht="15.75" x14ac:dyDescent="0.25">
      <c r="A7" s="56" t="s">
        <v>578</v>
      </c>
      <c r="B7" s="56" t="s">
        <v>567</v>
      </c>
      <c r="C7" s="56" t="s">
        <v>568</v>
      </c>
      <c r="D7" s="56" t="s">
        <v>569</v>
      </c>
      <c r="E7" s="56">
        <v>1</v>
      </c>
      <c r="F7" s="278">
        <v>45742.440972222219</v>
      </c>
      <c r="G7" s="56">
        <v>1</v>
      </c>
      <c r="H7" s="56">
        <v>51.374099999999999</v>
      </c>
      <c r="I7" s="56">
        <v>8.9763400000000004</v>
      </c>
      <c r="J7" s="56">
        <v>-3.1301000000000001</v>
      </c>
      <c r="K7" s="56">
        <v>-2.1666300000000001</v>
      </c>
      <c r="L7" s="56">
        <v>923.81</v>
      </c>
      <c r="M7" s="56">
        <v>81.998339999999999</v>
      </c>
      <c r="N7" s="274">
        <v>10253.75</v>
      </c>
      <c r="O7" s="56">
        <v>10253.75</v>
      </c>
      <c r="P7" s="275">
        <v>1890.5239999999999</v>
      </c>
      <c r="Q7" s="275">
        <f t="shared" si="0"/>
        <v>1890.5239999999999</v>
      </c>
      <c r="R7" s="275" t="s">
        <v>570</v>
      </c>
      <c r="S7" s="275">
        <v>10</v>
      </c>
      <c r="T7" s="275">
        <v>5</v>
      </c>
      <c r="U7" s="275">
        <v>0.7</v>
      </c>
      <c r="V7" s="275">
        <v>0.7</v>
      </c>
      <c r="W7" s="275">
        <v>0.7</v>
      </c>
      <c r="X7" s="56">
        <v>2000</v>
      </c>
      <c r="Y7" s="56" t="s">
        <v>571</v>
      </c>
      <c r="Z7" s="56">
        <v>0.2</v>
      </c>
      <c r="AA7" s="56" t="s">
        <v>572</v>
      </c>
      <c r="AB7" s="56" t="s">
        <v>573</v>
      </c>
      <c r="AC7" s="56">
        <v>220</v>
      </c>
      <c r="AD7" s="277" t="s">
        <v>19</v>
      </c>
      <c r="AE7" s="277"/>
    </row>
    <row r="8" spans="1:31" ht="15.75" x14ac:dyDescent="0.25">
      <c r="A8" s="56" t="s">
        <v>579</v>
      </c>
      <c r="B8" s="56" t="s">
        <v>567</v>
      </c>
      <c r="C8" s="56" t="s">
        <v>568</v>
      </c>
      <c r="D8" s="56" t="s">
        <v>569</v>
      </c>
      <c r="E8" s="56">
        <v>1</v>
      </c>
      <c r="F8" s="278">
        <v>45742.444444444445</v>
      </c>
      <c r="G8" s="56">
        <v>1</v>
      </c>
      <c r="H8" s="56">
        <v>51.380699999999997</v>
      </c>
      <c r="I8" s="56">
        <v>8.8976100000000002</v>
      </c>
      <c r="J8" s="56">
        <v>-3.08046</v>
      </c>
      <c r="K8" s="56">
        <v>-1.7004999999999999</v>
      </c>
      <c r="L8" s="56">
        <v>928.40099999999995</v>
      </c>
      <c r="M8" s="56">
        <v>68.501869999999997</v>
      </c>
      <c r="N8" s="274">
        <v>10232.040000000001</v>
      </c>
      <c r="O8" s="56">
        <v>10232.040000000001</v>
      </c>
      <c r="P8" s="275">
        <v>1886.58</v>
      </c>
      <c r="Q8" s="275">
        <f t="shared" si="0"/>
        <v>1886.58</v>
      </c>
      <c r="R8" s="275" t="s">
        <v>570</v>
      </c>
      <c r="S8" s="275">
        <v>10</v>
      </c>
      <c r="T8" s="275">
        <v>5</v>
      </c>
      <c r="U8" s="275">
        <v>0.7</v>
      </c>
      <c r="V8" s="275">
        <v>0.7</v>
      </c>
      <c r="W8" s="275">
        <v>0.7</v>
      </c>
      <c r="X8" s="56">
        <v>2000</v>
      </c>
      <c r="Y8" s="56" t="s">
        <v>571</v>
      </c>
      <c r="Z8" s="56">
        <v>0.2</v>
      </c>
      <c r="AA8" s="56" t="s">
        <v>572</v>
      </c>
      <c r="AB8" s="56" t="s">
        <v>573</v>
      </c>
      <c r="AC8" s="56">
        <v>220</v>
      </c>
      <c r="AD8" s="277" t="s">
        <v>19</v>
      </c>
      <c r="AE8" s="277"/>
    </row>
    <row r="9" spans="1:31" ht="15.75" x14ac:dyDescent="0.25">
      <c r="A9" s="56" t="s">
        <v>580</v>
      </c>
      <c r="B9" s="56" t="s">
        <v>567</v>
      </c>
      <c r="C9" s="56" t="s">
        <v>568</v>
      </c>
      <c r="D9" s="56" t="s">
        <v>569</v>
      </c>
      <c r="E9" s="56">
        <v>1</v>
      </c>
      <c r="F9" s="278">
        <v>45742.447916666664</v>
      </c>
      <c r="G9" s="56">
        <v>1</v>
      </c>
      <c r="H9" s="56">
        <v>51.374099999999999</v>
      </c>
      <c r="I9" s="56">
        <v>8.9431799999999999</v>
      </c>
      <c r="J9" s="56">
        <v>-3.05742</v>
      </c>
      <c r="K9" s="56">
        <v>-1.7069799999999999</v>
      </c>
      <c r="L9" s="56">
        <v>918.08100000000002</v>
      </c>
      <c r="M9" s="56">
        <v>69.999080000000006</v>
      </c>
      <c r="N9" s="274">
        <v>10227.25</v>
      </c>
      <c r="O9" s="56">
        <v>10227.25</v>
      </c>
      <c r="P9" s="275">
        <v>1885.711</v>
      </c>
      <c r="Q9" s="275">
        <f t="shared" si="0"/>
        <v>1885.711</v>
      </c>
      <c r="R9" s="275" t="s">
        <v>570</v>
      </c>
      <c r="S9" s="275">
        <v>10</v>
      </c>
      <c r="T9" s="275">
        <v>5</v>
      </c>
      <c r="U9" s="275">
        <v>0.7</v>
      </c>
      <c r="V9" s="275">
        <v>0.7</v>
      </c>
      <c r="W9" s="275">
        <v>0.7</v>
      </c>
      <c r="X9" s="56">
        <v>2000</v>
      </c>
      <c r="Y9" s="56" t="s">
        <v>571</v>
      </c>
      <c r="Z9" s="56">
        <v>0.2</v>
      </c>
      <c r="AA9" s="56" t="s">
        <v>572</v>
      </c>
      <c r="AB9" s="56" t="s">
        <v>573</v>
      </c>
      <c r="AC9" s="56">
        <v>220</v>
      </c>
      <c r="AD9" s="277" t="s">
        <v>19</v>
      </c>
      <c r="AE9" s="277"/>
    </row>
    <row r="10" spans="1:31" ht="15.75" x14ac:dyDescent="0.25">
      <c r="A10" s="56" t="s">
        <v>581</v>
      </c>
      <c r="B10" s="56" t="s">
        <v>567</v>
      </c>
      <c r="C10" s="56" t="s">
        <v>568</v>
      </c>
      <c r="D10" s="56" t="s">
        <v>569</v>
      </c>
      <c r="E10" s="56">
        <v>1</v>
      </c>
      <c r="F10" s="278">
        <v>45742.45</v>
      </c>
      <c r="G10" s="56">
        <v>1</v>
      </c>
      <c r="H10" s="56">
        <v>51.380699999999997</v>
      </c>
      <c r="I10" s="56">
        <v>9.0034600000000005</v>
      </c>
      <c r="J10" s="56">
        <v>-2.97221</v>
      </c>
      <c r="K10" s="56">
        <v>-1.8852599999999999</v>
      </c>
      <c r="L10" s="56">
        <v>929.93600000000004</v>
      </c>
      <c r="M10" s="56">
        <v>71.499920000000003</v>
      </c>
      <c r="N10" s="274">
        <v>10243.16</v>
      </c>
      <c r="O10" s="56">
        <v>10243.16</v>
      </c>
      <c r="P10" s="275">
        <v>1888.6010000000001</v>
      </c>
      <c r="Q10" s="275">
        <f t="shared" si="0"/>
        <v>1888.6010000000001</v>
      </c>
      <c r="R10" s="275" t="s">
        <v>570</v>
      </c>
      <c r="S10" s="275">
        <v>10</v>
      </c>
      <c r="T10" s="275">
        <v>5</v>
      </c>
      <c r="U10" s="275">
        <v>0.7</v>
      </c>
      <c r="V10" s="275">
        <v>0.7</v>
      </c>
      <c r="W10" s="275">
        <v>0.7</v>
      </c>
      <c r="X10" s="56">
        <v>2000</v>
      </c>
      <c r="Y10" s="56" t="s">
        <v>571</v>
      </c>
      <c r="Z10" s="56">
        <v>0.2</v>
      </c>
      <c r="AA10" s="56" t="s">
        <v>572</v>
      </c>
      <c r="AB10" s="56" t="s">
        <v>573</v>
      </c>
      <c r="AC10" s="56">
        <v>220</v>
      </c>
      <c r="AD10" s="277" t="s">
        <v>19</v>
      </c>
      <c r="AE10" s="277"/>
    </row>
    <row r="11" spans="1:31" ht="15.75" x14ac:dyDescent="0.25">
      <c r="A11" s="56" t="s">
        <v>582</v>
      </c>
      <c r="B11" s="56" t="s">
        <v>583</v>
      </c>
      <c r="C11" s="56" t="s">
        <v>531</v>
      </c>
      <c r="D11" s="56" t="s">
        <v>569</v>
      </c>
      <c r="E11" s="56">
        <v>0.8</v>
      </c>
      <c r="F11" s="278">
        <v>45742.454861111109</v>
      </c>
      <c r="G11" s="56">
        <v>1</v>
      </c>
      <c r="H11" s="56">
        <v>51.377400000000002</v>
      </c>
      <c r="I11" s="56">
        <v>8.8444699999999994</v>
      </c>
      <c r="J11" s="56">
        <v>-2.9422700000000002</v>
      </c>
      <c r="K11" s="56">
        <v>-1.7474400000000001</v>
      </c>
      <c r="L11" s="56">
        <v>935.76599999999996</v>
      </c>
      <c r="M11" s="56">
        <v>63.49812</v>
      </c>
      <c r="N11" s="274">
        <v>8377.7540000000008</v>
      </c>
      <c r="O11" s="56">
        <v>8531.2520000000004</v>
      </c>
      <c r="P11" s="275">
        <v>2091.86</v>
      </c>
      <c r="Q11" s="275">
        <f t="shared" si="0"/>
        <v>2091.86</v>
      </c>
      <c r="R11" s="275" t="s">
        <v>584</v>
      </c>
      <c r="S11" s="275">
        <v>10</v>
      </c>
      <c r="T11" s="275">
        <v>5</v>
      </c>
      <c r="U11" s="275">
        <v>0.7</v>
      </c>
      <c r="V11" s="275">
        <v>0.7</v>
      </c>
      <c r="W11" s="275">
        <v>0.7</v>
      </c>
      <c r="X11" s="56">
        <v>2000</v>
      </c>
      <c r="Y11" s="56" t="s">
        <v>571</v>
      </c>
      <c r="Z11" s="56">
        <v>0.2</v>
      </c>
      <c r="AA11" s="56" t="s">
        <v>572</v>
      </c>
      <c r="AB11" s="56" t="s">
        <v>573</v>
      </c>
      <c r="AC11" s="56">
        <v>220</v>
      </c>
      <c r="AD11" s="277" t="s">
        <v>19</v>
      </c>
      <c r="AE11" s="277"/>
    </row>
    <row r="12" spans="1:31" ht="15.75" x14ac:dyDescent="0.25">
      <c r="A12" s="56" t="s">
        <v>585</v>
      </c>
      <c r="B12" s="56" t="s">
        <v>583</v>
      </c>
      <c r="C12" s="56" t="s">
        <v>531</v>
      </c>
      <c r="D12" s="56" t="s">
        <v>569</v>
      </c>
      <c r="E12" s="56">
        <v>0.8</v>
      </c>
      <c r="F12" s="278">
        <v>45742.457638888889</v>
      </c>
      <c r="G12" s="56">
        <v>1</v>
      </c>
      <c r="H12" s="56">
        <v>51.374099999999999</v>
      </c>
      <c r="I12" s="56">
        <v>8.9828200000000002</v>
      </c>
      <c r="J12" s="56">
        <v>-2.7926299999999999</v>
      </c>
      <c r="K12" s="56">
        <v>-1.1969399999999999</v>
      </c>
      <c r="L12" s="56">
        <v>944.72699999999998</v>
      </c>
      <c r="M12" s="56">
        <v>59.4985</v>
      </c>
      <c r="N12" s="274">
        <v>8471.4549999999999</v>
      </c>
      <c r="O12" s="56">
        <v>8531.2520000000004</v>
      </c>
      <c r="P12" s="275">
        <v>2091.86</v>
      </c>
      <c r="Q12" s="275">
        <f t="shared" si="0"/>
        <v>2091.86</v>
      </c>
      <c r="R12" s="275" t="s">
        <v>584</v>
      </c>
      <c r="S12" s="275">
        <v>10</v>
      </c>
      <c r="T12" s="275">
        <v>5</v>
      </c>
      <c r="U12" s="275">
        <v>0.7</v>
      </c>
      <c r="V12" s="275">
        <v>0.7</v>
      </c>
      <c r="W12" s="275">
        <v>0.7</v>
      </c>
      <c r="X12" s="56">
        <v>2000</v>
      </c>
      <c r="Y12" s="56" t="s">
        <v>571</v>
      </c>
      <c r="Z12" s="56">
        <v>0.2</v>
      </c>
      <c r="AA12" s="56" t="s">
        <v>572</v>
      </c>
      <c r="AB12" s="56" t="s">
        <v>573</v>
      </c>
      <c r="AC12" s="56">
        <v>220</v>
      </c>
      <c r="AD12" s="277" t="s">
        <v>19</v>
      </c>
      <c r="AE12" s="277"/>
    </row>
    <row r="13" spans="1:31" ht="15.75" x14ac:dyDescent="0.25">
      <c r="A13" s="56" t="s">
        <v>586</v>
      </c>
      <c r="B13" s="56" t="s">
        <v>583</v>
      </c>
      <c r="C13" s="56" t="s">
        <v>531</v>
      </c>
      <c r="D13" s="56" t="s">
        <v>569</v>
      </c>
      <c r="E13" s="56">
        <v>0.8</v>
      </c>
      <c r="F13" s="278">
        <v>45742.460416666669</v>
      </c>
      <c r="G13" s="56">
        <v>1</v>
      </c>
      <c r="H13" s="56">
        <v>51.380699999999997</v>
      </c>
      <c r="I13" s="56">
        <v>8.9578699999999998</v>
      </c>
      <c r="J13" s="56">
        <v>-2.9236200000000001</v>
      </c>
      <c r="K13" s="56">
        <v>-1.5373600000000001</v>
      </c>
      <c r="L13" s="56">
        <v>954.61900000000003</v>
      </c>
      <c r="M13" s="56">
        <v>67.00027</v>
      </c>
      <c r="N13" s="274">
        <v>8529.2970000000005</v>
      </c>
      <c r="O13" s="56">
        <v>8531.2520000000004</v>
      </c>
      <c r="P13" s="275">
        <v>2091.86</v>
      </c>
      <c r="Q13" s="275">
        <f t="shared" si="0"/>
        <v>2091.86</v>
      </c>
      <c r="R13" s="275" t="s">
        <v>570</v>
      </c>
      <c r="S13" s="275">
        <v>10</v>
      </c>
      <c r="T13" s="275">
        <v>5</v>
      </c>
      <c r="U13" s="275">
        <v>0.7</v>
      </c>
      <c r="V13" s="275">
        <v>0.7</v>
      </c>
      <c r="W13" s="275">
        <v>0.7</v>
      </c>
      <c r="X13" s="56">
        <v>2000</v>
      </c>
      <c r="Y13" s="56" t="s">
        <v>571</v>
      </c>
      <c r="Z13" s="56">
        <v>0.2</v>
      </c>
      <c r="AA13" s="56" t="s">
        <v>572</v>
      </c>
      <c r="AB13" s="56" t="s">
        <v>573</v>
      </c>
      <c r="AC13" s="56">
        <v>220</v>
      </c>
      <c r="AD13" s="277" t="s">
        <v>19</v>
      </c>
      <c r="AE13" s="277"/>
    </row>
    <row r="14" spans="1:31" ht="15.75" x14ac:dyDescent="0.25">
      <c r="A14" s="56" t="s">
        <v>587</v>
      </c>
      <c r="B14" s="56" t="s">
        <v>583</v>
      </c>
      <c r="C14" s="56" t="s">
        <v>531</v>
      </c>
      <c r="D14" s="56" t="s">
        <v>569</v>
      </c>
      <c r="E14" s="56">
        <v>0.8</v>
      </c>
      <c r="F14" s="278">
        <v>45742.462500000001</v>
      </c>
      <c r="G14" s="56">
        <v>1</v>
      </c>
      <c r="H14" s="56">
        <v>51.384</v>
      </c>
      <c r="I14" s="56">
        <v>8.9511599999999998</v>
      </c>
      <c r="J14" s="56">
        <v>-2.7843399999999998</v>
      </c>
      <c r="K14" s="56">
        <v>-1.55172</v>
      </c>
      <c r="L14" s="56">
        <v>961.58100000000002</v>
      </c>
      <c r="M14" s="56">
        <v>72.000119999999995</v>
      </c>
      <c r="N14" s="274">
        <v>8533.2070000000003</v>
      </c>
      <c r="O14" s="56">
        <v>8531.2520000000004</v>
      </c>
      <c r="P14" s="275">
        <v>2091.86</v>
      </c>
      <c r="Q14" s="275">
        <f t="shared" si="0"/>
        <v>2091.86</v>
      </c>
      <c r="R14" s="275" t="s">
        <v>570</v>
      </c>
      <c r="S14" s="275">
        <v>10</v>
      </c>
      <c r="T14" s="275">
        <v>5</v>
      </c>
      <c r="U14" s="275">
        <v>0.7</v>
      </c>
      <c r="V14" s="279">
        <v>0.7</v>
      </c>
      <c r="W14" s="275">
        <v>0.7</v>
      </c>
      <c r="X14" s="56">
        <v>2000</v>
      </c>
      <c r="Y14" s="56" t="s">
        <v>571</v>
      </c>
      <c r="Z14" s="56">
        <v>0.2</v>
      </c>
      <c r="AA14" s="56" t="s">
        <v>572</v>
      </c>
      <c r="AB14" s="56" t="s">
        <v>573</v>
      </c>
      <c r="AC14" s="56">
        <v>220</v>
      </c>
      <c r="AD14" s="277" t="s">
        <v>19</v>
      </c>
      <c r="AE14" s="277"/>
    </row>
    <row r="15" spans="1:31" ht="15.75" x14ac:dyDescent="0.25">
      <c r="A15" s="56" t="s">
        <v>588</v>
      </c>
      <c r="B15" s="56" t="s">
        <v>589</v>
      </c>
      <c r="C15" s="56" t="s">
        <v>531</v>
      </c>
      <c r="D15" s="56" t="s">
        <v>569</v>
      </c>
      <c r="E15" s="56">
        <v>1</v>
      </c>
      <c r="F15" s="278">
        <v>45742.46597222222</v>
      </c>
      <c r="G15" s="56">
        <v>1</v>
      </c>
      <c r="H15" s="56">
        <v>51.370800000000003</v>
      </c>
      <c r="I15" s="56">
        <v>8.8462899999999998</v>
      </c>
      <c r="J15" s="56">
        <v>-2.6781700000000002</v>
      </c>
      <c r="K15" s="56">
        <v>-1.3723799999999999</v>
      </c>
      <c r="L15" s="56">
        <v>1008.5</v>
      </c>
      <c r="M15" s="56">
        <v>70.499809999999997</v>
      </c>
      <c r="N15" s="274">
        <v>10676.93</v>
      </c>
      <c r="O15" s="56">
        <v>10686.17</v>
      </c>
      <c r="P15" s="275">
        <v>2091.86</v>
      </c>
      <c r="Q15" s="275">
        <f t="shared" si="0"/>
        <v>2091.86</v>
      </c>
      <c r="R15" s="275" t="s">
        <v>584</v>
      </c>
      <c r="S15" s="275">
        <v>10</v>
      </c>
      <c r="T15" s="275">
        <v>5</v>
      </c>
      <c r="U15" s="275">
        <v>0.7</v>
      </c>
      <c r="V15" s="279">
        <v>0.7</v>
      </c>
      <c r="W15" s="275">
        <v>0.7</v>
      </c>
      <c r="X15" s="56">
        <v>2000</v>
      </c>
      <c r="Y15" s="56" t="s">
        <v>571</v>
      </c>
      <c r="Z15" s="56">
        <v>0.2</v>
      </c>
      <c r="AA15" s="56" t="s">
        <v>572</v>
      </c>
      <c r="AB15" s="56" t="s">
        <v>573</v>
      </c>
      <c r="AC15" s="56">
        <v>220</v>
      </c>
      <c r="AD15" s="277" t="s">
        <v>19</v>
      </c>
      <c r="AE15" s="277"/>
    </row>
    <row r="16" spans="1:31" ht="15.75" x14ac:dyDescent="0.25">
      <c r="A16" s="56" t="s">
        <v>590</v>
      </c>
      <c r="B16" s="56" t="s">
        <v>589</v>
      </c>
      <c r="C16" s="56" t="s">
        <v>531</v>
      </c>
      <c r="D16" s="56" t="s">
        <v>569</v>
      </c>
      <c r="E16" s="56">
        <v>1</v>
      </c>
      <c r="F16" s="278">
        <v>45742.46875</v>
      </c>
      <c r="G16" s="56">
        <v>1</v>
      </c>
      <c r="H16" s="56">
        <v>51.377400000000002</v>
      </c>
      <c r="I16" s="56">
        <v>8.6130800000000001</v>
      </c>
      <c r="J16" s="56">
        <v>-2.7300499999999999</v>
      </c>
      <c r="K16" s="56">
        <v>-1.3773299999999999</v>
      </c>
      <c r="L16" s="56">
        <v>1012.98</v>
      </c>
      <c r="M16" s="56">
        <v>71.00121</v>
      </c>
      <c r="N16" s="274">
        <v>10708.25</v>
      </c>
      <c r="O16" s="56">
        <v>10686.17</v>
      </c>
      <c r="P16" s="275">
        <v>2091.86</v>
      </c>
      <c r="Q16" s="275">
        <f t="shared" si="0"/>
        <v>2091.86</v>
      </c>
      <c r="R16" s="275" t="s">
        <v>584</v>
      </c>
      <c r="S16" s="275">
        <v>10</v>
      </c>
      <c r="T16" s="275">
        <v>5</v>
      </c>
      <c r="U16" s="275">
        <v>0.7</v>
      </c>
      <c r="V16" s="279">
        <v>0.7</v>
      </c>
      <c r="W16" s="275">
        <v>0.7</v>
      </c>
      <c r="X16" s="56">
        <v>2000</v>
      </c>
      <c r="Y16" s="56" t="s">
        <v>571</v>
      </c>
      <c r="Z16" s="56">
        <v>0.2</v>
      </c>
      <c r="AA16" s="56" t="s">
        <v>572</v>
      </c>
      <c r="AB16" s="56" t="s">
        <v>573</v>
      </c>
      <c r="AC16" s="56">
        <v>220</v>
      </c>
      <c r="AD16" s="277" t="s">
        <v>19</v>
      </c>
      <c r="AE16" s="277"/>
    </row>
    <row r="17" spans="1:31" ht="15.75" x14ac:dyDescent="0.25">
      <c r="A17" s="56" t="s">
        <v>591</v>
      </c>
      <c r="B17" s="56" t="s">
        <v>589</v>
      </c>
      <c r="C17" s="56" t="s">
        <v>531</v>
      </c>
      <c r="D17" s="56" t="s">
        <v>569</v>
      </c>
      <c r="E17" s="56">
        <v>1</v>
      </c>
      <c r="F17" s="278">
        <v>45742.47152777778</v>
      </c>
      <c r="G17" s="56">
        <v>1</v>
      </c>
      <c r="H17" s="56">
        <v>51.374099999999999</v>
      </c>
      <c r="I17" s="56">
        <v>8.8228600000000004</v>
      </c>
      <c r="J17" s="56">
        <v>-2.6292</v>
      </c>
      <c r="K17" s="56">
        <v>-1.2831300000000001</v>
      </c>
      <c r="L17" s="56">
        <v>996.46699999999998</v>
      </c>
      <c r="M17" s="56">
        <v>75.499440000000007</v>
      </c>
      <c r="N17" s="274">
        <v>10686.53</v>
      </c>
      <c r="O17" s="56">
        <v>10686.17</v>
      </c>
      <c r="P17" s="275">
        <v>2091.86</v>
      </c>
      <c r="Q17" s="275">
        <f t="shared" si="0"/>
        <v>2091.86</v>
      </c>
      <c r="R17" s="275" t="s">
        <v>570</v>
      </c>
      <c r="S17" s="275">
        <v>10</v>
      </c>
      <c r="T17" s="275">
        <v>5</v>
      </c>
      <c r="U17" s="275">
        <v>0.7</v>
      </c>
      <c r="V17" s="279">
        <v>0.7</v>
      </c>
      <c r="W17" s="275">
        <v>0.7</v>
      </c>
      <c r="X17" s="56">
        <v>2000</v>
      </c>
      <c r="Y17" s="56" t="s">
        <v>571</v>
      </c>
      <c r="Z17" s="56">
        <v>0.2</v>
      </c>
      <c r="AA17" s="56" t="s">
        <v>572</v>
      </c>
      <c r="AB17" s="56" t="s">
        <v>573</v>
      </c>
      <c r="AC17" s="56">
        <v>220</v>
      </c>
      <c r="AD17" s="277" t="s">
        <v>19</v>
      </c>
      <c r="AE17" s="277"/>
    </row>
    <row r="18" spans="1:31" ht="15.75" x14ac:dyDescent="0.25">
      <c r="A18" s="56" t="s">
        <v>592</v>
      </c>
      <c r="B18" s="56" t="s">
        <v>589</v>
      </c>
      <c r="C18" s="56" t="s">
        <v>531</v>
      </c>
      <c r="D18" s="56" t="s">
        <v>569</v>
      </c>
      <c r="E18" s="56">
        <v>1</v>
      </c>
      <c r="F18" s="278">
        <v>45742.474305555559</v>
      </c>
      <c r="G18" s="56">
        <v>1</v>
      </c>
      <c r="H18" s="56">
        <v>51.377400000000002</v>
      </c>
      <c r="I18" s="56">
        <v>8.8040199999999995</v>
      </c>
      <c r="J18" s="56">
        <v>-2.4863200000000001</v>
      </c>
      <c r="K18" s="56">
        <v>-0.47165000000000001</v>
      </c>
      <c r="L18" s="56">
        <v>1020.92</v>
      </c>
      <c r="M18" s="56">
        <v>62.999450000000003</v>
      </c>
      <c r="N18" s="274">
        <v>10685.81</v>
      </c>
      <c r="O18" s="56">
        <v>10686.17</v>
      </c>
      <c r="P18" s="275">
        <v>2091.86</v>
      </c>
      <c r="Q18" s="275">
        <f t="shared" si="0"/>
        <v>2091.86</v>
      </c>
      <c r="R18" s="275" t="s">
        <v>570</v>
      </c>
      <c r="S18" s="275">
        <v>10</v>
      </c>
      <c r="T18" s="275">
        <v>5</v>
      </c>
      <c r="U18" s="275">
        <v>0.7</v>
      </c>
      <c r="V18" s="279">
        <v>0.7</v>
      </c>
      <c r="W18" s="275">
        <v>0.7</v>
      </c>
      <c r="X18" s="56">
        <v>2000</v>
      </c>
      <c r="Y18" s="56" t="s">
        <v>571</v>
      </c>
      <c r="Z18" s="56">
        <v>0.2</v>
      </c>
      <c r="AA18" s="56" t="s">
        <v>572</v>
      </c>
      <c r="AB18" s="56" t="s">
        <v>573</v>
      </c>
      <c r="AC18" s="56">
        <v>220</v>
      </c>
      <c r="AD18" s="277" t="s">
        <v>19</v>
      </c>
      <c r="AE18" s="277"/>
    </row>
    <row r="19" spans="1:31" ht="15.75" x14ac:dyDescent="0.25">
      <c r="A19" s="56" t="s">
        <v>593</v>
      </c>
      <c r="B19" s="56" t="s">
        <v>594</v>
      </c>
      <c r="C19" s="56" t="s">
        <v>531</v>
      </c>
      <c r="D19" s="56" t="s">
        <v>569</v>
      </c>
      <c r="E19" s="56">
        <v>1.2</v>
      </c>
      <c r="F19" s="278">
        <v>45742.477083333331</v>
      </c>
      <c r="G19" s="56">
        <v>1</v>
      </c>
      <c r="H19" s="56">
        <v>51.374099999999999</v>
      </c>
      <c r="I19" s="56">
        <v>8.8884600000000002</v>
      </c>
      <c r="J19" s="56">
        <v>-2.22315</v>
      </c>
      <c r="K19" s="56">
        <v>-1.2398199999999999</v>
      </c>
      <c r="L19" s="56">
        <v>1034.1400000000001</v>
      </c>
      <c r="M19" s="56">
        <v>82.49924</v>
      </c>
      <c r="N19" s="274">
        <v>12888.92</v>
      </c>
      <c r="O19" s="56">
        <v>12892.83</v>
      </c>
      <c r="P19" s="275">
        <v>2091.86</v>
      </c>
      <c r="Q19" s="275">
        <f t="shared" si="0"/>
        <v>2091.86</v>
      </c>
      <c r="R19" s="275" t="s">
        <v>570</v>
      </c>
      <c r="S19" s="275">
        <v>10</v>
      </c>
      <c r="T19" s="275">
        <v>5</v>
      </c>
      <c r="U19" s="275">
        <v>0.7</v>
      </c>
      <c r="V19" s="279">
        <v>0.7</v>
      </c>
      <c r="W19" s="275">
        <v>0.7</v>
      </c>
      <c r="X19" s="56">
        <v>2000</v>
      </c>
      <c r="Y19" s="56" t="s">
        <v>571</v>
      </c>
      <c r="Z19" s="56">
        <v>0.2</v>
      </c>
      <c r="AA19" s="56" t="s">
        <v>572</v>
      </c>
      <c r="AB19" s="56" t="s">
        <v>573</v>
      </c>
      <c r="AC19" s="56">
        <v>220</v>
      </c>
      <c r="AD19" s="277" t="s">
        <v>19</v>
      </c>
      <c r="AE19" s="277"/>
    </row>
    <row r="20" spans="1:31" ht="15.75" x14ac:dyDescent="0.25">
      <c r="A20" s="56" t="s">
        <v>595</v>
      </c>
      <c r="B20" s="56" t="s">
        <v>594</v>
      </c>
      <c r="C20" s="56" t="s">
        <v>531</v>
      </c>
      <c r="D20" s="56" t="s">
        <v>569</v>
      </c>
      <c r="E20" s="56">
        <v>1.2</v>
      </c>
      <c r="F20" s="278">
        <v>45742.479861111111</v>
      </c>
      <c r="G20" s="56">
        <v>1</v>
      </c>
      <c r="H20" s="56">
        <v>51.377400000000002</v>
      </c>
      <c r="I20" s="56">
        <v>8.8399400000000004</v>
      </c>
      <c r="J20" s="56">
        <v>-2.1781799999999998</v>
      </c>
      <c r="K20" s="56">
        <v>-1.18699</v>
      </c>
      <c r="L20" s="56">
        <v>1033.58</v>
      </c>
      <c r="M20" s="56">
        <v>79.500659999999996</v>
      </c>
      <c r="N20" s="274">
        <v>12896.74</v>
      </c>
      <c r="O20" s="56">
        <v>12892.83</v>
      </c>
      <c r="P20" s="275">
        <v>2091.86</v>
      </c>
      <c r="Q20" s="275">
        <f t="shared" si="0"/>
        <v>2091.86</v>
      </c>
      <c r="R20" s="275" t="s">
        <v>570</v>
      </c>
      <c r="S20" s="275">
        <v>10</v>
      </c>
      <c r="T20" s="275">
        <v>5</v>
      </c>
      <c r="U20" s="275">
        <v>0.7</v>
      </c>
      <c r="V20" s="279">
        <v>0.7</v>
      </c>
      <c r="W20" s="275">
        <v>0.7</v>
      </c>
      <c r="X20" s="56">
        <v>2000</v>
      </c>
      <c r="Y20" s="56" t="s">
        <v>571</v>
      </c>
      <c r="Z20" s="56">
        <v>0.2</v>
      </c>
      <c r="AA20" s="56" t="s">
        <v>572</v>
      </c>
      <c r="AB20" s="56" t="s">
        <v>573</v>
      </c>
      <c r="AC20" s="56">
        <v>220</v>
      </c>
      <c r="AD20" s="277" t="s">
        <v>19</v>
      </c>
      <c r="AE20" s="277"/>
    </row>
    <row r="21" spans="1:31" ht="15.75" x14ac:dyDescent="0.25">
      <c r="A21" s="56" t="s">
        <v>596</v>
      </c>
      <c r="B21" s="56">
        <v>2</v>
      </c>
      <c r="C21" s="56" t="s">
        <v>531</v>
      </c>
      <c r="D21" s="56" t="s">
        <v>569</v>
      </c>
      <c r="E21" s="56">
        <v>1</v>
      </c>
      <c r="F21" s="278">
        <v>45742.482638888891</v>
      </c>
      <c r="G21" s="56">
        <v>1</v>
      </c>
      <c r="H21" s="56">
        <v>51.377400000000002</v>
      </c>
      <c r="I21" s="56">
        <v>8.9087800000000001</v>
      </c>
      <c r="J21" s="56">
        <v>-2.0552600000000001</v>
      </c>
      <c r="K21" s="56">
        <v>-4.5100000000000001E-2</v>
      </c>
      <c r="L21" s="56">
        <v>1010.35</v>
      </c>
      <c r="M21" s="56">
        <v>62.498530000000002</v>
      </c>
      <c r="N21" s="274">
        <v>10678.8</v>
      </c>
      <c r="O21" s="56">
        <v>10714.39</v>
      </c>
      <c r="P21" s="275">
        <v>2093.9650000000001</v>
      </c>
      <c r="Q21" s="275">
        <f t="shared" si="0"/>
        <v>2093.9650000000001</v>
      </c>
      <c r="R21" s="275" t="s">
        <v>584</v>
      </c>
      <c r="S21" s="275">
        <v>10</v>
      </c>
      <c r="T21" s="275">
        <v>5</v>
      </c>
      <c r="U21" s="275">
        <v>0.7</v>
      </c>
      <c r="V21" s="279">
        <v>0.7</v>
      </c>
      <c r="W21" s="275">
        <v>0.7</v>
      </c>
      <c r="X21" s="56">
        <v>2000</v>
      </c>
      <c r="Y21" s="56" t="s">
        <v>571</v>
      </c>
      <c r="Z21" s="56">
        <v>0.2</v>
      </c>
      <c r="AA21" s="56" t="s">
        <v>572</v>
      </c>
      <c r="AB21" s="56" t="s">
        <v>573</v>
      </c>
      <c r="AC21" s="56">
        <v>220</v>
      </c>
      <c r="AD21" s="277" t="s">
        <v>19</v>
      </c>
      <c r="AE21" s="277"/>
    </row>
    <row r="22" spans="1:31" ht="15.75" x14ac:dyDescent="0.25">
      <c r="A22" s="280" t="s">
        <v>597</v>
      </c>
      <c r="B22" s="280">
        <v>2</v>
      </c>
      <c r="C22" s="280" t="s">
        <v>531</v>
      </c>
      <c r="D22" s="280" t="s">
        <v>569</v>
      </c>
      <c r="E22" s="280">
        <v>1</v>
      </c>
      <c r="F22" s="281">
        <v>45742.48541666667</v>
      </c>
      <c r="G22" s="280">
        <v>1</v>
      </c>
      <c r="H22" s="280">
        <v>51.380699999999997</v>
      </c>
      <c r="I22" s="280">
        <v>9.0120199999999997</v>
      </c>
      <c r="J22" s="280">
        <v>-1.9650000000000001</v>
      </c>
      <c r="K22" s="280">
        <v>-0.58413000000000004</v>
      </c>
      <c r="L22" s="280">
        <v>1005.15</v>
      </c>
      <c r="M22" s="280">
        <v>67.998779999999996</v>
      </c>
      <c r="N22" s="282">
        <v>10706.07</v>
      </c>
      <c r="O22" s="280">
        <v>10714.39</v>
      </c>
      <c r="P22" s="283">
        <v>2093.9650000000001</v>
      </c>
      <c r="Q22" s="275">
        <f t="shared" si="0"/>
        <v>2093.9650000000001</v>
      </c>
      <c r="R22" s="283" t="s">
        <v>570</v>
      </c>
      <c r="S22" s="275">
        <v>10</v>
      </c>
      <c r="T22" s="275">
        <v>5</v>
      </c>
      <c r="U22" s="275">
        <v>0.7</v>
      </c>
      <c r="V22" s="279">
        <v>0.7</v>
      </c>
      <c r="W22" s="275">
        <v>0.7</v>
      </c>
      <c r="X22" s="56">
        <v>2000</v>
      </c>
      <c r="Y22" s="56" t="s">
        <v>571</v>
      </c>
      <c r="Z22" s="56">
        <v>0.2</v>
      </c>
      <c r="AA22" s="56" t="s">
        <v>572</v>
      </c>
      <c r="AB22" s="56" t="s">
        <v>573</v>
      </c>
      <c r="AC22" s="56">
        <v>220</v>
      </c>
      <c r="AD22" s="277" t="s">
        <v>19</v>
      </c>
      <c r="AE22" s="277"/>
    </row>
    <row r="23" spans="1:31" ht="15.75" x14ac:dyDescent="0.25">
      <c r="A23" s="280" t="s">
        <v>598</v>
      </c>
      <c r="B23" s="280">
        <v>2</v>
      </c>
      <c r="C23" s="280" t="s">
        <v>531</v>
      </c>
      <c r="D23" s="280" t="s">
        <v>569</v>
      </c>
      <c r="E23" s="280">
        <v>1</v>
      </c>
      <c r="F23" s="281">
        <v>45742.488194444442</v>
      </c>
      <c r="G23" s="280">
        <v>1</v>
      </c>
      <c r="H23" s="280">
        <v>51.377400000000002</v>
      </c>
      <c r="I23" s="280">
        <v>8.9202100000000009</v>
      </c>
      <c r="J23" s="280">
        <v>-1.85921</v>
      </c>
      <c r="K23" s="280">
        <v>-0.42242000000000002</v>
      </c>
      <c r="L23" s="280">
        <v>1032.22</v>
      </c>
      <c r="M23" s="280">
        <v>71.501459999999994</v>
      </c>
      <c r="N23" s="282">
        <v>10722.71</v>
      </c>
      <c r="O23" s="280">
        <v>10714.39</v>
      </c>
      <c r="P23" s="283">
        <v>2093.9650000000001</v>
      </c>
      <c r="Q23" s="275">
        <f t="shared" si="0"/>
        <v>2093.9650000000001</v>
      </c>
      <c r="R23" s="283" t="s">
        <v>570</v>
      </c>
      <c r="S23" s="275">
        <v>10</v>
      </c>
      <c r="T23" s="275">
        <v>5</v>
      </c>
      <c r="U23" s="275">
        <v>0.7</v>
      </c>
      <c r="V23" s="279">
        <v>0.7</v>
      </c>
      <c r="W23" s="275">
        <v>0.7</v>
      </c>
      <c r="X23" s="56">
        <v>2000</v>
      </c>
      <c r="Y23" s="56" t="s">
        <v>571</v>
      </c>
      <c r="Z23" s="56">
        <v>0.2</v>
      </c>
      <c r="AA23" s="56" t="s">
        <v>572</v>
      </c>
      <c r="AB23" s="56" t="s">
        <v>573</v>
      </c>
      <c r="AC23" s="56">
        <v>220</v>
      </c>
      <c r="AD23" s="277" t="s">
        <v>19</v>
      </c>
      <c r="AE23" s="277"/>
    </row>
    <row r="24" spans="1:31" ht="15.75" x14ac:dyDescent="0.25">
      <c r="A24" s="56" t="s">
        <v>599</v>
      </c>
      <c r="B24" s="56">
        <v>3</v>
      </c>
      <c r="C24" s="56">
        <v>1</v>
      </c>
      <c r="D24" s="56" t="s">
        <v>600</v>
      </c>
      <c r="E24" s="56">
        <v>1</v>
      </c>
      <c r="F24" s="278">
        <v>45742.491666666669</v>
      </c>
      <c r="G24" s="56">
        <v>1</v>
      </c>
      <c r="H24" s="56">
        <v>51.377400000000002</v>
      </c>
      <c r="I24" s="56">
        <v>8.9911899999999996</v>
      </c>
      <c r="J24" s="56">
        <v>-1.89178</v>
      </c>
      <c r="K24" s="56">
        <v>-0.10689</v>
      </c>
      <c r="L24" s="56">
        <v>1016.2</v>
      </c>
      <c r="M24" s="56">
        <v>64.998410000000007</v>
      </c>
      <c r="N24" s="274">
        <v>10597.85</v>
      </c>
      <c r="O24" s="56">
        <v>10624.22</v>
      </c>
      <c r="P24" s="275">
        <v>2076.665</v>
      </c>
      <c r="Q24" s="275">
        <f t="shared" si="0"/>
        <v>2076.665</v>
      </c>
      <c r="R24" s="275" t="s">
        <v>584</v>
      </c>
      <c r="S24" s="275">
        <v>10</v>
      </c>
      <c r="T24" s="275">
        <v>5</v>
      </c>
      <c r="U24" s="275">
        <v>0.7</v>
      </c>
      <c r="V24" s="279">
        <v>0.7</v>
      </c>
      <c r="W24" s="275">
        <v>0.7</v>
      </c>
      <c r="X24" s="56">
        <v>2000</v>
      </c>
      <c r="Y24" s="56" t="s">
        <v>571</v>
      </c>
      <c r="Z24" s="56">
        <v>0.2</v>
      </c>
      <c r="AA24" s="56" t="s">
        <v>572</v>
      </c>
      <c r="AB24" s="56" t="s">
        <v>573</v>
      </c>
      <c r="AC24" s="56">
        <v>220</v>
      </c>
      <c r="AD24" s="277" t="s">
        <v>19</v>
      </c>
      <c r="AE24" s="277"/>
    </row>
    <row r="25" spans="1:31" ht="15.75" x14ac:dyDescent="0.25">
      <c r="A25" s="56" t="s">
        <v>601</v>
      </c>
      <c r="B25" s="56">
        <v>3</v>
      </c>
      <c r="C25" s="56">
        <v>1</v>
      </c>
      <c r="D25" s="56" t="s">
        <v>600</v>
      </c>
      <c r="E25" s="56">
        <v>1</v>
      </c>
      <c r="F25" s="278">
        <v>45742.494444444441</v>
      </c>
      <c r="G25" s="56">
        <v>1</v>
      </c>
      <c r="H25" s="56">
        <v>51.377400000000002</v>
      </c>
      <c r="I25" s="56">
        <v>8.9798600000000004</v>
      </c>
      <c r="J25" s="56">
        <v>-1.89445</v>
      </c>
      <c r="K25" s="56">
        <v>-0.79974000000000001</v>
      </c>
      <c r="L25" s="56">
        <v>1004.62</v>
      </c>
      <c r="M25" s="56">
        <v>82.001009999999994</v>
      </c>
      <c r="N25" s="274">
        <v>10634.08</v>
      </c>
      <c r="O25" s="56">
        <v>10624.22</v>
      </c>
      <c r="P25" s="275">
        <v>2076.665</v>
      </c>
      <c r="Q25" s="275">
        <f t="shared" si="0"/>
        <v>2076.665</v>
      </c>
      <c r="R25" s="275" t="s">
        <v>570</v>
      </c>
      <c r="S25" s="275">
        <v>10</v>
      </c>
      <c r="T25" s="275">
        <v>5</v>
      </c>
      <c r="U25" s="275">
        <v>0.7</v>
      </c>
      <c r="V25" s="279">
        <v>0.7</v>
      </c>
      <c r="W25" s="275">
        <v>0.7</v>
      </c>
      <c r="X25" s="56">
        <v>2000</v>
      </c>
      <c r="Y25" s="56" t="s">
        <v>571</v>
      </c>
      <c r="Z25" s="56">
        <v>0.2</v>
      </c>
      <c r="AA25" s="56" t="s">
        <v>572</v>
      </c>
      <c r="AB25" s="56" t="s">
        <v>573</v>
      </c>
      <c r="AC25" s="56">
        <v>220</v>
      </c>
      <c r="AD25" s="277" t="s">
        <v>19</v>
      </c>
      <c r="AE25" s="277"/>
    </row>
    <row r="26" spans="1:31" ht="15.75" x14ac:dyDescent="0.25">
      <c r="A26" s="56" t="s">
        <v>602</v>
      </c>
      <c r="B26" s="56">
        <v>3</v>
      </c>
      <c r="C26" s="56">
        <v>1</v>
      </c>
      <c r="D26" s="56" t="s">
        <v>600</v>
      </c>
      <c r="E26" s="56">
        <v>1</v>
      </c>
      <c r="F26" s="278">
        <v>45742.49722222222</v>
      </c>
      <c r="G26" s="56">
        <v>1</v>
      </c>
      <c r="H26" s="56">
        <v>51.380699999999997</v>
      </c>
      <c r="I26" s="56">
        <v>8.9100400000000004</v>
      </c>
      <c r="J26" s="56">
        <v>-1.79359</v>
      </c>
      <c r="K26" s="56">
        <v>-0.13635</v>
      </c>
      <c r="L26" s="56">
        <v>1007.61</v>
      </c>
      <c r="M26" s="56">
        <v>71.498660000000001</v>
      </c>
      <c r="N26" s="274">
        <v>10614.35</v>
      </c>
      <c r="O26" s="56">
        <v>10624.22</v>
      </c>
      <c r="P26" s="275">
        <v>2076.665</v>
      </c>
      <c r="Q26" s="275">
        <f t="shared" si="0"/>
        <v>2076.665</v>
      </c>
      <c r="R26" s="275" t="s">
        <v>570</v>
      </c>
      <c r="S26" s="275">
        <v>10</v>
      </c>
      <c r="T26" s="275">
        <v>5</v>
      </c>
      <c r="U26" s="275">
        <v>0.7</v>
      </c>
      <c r="V26" s="279">
        <v>0.7</v>
      </c>
      <c r="W26" s="275">
        <v>0.7</v>
      </c>
      <c r="X26" s="56">
        <v>2000</v>
      </c>
      <c r="Y26" s="56" t="s">
        <v>571</v>
      </c>
      <c r="Z26" s="56">
        <v>0.2</v>
      </c>
      <c r="AA26" s="56" t="s">
        <v>572</v>
      </c>
      <c r="AB26" s="56" t="s">
        <v>573</v>
      </c>
      <c r="AC26" s="56">
        <v>220</v>
      </c>
      <c r="AD26" s="277" t="s">
        <v>19</v>
      </c>
      <c r="AE26" s="277"/>
    </row>
    <row r="27" spans="1:31" ht="15.75" x14ac:dyDescent="0.25">
      <c r="A27" s="56" t="s">
        <v>603</v>
      </c>
      <c r="B27" s="56">
        <v>4</v>
      </c>
      <c r="C27" s="56">
        <v>2</v>
      </c>
      <c r="D27" s="56" t="s">
        <v>604</v>
      </c>
      <c r="E27" s="56">
        <v>1</v>
      </c>
      <c r="F27" s="278">
        <v>45742.500694444447</v>
      </c>
      <c r="G27" s="56">
        <v>1</v>
      </c>
      <c r="H27" s="56">
        <v>51.380699999999997</v>
      </c>
      <c r="I27" s="56">
        <v>8.9807400000000008</v>
      </c>
      <c r="J27" s="56">
        <v>-1.69323</v>
      </c>
      <c r="K27" s="56">
        <v>-0.75127999999999995</v>
      </c>
      <c r="L27" s="56">
        <v>1007.39</v>
      </c>
      <c r="M27" s="56">
        <v>79.500330000000005</v>
      </c>
      <c r="N27" s="274">
        <v>10645.78</v>
      </c>
      <c r="O27" s="56">
        <v>10626.07</v>
      </c>
      <c r="P27" s="275">
        <v>2077.02</v>
      </c>
      <c r="Q27" s="275">
        <f t="shared" si="0"/>
        <v>2077.02</v>
      </c>
      <c r="R27" s="275" t="s">
        <v>584</v>
      </c>
      <c r="S27" s="275">
        <v>10</v>
      </c>
      <c r="T27" s="275">
        <v>5</v>
      </c>
      <c r="U27" s="275">
        <v>0.7</v>
      </c>
      <c r="V27" s="279">
        <v>0.7</v>
      </c>
      <c r="W27" s="275">
        <v>0.7</v>
      </c>
      <c r="X27" s="56">
        <v>2000</v>
      </c>
      <c r="Y27" s="56" t="s">
        <v>571</v>
      </c>
      <c r="Z27" s="56">
        <v>0.2</v>
      </c>
      <c r="AA27" s="56" t="s">
        <v>572</v>
      </c>
      <c r="AB27" s="56" t="s">
        <v>573</v>
      </c>
      <c r="AC27" s="56">
        <v>220</v>
      </c>
      <c r="AD27" s="277" t="s">
        <v>19</v>
      </c>
      <c r="AE27" s="277"/>
    </row>
    <row r="28" spans="1:31" ht="15.75" x14ac:dyDescent="0.25">
      <c r="A28" s="56" t="s">
        <v>605</v>
      </c>
      <c r="B28" s="56">
        <v>4</v>
      </c>
      <c r="C28" s="56">
        <v>2</v>
      </c>
      <c r="D28" s="56" t="s">
        <v>604</v>
      </c>
      <c r="E28" s="56">
        <v>1</v>
      </c>
      <c r="F28" s="278">
        <v>45742.503472222219</v>
      </c>
      <c r="G28" s="56">
        <v>1</v>
      </c>
      <c r="H28" s="56">
        <v>51.377400000000002</v>
      </c>
      <c r="I28" s="56">
        <v>9.0563099999999999</v>
      </c>
      <c r="J28" s="56">
        <v>-1.6685700000000001</v>
      </c>
      <c r="K28" s="56">
        <v>0.15692</v>
      </c>
      <c r="L28" s="56">
        <v>1015.33</v>
      </c>
      <c r="M28" s="56">
        <v>64.499080000000006</v>
      </c>
      <c r="N28" s="274">
        <v>10621.86</v>
      </c>
      <c r="O28" s="56">
        <v>10626.07</v>
      </c>
      <c r="P28" s="275">
        <v>2077.02</v>
      </c>
      <c r="Q28" s="275">
        <f t="shared" si="0"/>
        <v>2077.02</v>
      </c>
      <c r="R28" s="275" t="s">
        <v>570</v>
      </c>
      <c r="S28" s="275">
        <v>10</v>
      </c>
      <c r="T28" s="275">
        <v>5</v>
      </c>
      <c r="U28" s="275">
        <v>0.7</v>
      </c>
      <c r="V28" s="279">
        <v>0.7</v>
      </c>
      <c r="W28" s="275">
        <v>0.7</v>
      </c>
      <c r="X28" s="56">
        <v>2000</v>
      </c>
      <c r="Y28" s="56" t="s">
        <v>571</v>
      </c>
      <c r="Z28" s="56">
        <v>0.2</v>
      </c>
      <c r="AA28" s="56" t="s">
        <v>572</v>
      </c>
      <c r="AB28" s="56" t="s">
        <v>573</v>
      </c>
      <c r="AC28" s="56">
        <v>220</v>
      </c>
      <c r="AD28" s="277" t="s">
        <v>19</v>
      </c>
      <c r="AE28" s="277"/>
    </row>
    <row r="29" spans="1:31" ht="15.75" x14ac:dyDescent="0.25">
      <c r="A29" s="56" t="s">
        <v>606</v>
      </c>
      <c r="B29" s="56">
        <v>4</v>
      </c>
      <c r="C29" s="56">
        <v>2</v>
      </c>
      <c r="D29" s="56" t="s">
        <v>604</v>
      </c>
      <c r="E29" s="56">
        <v>1</v>
      </c>
      <c r="F29" s="278">
        <v>45742.506249999999</v>
      </c>
      <c r="G29" s="56">
        <v>1</v>
      </c>
      <c r="H29" s="56">
        <v>51.377400000000002</v>
      </c>
      <c r="I29" s="56">
        <v>8.8863500000000002</v>
      </c>
      <c r="J29" s="56">
        <v>-1.6210199999999999</v>
      </c>
      <c r="K29" s="56">
        <v>0.13205600000000001</v>
      </c>
      <c r="L29" s="56">
        <v>1006.53</v>
      </c>
      <c r="M29" s="56">
        <v>72.499719999999996</v>
      </c>
      <c r="N29" s="274">
        <v>10630.28</v>
      </c>
      <c r="O29" s="56">
        <v>10626.07</v>
      </c>
      <c r="P29" s="275">
        <v>2077.02</v>
      </c>
      <c r="Q29" s="275">
        <f t="shared" si="0"/>
        <v>2077.02</v>
      </c>
      <c r="R29" s="275" t="s">
        <v>570</v>
      </c>
      <c r="S29" s="275">
        <v>10</v>
      </c>
      <c r="T29" s="275">
        <v>5</v>
      </c>
      <c r="U29" s="275">
        <v>0.7</v>
      </c>
      <c r="V29" s="279">
        <v>0.7</v>
      </c>
      <c r="W29" s="275">
        <v>0.7</v>
      </c>
      <c r="X29" s="56">
        <v>2000</v>
      </c>
      <c r="Y29" s="56" t="s">
        <v>571</v>
      </c>
      <c r="Z29" s="56">
        <v>0.2</v>
      </c>
      <c r="AA29" s="56" t="s">
        <v>572</v>
      </c>
      <c r="AB29" s="56" t="s">
        <v>573</v>
      </c>
      <c r="AC29" s="56">
        <v>220</v>
      </c>
      <c r="AD29" s="277" t="s">
        <v>19</v>
      </c>
      <c r="AE29" s="277"/>
    </row>
    <row r="30" spans="1:31" ht="15.75" x14ac:dyDescent="0.25">
      <c r="A30" s="56" t="s">
        <v>607</v>
      </c>
      <c r="B30" s="56">
        <v>5</v>
      </c>
      <c r="C30" s="56">
        <v>27</v>
      </c>
      <c r="D30" s="56" t="s">
        <v>608</v>
      </c>
      <c r="E30" s="56">
        <v>1</v>
      </c>
      <c r="F30" s="278">
        <v>45742.509722222225</v>
      </c>
      <c r="G30" s="56">
        <v>1</v>
      </c>
      <c r="H30" s="56">
        <v>51.374099999999999</v>
      </c>
      <c r="I30" s="56">
        <v>8.9644899999999996</v>
      </c>
      <c r="J30" s="56">
        <v>-1.59179</v>
      </c>
      <c r="K30" s="56">
        <v>-5.9380000000000002E-2</v>
      </c>
      <c r="L30" s="56">
        <v>1038.4100000000001</v>
      </c>
      <c r="M30" s="56">
        <v>70.499070000000003</v>
      </c>
      <c r="N30" s="274">
        <v>10646.92</v>
      </c>
      <c r="O30" s="56">
        <v>0</v>
      </c>
      <c r="P30" s="275">
        <v>0</v>
      </c>
      <c r="Q30" s="275">
        <f t="shared" si="0"/>
        <v>0</v>
      </c>
      <c r="R30" s="275" t="s">
        <v>609</v>
      </c>
      <c r="S30" s="275">
        <v>10</v>
      </c>
      <c r="T30" s="275">
        <v>5</v>
      </c>
      <c r="U30" s="275">
        <v>0.7</v>
      </c>
      <c r="V30" s="279">
        <v>0.7</v>
      </c>
      <c r="W30" s="275">
        <v>0.7</v>
      </c>
      <c r="X30" s="56">
        <v>2000</v>
      </c>
      <c r="Y30" s="56" t="s">
        <v>571</v>
      </c>
      <c r="Z30" s="56">
        <v>0.2</v>
      </c>
      <c r="AA30" s="56" t="s">
        <v>572</v>
      </c>
      <c r="AB30" s="56" t="s">
        <v>573</v>
      </c>
      <c r="AC30" s="56">
        <v>220</v>
      </c>
      <c r="AD30" s="277" t="s">
        <v>610</v>
      </c>
      <c r="AE30" s="277"/>
    </row>
    <row r="31" spans="1:31" ht="15.75" x14ac:dyDescent="0.25">
      <c r="A31" s="56" t="s">
        <v>611</v>
      </c>
      <c r="B31" s="56">
        <v>5</v>
      </c>
      <c r="C31" s="56">
        <v>27</v>
      </c>
      <c r="D31" s="56" t="s">
        <v>608</v>
      </c>
      <c r="E31" s="56">
        <v>1</v>
      </c>
      <c r="F31" s="278">
        <v>45742.512499999997</v>
      </c>
      <c r="G31" s="56">
        <v>1</v>
      </c>
      <c r="H31" s="56">
        <v>51.374099999999999</v>
      </c>
      <c r="I31" s="56">
        <v>9.1416500000000003</v>
      </c>
      <c r="J31" s="56">
        <v>-1.3555200000000001</v>
      </c>
      <c r="K31" s="56">
        <v>0.364209</v>
      </c>
      <c r="L31" s="56">
        <v>991.76800000000003</v>
      </c>
      <c r="M31" s="56">
        <v>68.501419999999996</v>
      </c>
      <c r="N31" s="274">
        <v>10615.64</v>
      </c>
      <c r="O31" s="56">
        <v>0</v>
      </c>
      <c r="P31" s="275">
        <v>0</v>
      </c>
      <c r="Q31" s="275">
        <f t="shared" si="0"/>
        <v>0</v>
      </c>
      <c r="R31" s="275" t="s">
        <v>609</v>
      </c>
      <c r="S31" s="275">
        <v>10</v>
      </c>
      <c r="T31" s="275">
        <v>5</v>
      </c>
      <c r="U31" s="275">
        <v>0.7</v>
      </c>
      <c r="V31" s="279">
        <v>0.7</v>
      </c>
      <c r="W31" s="275">
        <v>0.7</v>
      </c>
      <c r="X31" s="56">
        <v>2000</v>
      </c>
      <c r="Y31" s="56" t="s">
        <v>571</v>
      </c>
      <c r="Z31" s="56">
        <v>0.2</v>
      </c>
      <c r="AA31" s="56" t="s">
        <v>572</v>
      </c>
      <c r="AB31" s="56" t="s">
        <v>573</v>
      </c>
      <c r="AC31" s="56">
        <v>220</v>
      </c>
      <c r="AD31" s="277" t="s">
        <v>610</v>
      </c>
      <c r="AE31" s="277"/>
    </row>
    <row r="32" spans="1:31" ht="15.75" x14ac:dyDescent="0.25">
      <c r="A32" s="56" t="s">
        <v>612</v>
      </c>
      <c r="B32" s="56">
        <v>5</v>
      </c>
      <c r="C32" s="56">
        <v>27</v>
      </c>
      <c r="D32" s="56" t="s">
        <v>608</v>
      </c>
      <c r="E32" s="56">
        <v>1</v>
      </c>
      <c r="F32" s="278">
        <v>45742.515277777777</v>
      </c>
      <c r="G32" s="56">
        <v>1</v>
      </c>
      <c r="H32" s="56">
        <v>51.377400000000002</v>
      </c>
      <c r="I32" s="56">
        <v>9.0966000000000005</v>
      </c>
      <c r="J32" s="56">
        <v>-1.4565699999999999</v>
      </c>
      <c r="K32" s="56">
        <v>-1.6389999999999998E-2</v>
      </c>
      <c r="L32" s="56">
        <v>1005.3</v>
      </c>
      <c r="M32" s="56">
        <v>75.999129999999994</v>
      </c>
      <c r="N32" s="274">
        <v>10650.45</v>
      </c>
      <c r="O32" s="56">
        <v>0</v>
      </c>
      <c r="P32" s="275">
        <v>0</v>
      </c>
      <c r="Q32" s="275">
        <f t="shared" si="0"/>
        <v>0</v>
      </c>
      <c r="R32" s="275" t="s">
        <v>609</v>
      </c>
      <c r="S32" s="275">
        <v>10</v>
      </c>
      <c r="T32" s="275">
        <v>5</v>
      </c>
      <c r="U32" s="275">
        <v>0.7</v>
      </c>
      <c r="V32" s="279">
        <v>0.7</v>
      </c>
      <c r="W32" s="275">
        <v>0.7</v>
      </c>
      <c r="X32" s="56">
        <v>2000</v>
      </c>
      <c r="Y32" s="56" t="s">
        <v>571</v>
      </c>
      <c r="Z32" s="56">
        <v>0.2</v>
      </c>
      <c r="AA32" s="56" t="s">
        <v>572</v>
      </c>
      <c r="AB32" s="56" t="s">
        <v>573</v>
      </c>
      <c r="AC32" s="56">
        <v>220</v>
      </c>
      <c r="AD32" s="277" t="s">
        <v>610</v>
      </c>
      <c r="AE32" s="277"/>
    </row>
    <row r="33" spans="1:31" ht="15.75" x14ac:dyDescent="0.25">
      <c r="A33" s="56" t="s">
        <v>613</v>
      </c>
      <c r="B33" s="56">
        <v>5</v>
      </c>
      <c r="C33" s="56">
        <v>27</v>
      </c>
      <c r="D33" s="56" t="s">
        <v>608</v>
      </c>
      <c r="E33" s="56">
        <v>1</v>
      </c>
      <c r="F33" s="278">
        <v>45742.518750000003</v>
      </c>
      <c r="G33" s="56">
        <v>1</v>
      </c>
      <c r="H33" s="56">
        <v>51.377400000000002</v>
      </c>
      <c r="I33" s="56">
        <v>9.0087499999999991</v>
      </c>
      <c r="J33" s="56">
        <v>-1.2998799999999999</v>
      </c>
      <c r="K33" s="56">
        <v>-1.2290000000000001E-2</v>
      </c>
      <c r="L33" s="56">
        <v>998.75699999999995</v>
      </c>
      <c r="M33" s="56">
        <v>68.001419999999996</v>
      </c>
      <c r="N33" s="274">
        <v>10628.94</v>
      </c>
      <c r="O33" s="56">
        <v>0</v>
      </c>
      <c r="P33" s="275">
        <v>0</v>
      </c>
      <c r="Q33" s="275">
        <f t="shared" si="0"/>
        <v>0</v>
      </c>
      <c r="R33" s="275" t="s">
        <v>609</v>
      </c>
      <c r="S33" s="275">
        <v>10</v>
      </c>
      <c r="T33" s="275">
        <v>5</v>
      </c>
      <c r="U33" s="275">
        <v>0.7</v>
      </c>
      <c r="V33" s="279">
        <v>0.7</v>
      </c>
      <c r="W33" s="275">
        <v>0.7</v>
      </c>
      <c r="X33" s="56">
        <v>2000</v>
      </c>
      <c r="Y33" s="56" t="s">
        <v>571</v>
      </c>
      <c r="Z33" s="56">
        <v>0.2</v>
      </c>
      <c r="AA33" s="56" t="s">
        <v>572</v>
      </c>
      <c r="AB33" s="56" t="s">
        <v>573</v>
      </c>
      <c r="AC33" s="56">
        <v>220</v>
      </c>
      <c r="AD33" s="277" t="s">
        <v>610</v>
      </c>
      <c r="AE33" s="277"/>
    </row>
    <row r="34" spans="1:31" ht="15.75" x14ac:dyDescent="0.25">
      <c r="A34" s="56" t="s">
        <v>614</v>
      </c>
      <c r="B34" s="56">
        <v>5</v>
      </c>
      <c r="C34" s="56">
        <v>27</v>
      </c>
      <c r="D34" s="56" t="s">
        <v>608</v>
      </c>
      <c r="E34" s="56">
        <v>1</v>
      </c>
      <c r="F34" s="278">
        <v>45742.521527777775</v>
      </c>
      <c r="G34" s="56">
        <v>1</v>
      </c>
      <c r="H34" s="56">
        <v>51.377400000000002</v>
      </c>
      <c r="I34" s="56">
        <v>9.0121099999999998</v>
      </c>
      <c r="J34" s="56">
        <v>-1.31379</v>
      </c>
      <c r="K34" s="56">
        <v>0.15868599999999999</v>
      </c>
      <c r="L34" s="56">
        <v>1003.46</v>
      </c>
      <c r="M34" s="56">
        <v>79.999359999999996</v>
      </c>
      <c r="N34" s="274">
        <v>10658.14</v>
      </c>
      <c r="O34" s="56">
        <v>0</v>
      </c>
      <c r="P34" s="275">
        <v>0</v>
      </c>
      <c r="Q34" s="275">
        <f t="shared" si="0"/>
        <v>0</v>
      </c>
      <c r="R34" s="275" t="s">
        <v>609</v>
      </c>
      <c r="S34" s="275">
        <v>10</v>
      </c>
      <c r="T34" s="275">
        <v>5</v>
      </c>
      <c r="U34" s="275">
        <v>0.7</v>
      </c>
      <c r="V34" s="279">
        <v>0.7</v>
      </c>
      <c r="W34" s="275">
        <v>0.7</v>
      </c>
      <c r="X34" s="56">
        <v>2000</v>
      </c>
      <c r="Y34" s="56" t="s">
        <v>571</v>
      </c>
      <c r="Z34" s="56">
        <v>0.2</v>
      </c>
      <c r="AA34" s="56" t="s">
        <v>572</v>
      </c>
      <c r="AB34" s="56" t="s">
        <v>573</v>
      </c>
      <c r="AC34" s="56">
        <v>220</v>
      </c>
      <c r="AD34" s="277" t="s">
        <v>610</v>
      </c>
      <c r="AE34" s="277"/>
    </row>
    <row r="35" spans="1:31" ht="15.75" x14ac:dyDescent="0.25">
      <c r="A35" s="56" t="s">
        <v>615</v>
      </c>
      <c r="B35" s="56">
        <v>5</v>
      </c>
      <c r="C35" s="56">
        <v>27</v>
      </c>
      <c r="D35" s="56" t="s">
        <v>608</v>
      </c>
      <c r="E35" s="56">
        <v>1</v>
      </c>
      <c r="F35" s="278">
        <v>45742.524305555555</v>
      </c>
      <c r="G35" s="56">
        <v>2</v>
      </c>
      <c r="H35" s="56">
        <v>51.380699999999997</v>
      </c>
      <c r="I35" s="56">
        <v>8.7663600000000006</v>
      </c>
      <c r="J35" s="56">
        <v>-1.2506900000000001</v>
      </c>
      <c r="K35" s="56">
        <v>0.49567800000000001</v>
      </c>
      <c r="L35" s="56">
        <v>1008.52</v>
      </c>
      <c r="M35" s="56">
        <v>63.99991</v>
      </c>
      <c r="N35" s="274">
        <v>10630.59</v>
      </c>
      <c r="O35" s="56">
        <v>10637.18</v>
      </c>
      <c r="P35" s="275">
        <v>2079.152</v>
      </c>
      <c r="Q35" s="275">
        <f t="shared" si="0"/>
        <v>2079.152</v>
      </c>
      <c r="R35" s="275" t="s">
        <v>570</v>
      </c>
      <c r="S35" s="275">
        <v>10</v>
      </c>
      <c r="T35" s="275">
        <v>5</v>
      </c>
      <c r="U35" s="275">
        <v>0.7</v>
      </c>
      <c r="V35" s="279">
        <v>0.7</v>
      </c>
      <c r="W35" s="275">
        <v>0.7</v>
      </c>
      <c r="X35" s="56">
        <v>2000</v>
      </c>
      <c r="Y35" s="56" t="s">
        <v>571</v>
      </c>
      <c r="Z35" s="56">
        <v>0.2</v>
      </c>
      <c r="AA35" s="56" t="s">
        <v>572</v>
      </c>
      <c r="AB35" s="56" t="s">
        <v>573</v>
      </c>
      <c r="AC35" s="56">
        <v>220</v>
      </c>
      <c r="AD35" s="277" t="s">
        <v>19</v>
      </c>
      <c r="AE35" s="277"/>
    </row>
    <row r="36" spans="1:31" ht="15.75" x14ac:dyDescent="0.25">
      <c r="A36" s="56" t="s">
        <v>616</v>
      </c>
      <c r="B36" s="56">
        <v>5</v>
      </c>
      <c r="C36" s="56">
        <v>27</v>
      </c>
      <c r="D36" s="56" t="s">
        <v>608</v>
      </c>
      <c r="E36" s="56">
        <v>1</v>
      </c>
      <c r="F36" s="278">
        <v>45742.527083333334</v>
      </c>
      <c r="G36" s="56">
        <v>2</v>
      </c>
      <c r="H36" s="56">
        <v>51.374099999999999</v>
      </c>
      <c r="I36" s="56">
        <v>8.9702699999999993</v>
      </c>
      <c r="J36" s="56">
        <v>-1.1490100000000001</v>
      </c>
      <c r="K36" s="56">
        <v>-0.10962</v>
      </c>
      <c r="L36" s="56">
        <v>1002.68</v>
      </c>
      <c r="M36" s="56">
        <v>75.999200000000002</v>
      </c>
      <c r="N36" s="274">
        <v>10643.76</v>
      </c>
      <c r="O36" s="56">
        <v>10637.18</v>
      </c>
      <c r="P36" s="275">
        <v>2079.152</v>
      </c>
      <c r="Q36" s="275">
        <f t="shared" si="0"/>
        <v>2079.152</v>
      </c>
      <c r="R36" s="275" t="s">
        <v>570</v>
      </c>
      <c r="S36" s="275">
        <v>10</v>
      </c>
      <c r="T36" s="275">
        <v>5</v>
      </c>
      <c r="U36" s="275">
        <v>0.7</v>
      </c>
      <c r="V36" s="279">
        <v>0.7</v>
      </c>
      <c r="W36" s="275">
        <v>0.7</v>
      </c>
      <c r="X36" s="56">
        <v>2000</v>
      </c>
      <c r="Y36" s="56" t="s">
        <v>571</v>
      </c>
      <c r="Z36" s="56">
        <v>0.2</v>
      </c>
      <c r="AA36" s="56" t="s">
        <v>572</v>
      </c>
      <c r="AB36" s="56" t="s">
        <v>573</v>
      </c>
      <c r="AC36" s="56">
        <v>220</v>
      </c>
      <c r="AD36" s="277" t="s">
        <v>19</v>
      </c>
      <c r="AE36" s="277"/>
    </row>
    <row r="37" spans="1:31" ht="15.75" x14ac:dyDescent="0.25">
      <c r="A37" s="56" t="s">
        <v>617</v>
      </c>
      <c r="B37" s="56">
        <v>6</v>
      </c>
      <c r="C37" s="56">
        <v>28</v>
      </c>
      <c r="D37" s="56" t="s">
        <v>618</v>
      </c>
      <c r="E37" s="56">
        <v>1</v>
      </c>
      <c r="F37" s="278">
        <v>45742.530555555553</v>
      </c>
      <c r="G37" s="56">
        <v>1</v>
      </c>
      <c r="H37" s="56">
        <v>51.377400000000002</v>
      </c>
      <c r="I37" s="56">
        <v>8.9602599999999999</v>
      </c>
      <c r="J37" s="56">
        <v>-1.2230300000000001</v>
      </c>
      <c r="K37" s="56">
        <v>0.20211899999999999</v>
      </c>
      <c r="L37" s="56">
        <v>1007.74</v>
      </c>
      <c r="M37" s="56">
        <v>75.499669999999995</v>
      </c>
      <c r="N37" s="274">
        <v>10660.29</v>
      </c>
      <c r="O37" s="56">
        <v>10680.8</v>
      </c>
      <c r="P37" s="275">
        <v>2087.5210000000002</v>
      </c>
      <c r="Q37" s="275">
        <f t="shared" si="0"/>
        <v>2087.5210000000002</v>
      </c>
      <c r="R37" s="275" t="s">
        <v>584</v>
      </c>
      <c r="S37" s="275">
        <v>10</v>
      </c>
      <c r="T37" s="275">
        <v>5</v>
      </c>
      <c r="U37" s="275">
        <v>0.7</v>
      </c>
      <c r="V37" s="279">
        <v>0.7</v>
      </c>
      <c r="W37" s="275">
        <v>0.7</v>
      </c>
      <c r="X37" s="56">
        <v>2000</v>
      </c>
      <c r="Y37" s="56" t="s">
        <v>571</v>
      </c>
      <c r="Z37" s="56">
        <v>0.2</v>
      </c>
      <c r="AA37" s="56" t="s">
        <v>572</v>
      </c>
      <c r="AB37" s="56" t="s">
        <v>573</v>
      </c>
      <c r="AC37" s="56">
        <v>220</v>
      </c>
      <c r="AD37" s="277" t="s">
        <v>19</v>
      </c>
      <c r="AE37" s="277"/>
    </row>
    <row r="38" spans="1:31" ht="15.75" x14ac:dyDescent="0.25">
      <c r="A38" s="56" t="s">
        <v>619</v>
      </c>
      <c r="B38" s="56">
        <v>6</v>
      </c>
      <c r="C38" s="56">
        <v>28</v>
      </c>
      <c r="D38" s="56" t="s">
        <v>618</v>
      </c>
      <c r="E38" s="56">
        <v>1</v>
      </c>
      <c r="F38" s="278">
        <v>45742.533333333333</v>
      </c>
      <c r="G38" s="56">
        <v>1</v>
      </c>
      <c r="H38" s="56">
        <v>51.374099999999999</v>
      </c>
      <c r="I38" s="56">
        <v>8.9852699999999999</v>
      </c>
      <c r="J38" s="56">
        <v>-1.1886000000000001</v>
      </c>
      <c r="K38" s="56">
        <v>0.84672000000000003</v>
      </c>
      <c r="L38" s="56">
        <v>1015.47</v>
      </c>
      <c r="M38" s="56">
        <v>68.501369999999994</v>
      </c>
      <c r="N38" s="274">
        <v>10636.79</v>
      </c>
      <c r="O38" s="56">
        <v>10680.8</v>
      </c>
      <c r="P38" s="275">
        <v>2087.5210000000002</v>
      </c>
      <c r="Q38" s="275">
        <f t="shared" si="0"/>
        <v>2087.5210000000002</v>
      </c>
      <c r="R38" s="275" t="s">
        <v>584</v>
      </c>
      <c r="S38" s="275">
        <v>10</v>
      </c>
      <c r="T38" s="275">
        <v>5</v>
      </c>
      <c r="U38" s="275">
        <v>0.7</v>
      </c>
      <c r="V38" s="279">
        <v>0.7</v>
      </c>
      <c r="W38" s="275">
        <v>0.7</v>
      </c>
      <c r="X38" s="56">
        <v>2000</v>
      </c>
      <c r="Y38" s="56" t="s">
        <v>571</v>
      </c>
      <c r="Z38" s="56">
        <v>0.2</v>
      </c>
      <c r="AA38" s="56" t="s">
        <v>572</v>
      </c>
      <c r="AB38" s="56" t="s">
        <v>573</v>
      </c>
      <c r="AC38" s="56">
        <v>220</v>
      </c>
      <c r="AD38" s="277" t="s">
        <v>19</v>
      </c>
      <c r="AE38" s="277"/>
    </row>
    <row r="39" spans="1:31" ht="15.75" x14ac:dyDescent="0.25">
      <c r="A39" s="56" t="s">
        <v>620</v>
      </c>
      <c r="B39" s="56">
        <v>6</v>
      </c>
      <c r="C39" s="56">
        <v>28</v>
      </c>
      <c r="D39" s="56" t="s">
        <v>618</v>
      </c>
      <c r="E39" s="56">
        <v>1</v>
      </c>
      <c r="F39" s="278">
        <v>45742.536111111112</v>
      </c>
      <c r="G39" s="56">
        <v>1</v>
      </c>
      <c r="H39" s="56">
        <v>51.374099999999999</v>
      </c>
      <c r="I39" s="56">
        <v>9.0439799999999995</v>
      </c>
      <c r="J39" s="56">
        <v>-1.0198</v>
      </c>
      <c r="K39" s="56">
        <v>7.9971E-2</v>
      </c>
      <c r="L39" s="56">
        <v>1026.6600000000001</v>
      </c>
      <c r="M39" s="56">
        <v>76.499970000000005</v>
      </c>
      <c r="N39" s="274">
        <v>10682.99</v>
      </c>
      <c r="O39" s="56">
        <v>10680.8</v>
      </c>
      <c r="P39" s="275">
        <v>2087.5210000000002</v>
      </c>
      <c r="Q39" s="275">
        <f t="shared" si="0"/>
        <v>2087.5210000000002</v>
      </c>
      <c r="R39" s="275" t="s">
        <v>570</v>
      </c>
      <c r="S39" s="275">
        <v>10</v>
      </c>
      <c r="T39" s="275">
        <v>5</v>
      </c>
      <c r="U39" s="275">
        <v>0.7</v>
      </c>
      <c r="V39" s="279">
        <v>0.7</v>
      </c>
      <c r="W39" s="275">
        <v>0.7</v>
      </c>
      <c r="X39" s="56">
        <v>2000</v>
      </c>
      <c r="Y39" s="56" t="s">
        <v>571</v>
      </c>
      <c r="Z39" s="56">
        <v>0.2</v>
      </c>
      <c r="AA39" s="56" t="s">
        <v>572</v>
      </c>
      <c r="AB39" s="56" t="s">
        <v>573</v>
      </c>
      <c r="AC39" s="56">
        <v>220</v>
      </c>
      <c r="AD39" s="277" t="s">
        <v>19</v>
      </c>
      <c r="AE39" s="277"/>
    </row>
    <row r="40" spans="1:31" ht="15.75" x14ac:dyDescent="0.25">
      <c r="A40" s="56" t="s">
        <v>621</v>
      </c>
      <c r="B40" s="56">
        <v>6</v>
      </c>
      <c r="C40" s="56">
        <v>28</v>
      </c>
      <c r="D40" s="56" t="s">
        <v>618</v>
      </c>
      <c r="E40" s="56">
        <v>1</v>
      </c>
      <c r="F40" s="278">
        <v>45742.538888888892</v>
      </c>
      <c r="G40" s="56">
        <v>1</v>
      </c>
      <c r="H40" s="56">
        <v>51.377400000000002</v>
      </c>
      <c r="I40" s="56">
        <v>8.9558099999999996</v>
      </c>
      <c r="J40" s="56">
        <v>-0.94018000000000002</v>
      </c>
      <c r="K40" s="56">
        <v>0.28673599999999999</v>
      </c>
      <c r="L40" s="56">
        <v>1010.32</v>
      </c>
      <c r="M40" s="56">
        <v>81.999769999999998</v>
      </c>
      <c r="N40" s="274">
        <v>10678.61</v>
      </c>
      <c r="O40" s="56">
        <v>10680.8</v>
      </c>
      <c r="P40" s="275">
        <v>2087.5210000000002</v>
      </c>
      <c r="Q40" s="275">
        <f t="shared" si="0"/>
        <v>2087.5210000000002</v>
      </c>
      <c r="R40" s="275" t="s">
        <v>570</v>
      </c>
      <c r="S40" s="275">
        <v>10</v>
      </c>
      <c r="T40" s="275">
        <v>5</v>
      </c>
      <c r="U40" s="275">
        <v>0.7</v>
      </c>
      <c r="V40" s="279">
        <v>0.7</v>
      </c>
      <c r="W40" s="275">
        <v>0.7</v>
      </c>
      <c r="X40" s="56">
        <v>2000</v>
      </c>
      <c r="Y40" s="56" t="s">
        <v>571</v>
      </c>
      <c r="Z40" s="56">
        <v>0.2</v>
      </c>
      <c r="AA40" s="56" t="s">
        <v>572</v>
      </c>
      <c r="AB40" s="56" t="s">
        <v>573</v>
      </c>
      <c r="AC40" s="56">
        <v>220</v>
      </c>
      <c r="AD40" s="277" t="s">
        <v>19</v>
      </c>
      <c r="AE40" s="277"/>
    </row>
    <row r="41" spans="1:31" ht="15.75" x14ac:dyDescent="0.25">
      <c r="A41" s="56" t="s">
        <v>622</v>
      </c>
      <c r="B41" s="56">
        <v>7</v>
      </c>
      <c r="C41" s="56">
        <v>131</v>
      </c>
      <c r="D41" s="56" t="s">
        <v>623</v>
      </c>
      <c r="E41" s="56">
        <v>1</v>
      </c>
      <c r="F41" s="278">
        <v>45742.542361111111</v>
      </c>
      <c r="G41" s="56">
        <v>1</v>
      </c>
      <c r="H41" s="56">
        <v>51.380699999999997</v>
      </c>
      <c r="I41" s="56">
        <v>8.9976500000000001</v>
      </c>
      <c r="J41" s="56">
        <v>-1.02891</v>
      </c>
      <c r="K41" s="56">
        <v>0.63839800000000002</v>
      </c>
      <c r="L41" s="56">
        <v>1012.02</v>
      </c>
      <c r="M41" s="56">
        <v>69.001440000000002</v>
      </c>
      <c r="N41" s="274">
        <v>10692.81</v>
      </c>
      <c r="O41" s="56">
        <v>10631.57</v>
      </c>
      <c r="P41" s="275">
        <v>2078.076</v>
      </c>
      <c r="Q41" s="275">
        <f t="shared" si="0"/>
        <v>2078.076</v>
      </c>
      <c r="R41" s="275" t="s">
        <v>584</v>
      </c>
      <c r="S41" s="275">
        <v>10</v>
      </c>
      <c r="T41" s="275">
        <v>5</v>
      </c>
      <c r="U41" s="275">
        <v>0.7</v>
      </c>
      <c r="V41" s="279">
        <v>0.7</v>
      </c>
      <c r="W41" s="275">
        <v>0.7</v>
      </c>
      <c r="X41" s="56">
        <v>2000</v>
      </c>
      <c r="Y41" s="56" t="s">
        <v>571</v>
      </c>
      <c r="Z41" s="56">
        <v>0.2</v>
      </c>
      <c r="AA41" s="56" t="s">
        <v>572</v>
      </c>
      <c r="AB41" s="56" t="s">
        <v>573</v>
      </c>
      <c r="AC41" s="56">
        <v>220</v>
      </c>
      <c r="AD41" s="277" t="s">
        <v>19</v>
      </c>
      <c r="AE41" s="277"/>
    </row>
    <row r="42" spans="1:31" ht="15.75" x14ac:dyDescent="0.25">
      <c r="A42" s="56" t="s">
        <v>624</v>
      </c>
      <c r="B42" s="56">
        <v>7</v>
      </c>
      <c r="C42" s="56">
        <v>131</v>
      </c>
      <c r="D42" s="56" t="s">
        <v>623</v>
      </c>
      <c r="E42" s="56">
        <v>1</v>
      </c>
      <c r="F42" s="278">
        <v>45742.545138888891</v>
      </c>
      <c r="G42" s="56">
        <v>1</v>
      </c>
      <c r="H42" s="56">
        <v>51.374099999999999</v>
      </c>
      <c r="I42" s="56">
        <v>8.8688599999999997</v>
      </c>
      <c r="J42" s="56">
        <v>-0.99346999999999996</v>
      </c>
      <c r="K42" s="56">
        <v>0.61670000000000003</v>
      </c>
      <c r="L42" s="56">
        <v>1010.39</v>
      </c>
      <c r="M42" s="56">
        <v>65.500069999999994</v>
      </c>
      <c r="N42" s="274">
        <v>10651.32</v>
      </c>
      <c r="O42" s="275">
        <v>10631.57</v>
      </c>
      <c r="P42" s="275">
        <v>2078.076</v>
      </c>
      <c r="Q42" s="275">
        <f t="shared" si="0"/>
        <v>2078.076</v>
      </c>
      <c r="R42" s="275" t="s">
        <v>584</v>
      </c>
      <c r="S42" s="275">
        <v>10</v>
      </c>
      <c r="T42" s="275">
        <v>5</v>
      </c>
      <c r="U42" s="275">
        <v>0.7</v>
      </c>
      <c r="V42" s="275">
        <v>0.7</v>
      </c>
      <c r="W42" s="275">
        <v>0.7</v>
      </c>
      <c r="X42" s="56">
        <v>2000</v>
      </c>
      <c r="Y42" s="56" t="s">
        <v>571</v>
      </c>
      <c r="Z42" s="56">
        <v>0.2</v>
      </c>
      <c r="AA42" s="56" t="s">
        <v>572</v>
      </c>
      <c r="AB42" s="56" t="s">
        <v>573</v>
      </c>
      <c r="AC42" s="56">
        <v>220</v>
      </c>
      <c r="AD42" s="277" t="s">
        <v>19</v>
      </c>
      <c r="AE42" s="277"/>
    </row>
    <row r="43" spans="1:31" ht="15.75" x14ac:dyDescent="0.25">
      <c r="A43" s="56" t="s">
        <v>625</v>
      </c>
      <c r="B43" s="56">
        <v>7</v>
      </c>
      <c r="C43" s="56">
        <v>131</v>
      </c>
      <c r="D43" s="56" t="s">
        <v>623</v>
      </c>
      <c r="E43" s="56">
        <v>1</v>
      </c>
      <c r="F43" s="278">
        <v>45742.54791666667</v>
      </c>
      <c r="G43" s="56">
        <v>1</v>
      </c>
      <c r="H43" s="56">
        <v>51.370800000000003</v>
      </c>
      <c r="I43" s="56">
        <v>8.9726800000000004</v>
      </c>
      <c r="J43" s="56">
        <v>-0.98819999999999997</v>
      </c>
      <c r="K43" s="56">
        <v>0.24306900000000001</v>
      </c>
      <c r="L43" s="56">
        <v>1010.04</v>
      </c>
      <c r="M43" s="56">
        <v>71.000100000000003</v>
      </c>
      <c r="N43" s="274">
        <v>10688.66</v>
      </c>
      <c r="O43" s="275">
        <v>10631.57</v>
      </c>
      <c r="P43" s="275">
        <v>2078.076</v>
      </c>
      <c r="Q43" s="275">
        <f t="shared" si="0"/>
        <v>2078.076</v>
      </c>
      <c r="R43" s="275" t="s">
        <v>584</v>
      </c>
      <c r="S43" s="275">
        <v>10</v>
      </c>
      <c r="T43" s="275">
        <v>5</v>
      </c>
      <c r="U43" s="275">
        <v>0.7</v>
      </c>
      <c r="V43" s="275">
        <v>0.7</v>
      </c>
      <c r="W43" s="275">
        <v>0.7</v>
      </c>
      <c r="X43" s="56">
        <v>2000</v>
      </c>
      <c r="Y43" s="56" t="s">
        <v>571</v>
      </c>
      <c r="Z43" s="56">
        <v>0.2</v>
      </c>
      <c r="AA43" s="56" t="s">
        <v>572</v>
      </c>
      <c r="AB43" s="56" t="s">
        <v>573</v>
      </c>
      <c r="AC43" s="56">
        <v>220</v>
      </c>
      <c r="AD43" s="277" t="s">
        <v>19</v>
      </c>
      <c r="AE43" s="277"/>
    </row>
    <row r="44" spans="1:31" ht="15.75" x14ac:dyDescent="0.25">
      <c r="A44" s="56" t="s">
        <v>626</v>
      </c>
      <c r="B44" s="56">
        <v>7</v>
      </c>
      <c r="C44" s="56">
        <v>131</v>
      </c>
      <c r="D44" s="56" t="s">
        <v>623</v>
      </c>
      <c r="E44" s="56">
        <v>1</v>
      </c>
      <c r="F44" s="278">
        <v>45742.550694444442</v>
      </c>
      <c r="G44" s="56">
        <v>1</v>
      </c>
      <c r="H44" s="56">
        <v>51.377400000000002</v>
      </c>
      <c r="I44" s="56">
        <v>9.0710700000000006</v>
      </c>
      <c r="J44" s="56">
        <v>-0.98682999999999998</v>
      </c>
      <c r="K44" s="56">
        <v>1.6522289999999999</v>
      </c>
      <c r="L44" s="56">
        <v>996.51400000000001</v>
      </c>
      <c r="M44" s="56">
        <v>62.000869999999999</v>
      </c>
      <c r="N44" s="274">
        <v>10625.96</v>
      </c>
      <c r="O44" s="275">
        <v>10631.57</v>
      </c>
      <c r="P44" s="275">
        <v>2078.076</v>
      </c>
      <c r="Q44" s="275">
        <f t="shared" si="0"/>
        <v>2078.076</v>
      </c>
      <c r="R44" s="275" t="s">
        <v>570</v>
      </c>
      <c r="S44" s="275">
        <v>10</v>
      </c>
      <c r="T44" s="275">
        <v>5</v>
      </c>
      <c r="U44" s="275">
        <v>0.7</v>
      </c>
      <c r="V44" s="275">
        <v>0.7</v>
      </c>
      <c r="W44" s="275">
        <v>0.7</v>
      </c>
      <c r="X44" s="56">
        <v>2000</v>
      </c>
      <c r="Y44" s="56" t="s">
        <v>571</v>
      </c>
      <c r="Z44" s="56">
        <v>0.2</v>
      </c>
      <c r="AA44" s="56" t="s">
        <v>572</v>
      </c>
      <c r="AB44" s="56" t="s">
        <v>573</v>
      </c>
      <c r="AC44" s="56">
        <v>220</v>
      </c>
      <c r="AD44" s="277" t="s">
        <v>19</v>
      </c>
      <c r="AE44" s="277"/>
    </row>
    <row r="45" spans="1:31" ht="15.75" x14ac:dyDescent="0.25">
      <c r="A45" s="56" t="s">
        <v>627</v>
      </c>
      <c r="B45" s="56">
        <v>7</v>
      </c>
      <c r="C45" s="56">
        <v>131</v>
      </c>
      <c r="D45" s="56" t="s">
        <v>623</v>
      </c>
      <c r="E45" s="56">
        <v>1</v>
      </c>
      <c r="F45" s="278">
        <v>45742.553472222222</v>
      </c>
      <c r="G45" s="56">
        <v>1</v>
      </c>
      <c r="H45" s="56">
        <v>51.380699999999997</v>
      </c>
      <c r="I45" s="56">
        <v>8.8383900000000004</v>
      </c>
      <c r="J45" s="56">
        <v>-1.0114099999999999</v>
      </c>
      <c r="K45" s="56">
        <v>1.258416</v>
      </c>
      <c r="L45" s="56">
        <v>993.88499999999999</v>
      </c>
      <c r="M45" s="56">
        <v>63.499360000000003</v>
      </c>
      <c r="N45" s="274">
        <v>10637.17</v>
      </c>
      <c r="O45" s="275">
        <v>10631.57</v>
      </c>
      <c r="P45" s="275">
        <v>2078.076</v>
      </c>
      <c r="Q45" s="275">
        <f t="shared" si="0"/>
        <v>2078.076</v>
      </c>
      <c r="R45" s="275" t="s">
        <v>570</v>
      </c>
      <c r="S45" s="275">
        <v>10</v>
      </c>
      <c r="T45" s="275">
        <v>5</v>
      </c>
      <c r="U45" s="275">
        <v>0.7</v>
      </c>
      <c r="V45" s="275">
        <v>0.7</v>
      </c>
      <c r="W45" s="275">
        <v>0.7</v>
      </c>
      <c r="X45" s="56">
        <v>2000</v>
      </c>
      <c r="Y45" s="56" t="s">
        <v>571</v>
      </c>
      <c r="Z45" s="56">
        <v>0.2</v>
      </c>
      <c r="AA45" s="56" t="s">
        <v>572</v>
      </c>
      <c r="AB45" s="56" t="s">
        <v>573</v>
      </c>
      <c r="AC45" s="56">
        <v>220</v>
      </c>
      <c r="AD45" s="277" t="s">
        <v>19</v>
      </c>
      <c r="AE45" s="277"/>
    </row>
    <row r="46" spans="1:31" ht="15.75" x14ac:dyDescent="0.25">
      <c r="A46" s="56" t="s">
        <v>628</v>
      </c>
      <c r="B46" s="56">
        <v>8</v>
      </c>
      <c r="C46" s="56">
        <v>132</v>
      </c>
      <c r="D46" s="56" t="s">
        <v>629</v>
      </c>
      <c r="E46" s="56">
        <v>1</v>
      </c>
      <c r="F46" s="278">
        <v>45742.556944444441</v>
      </c>
      <c r="G46" s="56">
        <v>1</v>
      </c>
      <c r="H46" s="56">
        <v>51.377400000000002</v>
      </c>
      <c r="I46" s="56">
        <v>9.0087700000000002</v>
      </c>
      <c r="J46" s="56">
        <v>-0.88456999999999997</v>
      </c>
      <c r="K46" s="56">
        <v>0.72128599999999998</v>
      </c>
      <c r="L46" s="56">
        <v>1046.02</v>
      </c>
      <c r="M46" s="56">
        <v>74.999170000000007</v>
      </c>
      <c r="N46" s="274">
        <v>10680.91</v>
      </c>
      <c r="O46" s="275">
        <v>10647.86</v>
      </c>
      <c r="P46" s="275">
        <v>2081.201</v>
      </c>
      <c r="Q46" s="275">
        <f t="shared" si="0"/>
        <v>2081.201</v>
      </c>
      <c r="R46" s="275" t="s">
        <v>584</v>
      </c>
      <c r="S46" s="275">
        <v>10</v>
      </c>
      <c r="T46" s="275">
        <v>5</v>
      </c>
      <c r="U46" s="275">
        <v>0.7</v>
      </c>
      <c r="V46" s="275">
        <v>0.7</v>
      </c>
      <c r="W46" s="275">
        <v>0.7</v>
      </c>
      <c r="X46" s="56">
        <v>2000</v>
      </c>
      <c r="Y46" s="56" t="s">
        <v>571</v>
      </c>
      <c r="Z46" s="56">
        <v>0.2</v>
      </c>
      <c r="AA46" s="56" t="s">
        <v>572</v>
      </c>
      <c r="AB46" s="56" t="s">
        <v>573</v>
      </c>
      <c r="AC46" s="56">
        <v>220</v>
      </c>
      <c r="AD46" s="277" t="s">
        <v>19</v>
      </c>
      <c r="AE46" s="277"/>
    </row>
    <row r="47" spans="1:31" ht="15.75" x14ac:dyDescent="0.25">
      <c r="A47" s="56" t="s">
        <v>630</v>
      </c>
      <c r="B47" s="56">
        <v>8</v>
      </c>
      <c r="C47" s="56">
        <v>132</v>
      </c>
      <c r="D47" s="56" t="s">
        <v>629</v>
      </c>
      <c r="E47" s="56">
        <v>1</v>
      </c>
      <c r="F47" s="278">
        <v>45742.55972222222</v>
      </c>
      <c r="G47" s="56">
        <v>1</v>
      </c>
      <c r="H47" s="56">
        <v>51.374099999999999</v>
      </c>
      <c r="I47" s="56">
        <v>9.09497</v>
      </c>
      <c r="J47" s="56">
        <v>-0.91398000000000001</v>
      </c>
      <c r="K47" s="56">
        <v>0.44276900000000002</v>
      </c>
      <c r="L47" s="56">
        <v>1009.08</v>
      </c>
      <c r="M47" s="56">
        <v>72.998959999999997</v>
      </c>
      <c r="N47" s="274">
        <v>10655.45</v>
      </c>
      <c r="O47" s="56">
        <v>10647.86</v>
      </c>
      <c r="P47" s="275">
        <v>2081.201</v>
      </c>
      <c r="Q47" s="275">
        <f t="shared" si="0"/>
        <v>2081.201</v>
      </c>
      <c r="R47" s="275" t="s">
        <v>570</v>
      </c>
      <c r="S47" s="275">
        <v>10</v>
      </c>
      <c r="T47" s="275">
        <v>5</v>
      </c>
      <c r="U47" s="275">
        <v>0.7</v>
      </c>
      <c r="V47" s="279">
        <v>0.7</v>
      </c>
      <c r="W47" s="275">
        <v>0.7</v>
      </c>
      <c r="X47" s="56">
        <v>2000</v>
      </c>
      <c r="Y47" s="56" t="s">
        <v>571</v>
      </c>
      <c r="Z47" s="56">
        <v>0.2</v>
      </c>
      <c r="AA47" s="56" t="s">
        <v>572</v>
      </c>
      <c r="AB47" s="56" t="s">
        <v>573</v>
      </c>
      <c r="AC47" s="56">
        <v>220</v>
      </c>
      <c r="AD47" s="277" t="s">
        <v>19</v>
      </c>
      <c r="AE47" s="277"/>
    </row>
    <row r="48" spans="1:31" ht="15.75" x14ac:dyDescent="0.25">
      <c r="A48" s="56" t="s">
        <v>631</v>
      </c>
      <c r="B48" s="56">
        <v>8</v>
      </c>
      <c r="C48" s="56">
        <v>132</v>
      </c>
      <c r="D48" s="56" t="s">
        <v>629</v>
      </c>
      <c r="E48" s="56">
        <v>1</v>
      </c>
      <c r="F48" s="278">
        <v>45742.5625</v>
      </c>
      <c r="G48" s="56">
        <v>1</v>
      </c>
      <c r="H48" s="56">
        <v>51.377400000000002</v>
      </c>
      <c r="I48" s="56">
        <v>9.1467500000000008</v>
      </c>
      <c r="J48" s="56">
        <v>-0.77863000000000004</v>
      </c>
      <c r="K48" s="56">
        <v>0.75066500000000003</v>
      </c>
      <c r="L48" s="56">
        <v>986.47500000000002</v>
      </c>
      <c r="M48" s="56">
        <v>67.500630000000001</v>
      </c>
      <c r="N48" s="274">
        <v>10640.27</v>
      </c>
      <c r="O48" s="56">
        <v>10647.86</v>
      </c>
      <c r="P48" s="275">
        <v>2081.201</v>
      </c>
      <c r="Q48" s="275">
        <f t="shared" si="0"/>
        <v>2081.201</v>
      </c>
      <c r="R48" s="275" t="s">
        <v>570</v>
      </c>
      <c r="S48" s="275">
        <v>10</v>
      </c>
      <c r="T48" s="275">
        <v>5</v>
      </c>
      <c r="U48" s="275">
        <v>0.7</v>
      </c>
      <c r="V48" s="279">
        <v>0.7</v>
      </c>
      <c r="W48" s="275">
        <v>0.7</v>
      </c>
      <c r="X48" s="56">
        <v>2000</v>
      </c>
      <c r="Y48" s="56" t="s">
        <v>571</v>
      </c>
      <c r="Z48" s="56">
        <v>0.2</v>
      </c>
      <c r="AA48" s="56" t="s">
        <v>572</v>
      </c>
      <c r="AB48" s="56" t="s">
        <v>573</v>
      </c>
      <c r="AC48" s="56">
        <v>220</v>
      </c>
      <c r="AD48" s="277" t="s">
        <v>19</v>
      </c>
      <c r="AE48" s="277"/>
    </row>
    <row r="49" spans="1:31" ht="15.75" x14ac:dyDescent="0.25">
      <c r="A49" s="56" t="s">
        <v>632</v>
      </c>
      <c r="B49" s="56">
        <v>9</v>
      </c>
      <c r="C49" s="56">
        <v>66</v>
      </c>
      <c r="D49" s="56" t="s">
        <v>633</v>
      </c>
      <c r="E49" s="56">
        <v>1</v>
      </c>
      <c r="F49" s="278">
        <v>45742.565972222219</v>
      </c>
      <c r="G49" s="56">
        <v>1</v>
      </c>
      <c r="H49" s="56">
        <v>51.380699999999997</v>
      </c>
      <c r="I49" s="56">
        <v>8.9300999999999995</v>
      </c>
      <c r="J49" s="56">
        <v>-0.90244000000000002</v>
      </c>
      <c r="K49" s="56">
        <v>-0.17161999999999999</v>
      </c>
      <c r="L49" s="56">
        <v>1014.57</v>
      </c>
      <c r="M49" s="56">
        <v>89.999170000000007</v>
      </c>
      <c r="N49" s="274">
        <v>10715.72</v>
      </c>
      <c r="O49" s="56">
        <v>10688.56</v>
      </c>
      <c r="P49" s="275">
        <v>2089.009</v>
      </c>
      <c r="Q49" s="275">
        <f t="shared" si="0"/>
        <v>2089.009</v>
      </c>
      <c r="R49" s="275" t="s">
        <v>584</v>
      </c>
      <c r="S49" s="275">
        <v>10</v>
      </c>
      <c r="T49" s="275">
        <v>5</v>
      </c>
      <c r="U49" s="275">
        <v>0.7</v>
      </c>
      <c r="V49" s="279">
        <v>0.7</v>
      </c>
      <c r="W49" s="275">
        <v>0.7</v>
      </c>
      <c r="X49" s="56">
        <v>2000</v>
      </c>
      <c r="Y49" s="56" t="s">
        <v>571</v>
      </c>
      <c r="Z49" s="56">
        <v>0.2</v>
      </c>
      <c r="AA49" s="56" t="s">
        <v>572</v>
      </c>
      <c r="AB49" s="56" t="s">
        <v>573</v>
      </c>
      <c r="AC49" s="56">
        <v>220</v>
      </c>
      <c r="AD49" s="277" t="s">
        <v>19</v>
      </c>
      <c r="AE49" s="277"/>
    </row>
    <row r="50" spans="1:31" ht="15.75" x14ac:dyDescent="0.25">
      <c r="A50" s="56" t="s">
        <v>634</v>
      </c>
      <c r="B50" s="56">
        <v>9</v>
      </c>
      <c r="C50" s="56">
        <v>66</v>
      </c>
      <c r="D50" s="56" t="s">
        <v>633</v>
      </c>
      <c r="E50" s="56">
        <v>1</v>
      </c>
      <c r="F50" s="278">
        <v>45742.568749999999</v>
      </c>
      <c r="G50" s="56">
        <v>1</v>
      </c>
      <c r="H50" s="56">
        <v>51.377400000000002</v>
      </c>
      <c r="I50" s="56">
        <v>9.0113199999999996</v>
      </c>
      <c r="J50" s="56">
        <v>-0.91518999999999995</v>
      </c>
      <c r="K50" s="56">
        <v>0.32692700000000002</v>
      </c>
      <c r="L50" s="56">
        <v>1008.13</v>
      </c>
      <c r="M50" s="56">
        <v>74.50009</v>
      </c>
      <c r="N50" s="274">
        <v>10689.56</v>
      </c>
      <c r="O50" s="56">
        <v>10688.56</v>
      </c>
      <c r="P50" s="275">
        <v>2089.009</v>
      </c>
      <c r="Q50" s="275">
        <f t="shared" si="0"/>
        <v>2089.009</v>
      </c>
      <c r="R50" s="275" t="s">
        <v>570</v>
      </c>
      <c r="S50" s="275">
        <v>10</v>
      </c>
      <c r="T50" s="275">
        <v>5</v>
      </c>
      <c r="U50" s="275">
        <v>0.7</v>
      </c>
      <c r="V50" s="279">
        <v>0.7</v>
      </c>
      <c r="W50" s="275">
        <v>0.7</v>
      </c>
      <c r="X50" s="56">
        <v>2000</v>
      </c>
      <c r="Y50" s="56" t="s">
        <v>571</v>
      </c>
      <c r="Z50" s="56">
        <v>0.2</v>
      </c>
      <c r="AA50" s="56" t="s">
        <v>572</v>
      </c>
      <c r="AB50" s="56" t="s">
        <v>573</v>
      </c>
      <c r="AC50" s="56">
        <v>220</v>
      </c>
      <c r="AD50" s="277" t="s">
        <v>19</v>
      </c>
      <c r="AE50" s="277"/>
    </row>
    <row r="51" spans="1:31" ht="15.75" x14ac:dyDescent="0.25">
      <c r="A51" s="56" t="s">
        <v>635</v>
      </c>
      <c r="B51" s="56">
        <v>9</v>
      </c>
      <c r="C51" s="56">
        <v>66</v>
      </c>
      <c r="D51" s="56" t="s">
        <v>633</v>
      </c>
      <c r="E51" s="56">
        <v>1</v>
      </c>
      <c r="F51" s="278">
        <v>45742.571527777778</v>
      </c>
      <c r="G51" s="56">
        <v>1</v>
      </c>
      <c r="H51" s="56">
        <v>51.377400000000002</v>
      </c>
      <c r="I51" s="56">
        <v>9.1145200000000006</v>
      </c>
      <c r="J51" s="56">
        <v>-0.85577999999999999</v>
      </c>
      <c r="K51" s="56">
        <v>0.203289</v>
      </c>
      <c r="L51" s="56">
        <v>989.04100000000005</v>
      </c>
      <c r="M51" s="56">
        <v>76.500699999999995</v>
      </c>
      <c r="N51" s="274">
        <v>10687.56</v>
      </c>
      <c r="O51" s="56">
        <v>10688.56</v>
      </c>
      <c r="P51" s="275">
        <v>2089.009</v>
      </c>
      <c r="Q51" s="275">
        <f t="shared" si="0"/>
        <v>2089.009</v>
      </c>
      <c r="R51" s="275" t="s">
        <v>570</v>
      </c>
      <c r="S51" s="275">
        <v>10</v>
      </c>
      <c r="T51" s="275">
        <v>5</v>
      </c>
      <c r="U51" s="275">
        <v>0.7</v>
      </c>
      <c r="V51" s="279">
        <v>0.7</v>
      </c>
      <c r="W51" s="275">
        <v>0.7</v>
      </c>
      <c r="X51" s="56">
        <v>2000</v>
      </c>
      <c r="Y51" s="56" t="s">
        <v>571</v>
      </c>
      <c r="Z51" s="56">
        <v>0.2</v>
      </c>
      <c r="AA51" s="56" t="s">
        <v>572</v>
      </c>
      <c r="AB51" s="56" t="s">
        <v>573</v>
      </c>
      <c r="AC51" s="56">
        <v>220</v>
      </c>
      <c r="AD51" s="277" t="s">
        <v>19</v>
      </c>
      <c r="AE51" s="277"/>
    </row>
    <row r="52" spans="1:31" ht="15.75" x14ac:dyDescent="0.25">
      <c r="A52" s="56" t="s">
        <v>636</v>
      </c>
      <c r="B52" s="56">
        <v>10</v>
      </c>
      <c r="C52" s="56">
        <v>67</v>
      </c>
      <c r="D52" s="56" t="s">
        <v>637</v>
      </c>
      <c r="E52" s="56">
        <v>1</v>
      </c>
      <c r="F52" s="278">
        <v>45742.574999999997</v>
      </c>
      <c r="G52" s="56">
        <v>1</v>
      </c>
      <c r="H52" s="56">
        <v>51.374099999999999</v>
      </c>
      <c r="I52" s="56">
        <v>9.0397599999999994</v>
      </c>
      <c r="J52" s="56">
        <v>-0.86711000000000005</v>
      </c>
      <c r="K52" s="56">
        <v>0.66231499999999999</v>
      </c>
      <c r="L52" s="56">
        <v>1008.54</v>
      </c>
      <c r="M52" s="56">
        <v>69.498589999999993</v>
      </c>
      <c r="N52" s="274">
        <v>10662.14</v>
      </c>
      <c r="O52" s="56">
        <v>10664.76</v>
      </c>
      <c r="P52" s="275">
        <v>2084.444</v>
      </c>
      <c r="Q52" s="275">
        <f t="shared" si="0"/>
        <v>2084.444</v>
      </c>
      <c r="R52" s="275" t="s">
        <v>570</v>
      </c>
      <c r="S52" s="275">
        <v>10</v>
      </c>
      <c r="T52" s="275">
        <v>5</v>
      </c>
      <c r="U52" s="275">
        <v>0.7</v>
      </c>
      <c r="V52" s="279">
        <v>0.7</v>
      </c>
      <c r="W52" s="275">
        <v>0.7</v>
      </c>
      <c r="X52" s="56">
        <v>2000</v>
      </c>
      <c r="Y52" s="56" t="s">
        <v>571</v>
      </c>
      <c r="Z52" s="56">
        <v>0.2</v>
      </c>
      <c r="AA52" s="56" t="s">
        <v>572</v>
      </c>
      <c r="AB52" s="56" t="s">
        <v>573</v>
      </c>
      <c r="AC52" s="56">
        <v>220</v>
      </c>
      <c r="AD52" s="277" t="s">
        <v>19</v>
      </c>
      <c r="AE52" s="277"/>
    </row>
    <row r="53" spans="1:31" ht="15.75" x14ac:dyDescent="0.25">
      <c r="A53" s="56" t="s">
        <v>638</v>
      </c>
      <c r="B53" s="56">
        <v>10</v>
      </c>
      <c r="C53" s="56">
        <v>67</v>
      </c>
      <c r="D53" s="56" t="s">
        <v>637</v>
      </c>
      <c r="E53" s="56">
        <v>1</v>
      </c>
      <c r="F53" s="278">
        <v>45742.577777777777</v>
      </c>
      <c r="G53" s="56">
        <v>1</v>
      </c>
      <c r="H53" s="56">
        <v>51.377400000000002</v>
      </c>
      <c r="I53" s="56">
        <v>9.2578800000000001</v>
      </c>
      <c r="J53" s="56">
        <v>-0.83181000000000005</v>
      </c>
      <c r="K53" s="56">
        <v>0.80421900000000002</v>
      </c>
      <c r="L53" s="56">
        <v>1019.02</v>
      </c>
      <c r="M53" s="56">
        <v>69.999700000000004</v>
      </c>
      <c r="N53" s="274">
        <v>10667.39</v>
      </c>
      <c r="O53" s="56">
        <v>10664.76</v>
      </c>
      <c r="P53" s="275">
        <v>2084.444</v>
      </c>
      <c r="Q53" s="275">
        <f t="shared" si="0"/>
        <v>2084.444</v>
      </c>
      <c r="R53" s="275" t="s">
        <v>570</v>
      </c>
      <c r="S53" s="275">
        <v>10</v>
      </c>
      <c r="T53" s="275">
        <v>5</v>
      </c>
      <c r="U53" s="275">
        <v>0.7</v>
      </c>
      <c r="V53" s="279">
        <v>0.7</v>
      </c>
      <c r="W53" s="275">
        <v>0.7</v>
      </c>
      <c r="X53" s="56">
        <v>2000</v>
      </c>
      <c r="Y53" s="56" t="s">
        <v>571</v>
      </c>
      <c r="Z53" s="56">
        <v>0.2</v>
      </c>
      <c r="AA53" s="56" t="s">
        <v>572</v>
      </c>
      <c r="AB53" s="56" t="s">
        <v>573</v>
      </c>
      <c r="AC53" s="56">
        <v>220</v>
      </c>
      <c r="AD53" s="277" t="s">
        <v>19</v>
      </c>
      <c r="AE53" s="277"/>
    </row>
    <row r="54" spans="1:31" ht="15.75" x14ac:dyDescent="0.25">
      <c r="A54" s="280" t="s">
        <v>639</v>
      </c>
      <c r="B54" s="280">
        <v>11</v>
      </c>
      <c r="C54" s="280" t="s">
        <v>531</v>
      </c>
      <c r="D54" s="280" t="s">
        <v>569</v>
      </c>
      <c r="E54" s="280">
        <v>1</v>
      </c>
      <c r="F54" s="281">
        <v>45742.581250000003</v>
      </c>
      <c r="G54" s="280">
        <v>1</v>
      </c>
      <c r="H54" s="280">
        <v>51.374099999999999</v>
      </c>
      <c r="I54" s="280">
        <v>9.04711</v>
      </c>
      <c r="J54" s="280">
        <v>-0.74441999999999997</v>
      </c>
      <c r="K54" s="280">
        <v>0.98810500000000001</v>
      </c>
      <c r="L54" s="280">
        <v>1008.45</v>
      </c>
      <c r="M54" s="280">
        <v>65.999790000000004</v>
      </c>
      <c r="N54" s="282">
        <v>10746.98</v>
      </c>
      <c r="O54" s="280">
        <v>10756.57</v>
      </c>
      <c r="P54" s="283">
        <v>2102.0569999999998</v>
      </c>
      <c r="Q54" s="275">
        <f t="shared" si="0"/>
        <v>2102.0569999999998</v>
      </c>
      <c r="R54" s="283" t="s">
        <v>570</v>
      </c>
      <c r="S54" s="275">
        <v>10</v>
      </c>
      <c r="T54" s="275">
        <v>5</v>
      </c>
      <c r="U54" s="275">
        <v>0.7</v>
      </c>
      <c r="V54" s="279">
        <v>0.7</v>
      </c>
      <c r="W54" s="275">
        <v>0.7</v>
      </c>
      <c r="X54" s="56">
        <v>2000</v>
      </c>
      <c r="Y54" s="56" t="s">
        <v>571</v>
      </c>
      <c r="Z54" s="56">
        <v>0.2</v>
      </c>
      <c r="AA54" s="56" t="s">
        <v>572</v>
      </c>
      <c r="AB54" s="56" t="s">
        <v>573</v>
      </c>
      <c r="AC54" s="56">
        <v>220</v>
      </c>
      <c r="AD54" s="277" t="s">
        <v>19</v>
      </c>
      <c r="AE54" s="277"/>
    </row>
    <row r="55" spans="1:31" ht="15.75" x14ac:dyDescent="0.25">
      <c r="A55" s="280" t="s">
        <v>640</v>
      </c>
      <c r="B55" s="280">
        <v>11</v>
      </c>
      <c r="C55" s="280" t="s">
        <v>531</v>
      </c>
      <c r="D55" s="280" t="s">
        <v>569</v>
      </c>
      <c r="E55" s="280">
        <v>1</v>
      </c>
      <c r="F55" s="281">
        <v>45742.584027777775</v>
      </c>
      <c r="G55" s="280">
        <v>1</v>
      </c>
      <c r="H55" s="280">
        <v>51.374099999999999</v>
      </c>
      <c r="I55" s="280">
        <v>9.1623900000000003</v>
      </c>
      <c r="J55" s="280">
        <v>-0.79927999999999999</v>
      </c>
      <c r="K55" s="280">
        <v>0.92310599999999998</v>
      </c>
      <c r="L55" s="280">
        <v>1013.24</v>
      </c>
      <c r="M55" s="280">
        <v>67.49973</v>
      </c>
      <c r="N55" s="282">
        <v>10766.16</v>
      </c>
      <c r="O55" s="280">
        <v>10756.57</v>
      </c>
      <c r="P55" s="283">
        <v>2102.0569999999998</v>
      </c>
      <c r="Q55" s="275">
        <f t="shared" si="0"/>
        <v>2102.0569999999998</v>
      </c>
      <c r="R55" s="283" t="s">
        <v>570</v>
      </c>
      <c r="S55" s="275">
        <v>10</v>
      </c>
      <c r="T55" s="275">
        <v>5</v>
      </c>
      <c r="U55" s="275">
        <v>0.7</v>
      </c>
      <c r="V55" s="279">
        <v>0.7</v>
      </c>
      <c r="W55" s="275">
        <v>0.7</v>
      </c>
      <c r="X55" s="56">
        <v>2000</v>
      </c>
      <c r="Y55" s="56" t="s">
        <v>571</v>
      </c>
      <c r="Z55" s="56">
        <v>0.2</v>
      </c>
      <c r="AA55" s="56" t="s">
        <v>572</v>
      </c>
      <c r="AB55" s="56" t="s">
        <v>573</v>
      </c>
      <c r="AC55" s="56">
        <v>220</v>
      </c>
      <c r="AD55" s="277" t="s">
        <v>19</v>
      </c>
      <c r="AE55" s="277"/>
    </row>
    <row r="56" spans="1:31" ht="15.75" x14ac:dyDescent="0.25">
      <c r="A56" s="56" t="s">
        <v>641</v>
      </c>
      <c r="B56" s="56" t="s">
        <v>583</v>
      </c>
      <c r="C56" s="56" t="s">
        <v>531</v>
      </c>
      <c r="D56" s="56" t="s">
        <v>569</v>
      </c>
      <c r="E56" s="56">
        <v>0.8</v>
      </c>
      <c r="F56" s="278">
        <v>45742.586805555555</v>
      </c>
      <c r="G56" s="56">
        <v>1</v>
      </c>
      <c r="H56" s="56">
        <v>51.377400000000002</v>
      </c>
      <c r="I56" s="56">
        <v>9.1486199999999993</v>
      </c>
      <c r="J56" s="56">
        <v>-0.56903999999999999</v>
      </c>
      <c r="K56" s="56">
        <v>0.57108499999999995</v>
      </c>
      <c r="L56" s="56">
        <v>947.65300000000002</v>
      </c>
      <c r="M56" s="56">
        <v>71.999719999999996</v>
      </c>
      <c r="N56" s="274">
        <v>8598.3150000000005</v>
      </c>
      <c r="O56" s="56">
        <v>8593.0120000000006</v>
      </c>
      <c r="P56" s="275">
        <v>2091.86</v>
      </c>
      <c r="Q56" s="275">
        <f t="shared" si="0"/>
        <v>2091.86</v>
      </c>
      <c r="R56" s="275" t="s">
        <v>570</v>
      </c>
      <c r="S56" s="275">
        <v>10</v>
      </c>
      <c r="T56" s="275">
        <v>5</v>
      </c>
      <c r="U56" s="275">
        <v>0.7</v>
      </c>
      <c r="V56" s="279">
        <v>0.7</v>
      </c>
      <c r="W56" s="275">
        <v>0.7</v>
      </c>
      <c r="X56" s="56">
        <v>2000</v>
      </c>
      <c r="Y56" s="56" t="s">
        <v>571</v>
      </c>
      <c r="Z56" s="56">
        <v>0.2</v>
      </c>
      <c r="AA56" s="56" t="s">
        <v>572</v>
      </c>
      <c r="AB56" s="56" t="s">
        <v>573</v>
      </c>
      <c r="AC56" s="56">
        <v>220</v>
      </c>
      <c r="AD56" s="277" t="s">
        <v>19</v>
      </c>
      <c r="AE56" s="277"/>
    </row>
    <row r="57" spans="1:31" ht="15.75" x14ac:dyDescent="0.25">
      <c r="A57" s="56" t="s">
        <v>642</v>
      </c>
      <c r="B57" s="56" t="s">
        <v>583</v>
      </c>
      <c r="C57" s="56" t="s">
        <v>531</v>
      </c>
      <c r="D57" s="56" t="s">
        <v>569</v>
      </c>
      <c r="E57" s="56">
        <v>0.8</v>
      </c>
      <c r="F57" s="278">
        <v>45742.589583333334</v>
      </c>
      <c r="G57" s="56">
        <v>1</v>
      </c>
      <c r="H57" s="56">
        <v>51.377400000000002</v>
      </c>
      <c r="I57" s="56">
        <v>9.157</v>
      </c>
      <c r="J57" s="56">
        <v>-0.60521999999999998</v>
      </c>
      <c r="K57" s="56">
        <v>0.64569600000000005</v>
      </c>
      <c r="L57" s="56">
        <v>951.37800000000004</v>
      </c>
      <c r="M57" s="56">
        <v>68.000110000000006</v>
      </c>
      <c r="N57" s="274">
        <v>8587.7090000000007</v>
      </c>
      <c r="O57" s="56">
        <v>8593.0120000000006</v>
      </c>
      <c r="P57" s="275">
        <v>2091.86</v>
      </c>
      <c r="Q57" s="275">
        <f t="shared" si="0"/>
        <v>2091.86</v>
      </c>
      <c r="R57" s="275" t="s">
        <v>570</v>
      </c>
      <c r="S57" s="275">
        <v>10</v>
      </c>
      <c r="T57" s="275">
        <v>5</v>
      </c>
      <c r="U57" s="275">
        <v>0.7</v>
      </c>
      <c r="V57" s="279">
        <v>0.7</v>
      </c>
      <c r="W57" s="275">
        <v>0.7</v>
      </c>
      <c r="X57" s="56">
        <v>2000</v>
      </c>
      <c r="Y57" s="56" t="s">
        <v>571</v>
      </c>
      <c r="Z57" s="56">
        <v>0.2</v>
      </c>
      <c r="AA57" s="56" t="s">
        <v>572</v>
      </c>
      <c r="AB57" s="56" t="s">
        <v>573</v>
      </c>
      <c r="AC57" s="56">
        <v>220</v>
      </c>
      <c r="AD57" s="277" t="s">
        <v>19</v>
      </c>
      <c r="AE57" s="277"/>
    </row>
    <row r="58" spans="1:31" ht="15.75" x14ac:dyDescent="0.25">
      <c r="A58" s="56" t="s">
        <v>643</v>
      </c>
      <c r="B58" s="56" t="s">
        <v>589</v>
      </c>
      <c r="C58" s="56" t="s">
        <v>531</v>
      </c>
      <c r="D58" s="56" t="s">
        <v>569</v>
      </c>
      <c r="E58" s="56">
        <v>1</v>
      </c>
      <c r="F58" s="278">
        <v>45742.592361111114</v>
      </c>
      <c r="G58" s="56">
        <v>1</v>
      </c>
      <c r="H58" s="56">
        <v>51.380699999999997</v>
      </c>
      <c r="I58" s="56">
        <v>9.0308899999999994</v>
      </c>
      <c r="J58" s="56">
        <v>-0.40006000000000003</v>
      </c>
      <c r="K58" s="56">
        <v>0.91275200000000001</v>
      </c>
      <c r="L58" s="56">
        <v>1013.9</v>
      </c>
      <c r="M58" s="56">
        <v>69.499189999999999</v>
      </c>
      <c r="N58" s="274">
        <v>10757.74</v>
      </c>
      <c r="O58" s="56">
        <v>10765.51</v>
      </c>
      <c r="P58" s="275">
        <v>2091.86</v>
      </c>
      <c r="Q58" s="275">
        <f t="shared" si="0"/>
        <v>2091.86</v>
      </c>
      <c r="R58" s="275" t="s">
        <v>570</v>
      </c>
      <c r="S58" s="275">
        <v>10</v>
      </c>
      <c r="T58" s="275">
        <v>5</v>
      </c>
      <c r="U58" s="275">
        <v>0.7</v>
      </c>
      <c r="V58" s="279">
        <v>0.7</v>
      </c>
      <c r="W58" s="275">
        <v>0.7</v>
      </c>
      <c r="X58" s="56">
        <v>2000</v>
      </c>
      <c r="Y58" s="56" t="s">
        <v>571</v>
      </c>
      <c r="Z58" s="56">
        <v>0.2</v>
      </c>
      <c r="AA58" s="56" t="s">
        <v>572</v>
      </c>
      <c r="AB58" s="56" t="s">
        <v>573</v>
      </c>
      <c r="AC58" s="56">
        <v>220</v>
      </c>
      <c r="AD58" s="277" t="s">
        <v>19</v>
      </c>
      <c r="AE58" s="277"/>
    </row>
    <row r="59" spans="1:31" ht="15.75" x14ac:dyDescent="0.25">
      <c r="A59" s="56" t="s">
        <v>644</v>
      </c>
      <c r="B59" s="56" t="s">
        <v>589</v>
      </c>
      <c r="C59" s="56" t="s">
        <v>531</v>
      </c>
      <c r="D59" s="56" t="s">
        <v>569</v>
      </c>
      <c r="E59" s="56">
        <v>1</v>
      </c>
      <c r="F59" s="278">
        <v>45742.595138888886</v>
      </c>
      <c r="G59" s="56">
        <v>1</v>
      </c>
      <c r="H59" s="56">
        <v>51.374099999999999</v>
      </c>
      <c r="I59" s="56">
        <v>8.9997900000000008</v>
      </c>
      <c r="J59" s="56">
        <v>-0.29876999999999998</v>
      </c>
      <c r="K59" s="56">
        <v>0.68968499999999999</v>
      </c>
      <c r="L59" s="56">
        <v>1020.14</v>
      </c>
      <c r="M59" s="56">
        <v>74.500749999999996</v>
      </c>
      <c r="N59" s="274">
        <v>10773.28</v>
      </c>
      <c r="O59" s="56">
        <v>10765.51</v>
      </c>
      <c r="P59" s="275">
        <v>2091.86</v>
      </c>
      <c r="Q59" s="275">
        <f t="shared" si="0"/>
        <v>2091.86</v>
      </c>
      <c r="R59" s="275" t="s">
        <v>570</v>
      </c>
      <c r="S59" s="275">
        <v>10</v>
      </c>
      <c r="T59" s="275">
        <v>5</v>
      </c>
      <c r="U59" s="275">
        <v>0.7</v>
      </c>
      <c r="V59" s="279">
        <v>0.7</v>
      </c>
      <c r="W59" s="275">
        <v>0.7</v>
      </c>
      <c r="X59" s="56">
        <v>2000</v>
      </c>
      <c r="Y59" s="56" t="s">
        <v>571</v>
      </c>
      <c r="Z59" s="56">
        <v>0.2</v>
      </c>
      <c r="AA59" s="56" t="s">
        <v>572</v>
      </c>
      <c r="AB59" s="56" t="s">
        <v>573</v>
      </c>
      <c r="AC59" s="56">
        <v>220</v>
      </c>
      <c r="AD59" s="277" t="s">
        <v>19</v>
      </c>
      <c r="AE59" s="277"/>
    </row>
    <row r="60" spans="1:31" ht="15.75" x14ac:dyDescent="0.25">
      <c r="A60" s="56" t="s">
        <v>645</v>
      </c>
      <c r="B60" s="56" t="s">
        <v>594</v>
      </c>
      <c r="C60" s="56" t="s">
        <v>531</v>
      </c>
      <c r="D60" s="56" t="s">
        <v>569</v>
      </c>
      <c r="E60" s="56">
        <v>1.2</v>
      </c>
      <c r="F60" s="278">
        <v>45742.597916666666</v>
      </c>
      <c r="G60" s="56">
        <v>1</v>
      </c>
      <c r="H60" s="56">
        <v>51.374099999999999</v>
      </c>
      <c r="I60" s="56">
        <v>9.0435599999999994</v>
      </c>
      <c r="J60" s="56">
        <v>-0.41122999999999998</v>
      </c>
      <c r="K60" s="56">
        <v>1.21777</v>
      </c>
      <c r="L60" s="56">
        <v>1050.8</v>
      </c>
      <c r="M60" s="56">
        <v>72.501040000000003</v>
      </c>
      <c r="N60" s="274">
        <v>12959.99</v>
      </c>
      <c r="O60" s="56">
        <v>12957.71</v>
      </c>
      <c r="P60" s="275">
        <v>2091.86</v>
      </c>
      <c r="Q60" s="275">
        <f t="shared" si="0"/>
        <v>2091.86</v>
      </c>
      <c r="R60" s="275" t="s">
        <v>570</v>
      </c>
      <c r="S60" s="275">
        <v>10</v>
      </c>
      <c r="T60" s="275">
        <v>5</v>
      </c>
      <c r="U60" s="275">
        <v>0.7</v>
      </c>
      <c r="V60" s="279">
        <v>0.7</v>
      </c>
      <c r="W60" s="275">
        <v>0.7</v>
      </c>
      <c r="X60" s="56">
        <v>2000</v>
      </c>
      <c r="Y60" s="56" t="s">
        <v>571</v>
      </c>
      <c r="Z60" s="56">
        <v>0.2</v>
      </c>
      <c r="AA60" s="56" t="s">
        <v>572</v>
      </c>
      <c r="AB60" s="56" t="s">
        <v>573</v>
      </c>
      <c r="AC60" s="56">
        <v>220</v>
      </c>
      <c r="AD60" s="277" t="s">
        <v>19</v>
      </c>
      <c r="AE60" s="277"/>
    </row>
    <row r="61" spans="1:31" ht="15.75" x14ac:dyDescent="0.25">
      <c r="A61" s="56" t="s">
        <v>646</v>
      </c>
      <c r="B61" s="56" t="s">
        <v>594</v>
      </c>
      <c r="C61" s="56" t="s">
        <v>531</v>
      </c>
      <c r="D61" s="56" t="s">
        <v>569</v>
      </c>
      <c r="E61" s="56">
        <v>1.2</v>
      </c>
      <c r="F61" s="278">
        <v>45742.600694444445</v>
      </c>
      <c r="G61" s="56">
        <v>1</v>
      </c>
      <c r="H61" s="56">
        <v>51.377400000000002</v>
      </c>
      <c r="I61" s="56">
        <v>9.0508100000000002</v>
      </c>
      <c r="J61" s="56">
        <v>-0.26845999999999998</v>
      </c>
      <c r="K61" s="56">
        <v>1.1926779999999999</v>
      </c>
      <c r="L61" s="56">
        <v>1051.43</v>
      </c>
      <c r="M61" s="56">
        <v>77</v>
      </c>
      <c r="N61" s="274">
        <v>12955.43</v>
      </c>
      <c r="O61" s="56">
        <v>12957.71</v>
      </c>
      <c r="P61" s="275">
        <v>2091.86</v>
      </c>
      <c r="Q61" s="275">
        <f t="shared" si="0"/>
        <v>2091.86</v>
      </c>
      <c r="R61" s="275" t="s">
        <v>570</v>
      </c>
      <c r="S61" s="275">
        <v>10</v>
      </c>
      <c r="T61" s="275">
        <v>5</v>
      </c>
      <c r="U61" s="275">
        <v>0.7</v>
      </c>
      <c r="V61" s="279">
        <v>0.7</v>
      </c>
      <c r="W61" s="275">
        <v>0.7</v>
      </c>
      <c r="X61" s="56">
        <v>2000</v>
      </c>
      <c r="Y61" s="56" t="s">
        <v>571</v>
      </c>
      <c r="Z61" s="56">
        <v>0.2</v>
      </c>
      <c r="AA61" s="56" t="s">
        <v>572</v>
      </c>
      <c r="AB61" s="56" t="s">
        <v>573</v>
      </c>
      <c r="AC61" s="56">
        <v>219</v>
      </c>
      <c r="AD61" s="277" t="s">
        <v>19</v>
      </c>
      <c r="AE61" s="277"/>
    </row>
    <row r="62" spans="1:31" ht="15.75" x14ac:dyDescent="0.25">
      <c r="A62" s="280" t="s">
        <v>647</v>
      </c>
      <c r="B62" s="280">
        <v>2</v>
      </c>
      <c r="C62" s="280" t="s">
        <v>531</v>
      </c>
      <c r="D62" s="280" t="s">
        <v>569</v>
      </c>
      <c r="E62" s="280">
        <v>1</v>
      </c>
      <c r="F62" s="281">
        <v>45742.604166666664</v>
      </c>
      <c r="G62" s="280">
        <v>1</v>
      </c>
      <c r="H62" s="280">
        <v>51.374099999999999</v>
      </c>
      <c r="I62" s="280">
        <v>8.9859299999999998</v>
      </c>
      <c r="J62" s="280">
        <v>-0.20691000000000001</v>
      </c>
      <c r="K62" s="280">
        <v>1.4347019999999999</v>
      </c>
      <c r="L62" s="280">
        <v>1005.19</v>
      </c>
      <c r="M62" s="280">
        <v>65.000860000000003</v>
      </c>
      <c r="N62" s="282">
        <v>10766.31</v>
      </c>
      <c r="O62" s="280">
        <v>10772.36</v>
      </c>
      <c r="P62" s="283">
        <v>2091.915</v>
      </c>
      <c r="Q62" s="275">
        <f t="shared" si="0"/>
        <v>2091.915</v>
      </c>
      <c r="R62" s="283" t="s">
        <v>570</v>
      </c>
      <c r="S62" s="275">
        <v>10</v>
      </c>
      <c r="T62" s="275">
        <v>5</v>
      </c>
      <c r="U62" s="275">
        <v>0.7</v>
      </c>
      <c r="V62" s="279">
        <v>0.7</v>
      </c>
      <c r="W62" s="275">
        <v>0.7</v>
      </c>
      <c r="X62" s="56">
        <v>2000</v>
      </c>
      <c r="Y62" s="56" t="s">
        <v>571</v>
      </c>
      <c r="Z62" s="56">
        <v>0.2</v>
      </c>
      <c r="AA62" s="56" t="s">
        <v>572</v>
      </c>
      <c r="AB62" s="56" t="s">
        <v>573</v>
      </c>
      <c r="AC62" s="56">
        <v>220</v>
      </c>
      <c r="AD62" s="277" t="s">
        <v>19</v>
      </c>
      <c r="AE62" s="277"/>
    </row>
    <row r="63" spans="1:31" ht="15.75" x14ac:dyDescent="0.25">
      <c r="A63" s="280" t="s">
        <v>648</v>
      </c>
      <c r="B63" s="280">
        <v>2</v>
      </c>
      <c r="C63" s="280" t="s">
        <v>531</v>
      </c>
      <c r="D63" s="280" t="s">
        <v>569</v>
      </c>
      <c r="E63" s="280">
        <v>1</v>
      </c>
      <c r="F63" s="281">
        <v>45742.606944444444</v>
      </c>
      <c r="G63" s="280">
        <v>1</v>
      </c>
      <c r="H63" s="280">
        <v>51.377400000000002</v>
      </c>
      <c r="I63" s="280">
        <v>8.80715</v>
      </c>
      <c r="J63" s="280">
        <v>-0.19839999999999999</v>
      </c>
      <c r="K63" s="280">
        <v>1.3633770000000001</v>
      </c>
      <c r="L63" s="280">
        <v>1013.23</v>
      </c>
      <c r="M63" s="280">
        <v>74.999549999999999</v>
      </c>
      <c r="N63" s="282">
        <v>10778.41</v>
      </c>
      <c r="O63" s="280">
        <v>10772.36</v>
      </c>
      <c r="P63" s="283">
        <v>2091.915</v>
      </c>
      <c r="Q63" s="275">
        <f t="shared" si="0"/>
        <v>2091.915</v>
      </c>
      <c r="R63" s="283" t="s">
        <v>570</v>
      </c>
      <c r="S63" s="275">
        <v>10</v>
      </c>
      <c r="T63" s="275">
        <v>5</v>
      </c>
      <c r="U63" s="275">
        <v>0.7</v>
      </c>
      <c r="V63" s="279">
        <v>0.7</v>
      </c>
      <c r="W63" s="275">
        <v>0.7</v>
      </c>
      <c r="X63" s="56">
        <v>2000</v>
      </c>
      <c r="Y63" s="56" t="s">
        <v>571</v>
      </c>
      <c r="Z63" s="56">
        <v>0.2</v>
      </c>
      <c r="AA63" s="56" t="s">
        <v>572</v>
      </c>
      <c r="AB63" s="56" t="s">
        <v>573</v>
      </c>
      <c r="AC63" s="56">
        <v>220</v>
      </c>
      <c r="AD63" s="277" t="s">
        <v>19</v>
      </c>
      <c r="AE63" s="277"/>
    </row>
    <row r="64" spans="1:31" ht="15.75" x14ac:dyDescent="0.25">
      <c r="A64" s="56" t="s">
        <v>649</v>
      </c>
      <c r="B64" s="56">
        <v>3</v>
      </c>
      <c r="C64" s="56">
        <v>14</v>
      </c>
      <c r="D64" s="56" t="s">
        <v>600</v>
      </c>
      <c r="E64" s="56">
        <v>1</v>
      </c>
      <c r="F64" s="278">
        <v>45742.61041666667</v>
      </c>
      <c r="G64" s="56">
        <v>1</v>
      </c>
      <c r="H64" s="56">
        <v>51.374099999999999</v>
      </c>
      <c r="I64" s="56">
        <v>8.9467599999999994</v>
      </c>
      <c r="J64" s="56">
        <v>-0.13055</v>
      </c>
      <c r="K64" s="56">
        <v>1.6866840000000001</v>
      </c>
      <c r="L64" s="56">
        <v>1025.8800000000001</v>
      </c>
      <c r="M64" s="56">
        <v>65.000169999999997</v>
      </c>
      <c r="N64" s="274">
        <v>10620.91</v>
      </c>
      <c r="O64" s="56">
        <v>10616.46</v>
      </c>
      <c r="P64" s="275">
        <v>2062.027</v>
      </c>
      <c r="Q64" s="275">
        <f t="shared" si="0"/>
        <v>2062.027</v>
      </c>
      <c r="R64" s="275" t="s">
        <v>570</v>
      </c>
      <c r="S64" s="275">
        <v>10</v>
      </c>
      <c r="T64" s="275">
        <v>5</v>
      </c>
      <c r="U64" s="275">
        <v>0.7</v>
      </c>
      <c r="V64" s="279">
        <v>0.7</v>
      </c>
      <c r="W64" s="275">
        <v>0.7</v>
      </c>
      <c r="X64" s="56">
        <v>2000</v>
      </c>
      <c r="Y64" s="56" t="s">
        <v>571</v>
      </c>
      <c r="Z64" s="56">
        <v>0.2</v>
      </c>
      <c r="AA64" s="56" t="s">
        <v>572</v>
      </c>
      <c r="AB64" s="56" t="s">
        <v>573</v>
      </c>
      <c r="AC64" s="56">
        <v>220</v>
      </c>
      <c r="AD64" s="277" t="s">
        <v>19</v>
      </c>
      <c r="AE64" s="277"/>
    </row>
    <row r="65" spans="1:31" ht="15.75" x14ac:dyDescent="0.25">
      <c r="A65" s="56" t="s">
        <v>650</v>
      </c>
      <c r="B65" s="56">
        <v>3</v>
      </c>
      <c r="C65" s="56">
        <v>14</v>
      </c>
      <c r="D65" s="56" t="s">
        <v>600</v>
      </c>
      <c r="E65" s="56">
        <v>1</v>
      </c>
      <c r="F65" s="278">
        <v>45742.612500000003</v>
      </c>
      <c r="G65" s="56">
        <v>1</v>
      </c>
      <c r="H65" s="56">
        <v>51.380699999999997</v>
      </c>
      <c r="I65" s="56">
        <v>9.0862700000000007</v>
      </c>
      <c r="J65" s="56">
        <v>3.6119999999999999E-2</v>
      </c>
      <c r="K65" s="56">
        <v>1.987476</v>
      </c>
      <c r="L65" s="56">
        <v>1007.06</v>
      </c>
      <c r="M65" s="56">
        <v>63.0002</v>
      </c>
      <c r="N65" s="274">
        <v>10612.01</v>
      </c>
      <c r="O65" s="56">
        <v>10616.46</v>
      </c>
      <c r="P65" s="275">
        <v>2062.027</v>
      </c>
      <c r="Q65" s="275">
        <f t="shared" si="0"/>
        <v>2062.027</v>
      </c>
      <c r="R65" s="275" t="s">
        <v>570</v>
      </c>
      <c r="S65" s="275">
        <v>10</v>
      </c>
      <c r="T65" s="275">
        <v>5</v>
      </c>
      <c r="U65" s="275">
        <v>0.7</v>
      </c>
      <c r="V65" s="279">
        <v>0.7</v>
      </c>
      <c r="W65" s="275">
        <v>0.7</v>
      </c>
      <c r="X65" s="56">
        <v>2000</v>
      </c>
      <c r="Y65" s="56" t="s">
        <v>571</v>
      </c>
      <c r="Z65" s="56">
        <v>0.2</v>
      </c>
      <c r="AA65" s="56" t="s">
        <v>572</v>
      </c>
      <c r="AB65" s="56" t="s">
        <v>573</v>
      </c>
      <c r="AC65" s="56">
        <v>220</v>
      </c>
      <c r="AD65" s="277" t="s">
        <v>19</v>
      </c>
      <c r="AE65" s="277"/>
    </row>
    <row r="66" spans="1:31" ht="15.75" x14ac:dyDescent="0.25">
      <c r="A66" s="56" t="s">
        <v>651</v>
      </c>
      <c r="B66" s="56">
        <v>4</v>
      </c>
      <c r="C66" s="56">
        <v>15</v>
      </c>
      <c r="D66" s="56" t="s">
        <v>604</v>
      </c>
      <c r="E66" s="56">
        <v>1</v>
      </c>
      <c r="F66" s="278">
        <v>45742.615972222222</v>
      </c>
      <c r="G66" s="56">
        <v>1</v>
      </c>
      <c r="H66" s="56">
        <v>51.384</v>
      </c>
      <c r="I66" s="56">
        <v>9.0189800000000009</v>
      </c>
      <c r="J66" s="56">
        <v>-1.021E-2</v>
      </c>
      <c r="K66" s="56">
        <v>0.97606000000000004</v>
      </c>
      <c r="L66" s="56">
        <v>1013.72</v>
      </c>
      <c r="M66" s="56">
        <v>75.000820000000004</v>
      </c>
      <c r="N66" s="274">
        <v>10649.61</v>
      </c>
      <c r="O66" s="56">
        <v>10612.39</v>
      </c>
      <c r="P66" s="275">
        <v>2061.2469999999998</v>
      </c>
      <c r="Q66" s="275">
        <f t="shared" si="0"/>
        <v>2061.2469999999998</v>
      </c>
      <c r="R66" s="275" t="s">
        <v>584</v>
      </c>
      <c r="S66" s="275">
        <v>10</v>
      </c>
      <c r="T66" s="275">
        <v>5</v>
      </c>
      <c r="U66" s="275">
        <v>0.7</v>
      </c>
      <c r="V66" s="279">
        <v>0.7</v>
      </c>
      <c r="W66" s="275">
        <v>0.7</v>
      </c>
      <c r="X66" s="56">
        <v>2000</v>
      </c>
      <c r="Y66" s="56" t="s">
        <v>571</v>
      </c>
      <c r="Z66" s="56">
        <v>0.2</v>
      </c>
      <c r="AA66" s="56" t="s">
        <v>572</v>
      </c>
      <c r="AB66" s="56" t="s">
        <v>573</v>
      </c>
      <c r="AC66" s="56">
        <v>220</v>
      </c>
      <c r="AD66" s="277" t="s">
        <v>19</v>
      </c>
      <c r="AE66" s="277"/>
    </row>
    <row r="67" spans="1:31" ht="15.75" x14ac:dyDescent="0.25">
      <c r="A67" s="56" t="s">
        <v>652</v>
      </c>
      <c r="B67" s="56">
        <v>4</v>
      </c>
      <c r="C67" s="56">
        <v>15</v>
      </c>
      <c r="D67" s="56" t="s">
        <v>604</v>
      </c>
      <c r="E67" s="56">
        <v>1</v>
      </c>
      <c r="F67" s="278">
        <v>45742.618750000001</v>
      </c>
      <c r="G67" s="56">
        <v>1</v>
      </c>
      <c r="H67" s="56">
        <v>51.374099999999999</v>
      </c>
      <c r="I67" s="56">
        <v>9.1818000000000008</v>
      </c>
      <c r="J67" s="56">
        <v>-4.3799999999999999E-2</v>
      </c>
      <c r="K67" s="56">
        <v>2.0500620000000001</v>
      </c>
      <c r="L67" s="56">
        <v>1015.11</v>
      </c>
      <c r="M67" s="56">
        <v>62.500259999999997</v>
      </c>
      <c r="N67" s="274">
        <v>10590.35</v>
      </c>
      <c r="O67" s="56">
        <v>10612.39</v>
      </c>
      <c r="P67" s="275">
        <v>2061.2469999999998</v>
      </c>
      <c r="Q67" s="275">
        <f t="shared" si="0"/>
        <v>2061.2469999999998</v>
      </c>
      <c r="R67" s="275" t="s">
        <v>584</v>
      </c>
      <c r="S67" s="275">
        <v>10</v>
      </c>
      <c r="T67" s="275">
        <v>5</v>
      </c>
      <c r="U67" s="275">
        <v>0.7</v>
      </c>
      <c r="V67" s="279">
        <v>0.7</v>
      </c>
      <c r="W67" s="275">
        <v>0.7</v>
      </c>
      <c r="X67" s="56">
        <v>2000</v>
      </c>
      <c r="Y67" s="56" t="s">
        <v>571</v>
      </c>
      <c r="Z67" s="56">
        <v>0.2</v>
      </c>
      <c r="AA67" s="56" t="s">
        <v>572</v>
      </c>
      <c r="AB67" s="56" t="s">
        <v>573</v>
      </c>
      <c r="AC67" s="56">
        <v>220</v>
      </c>
      <c r="AD67" s="277" t="s">
        <v>19</v>
      </c>
      <c r="AE67" s="277"/>
    </row>
    <row r="68" spans="1:31" ht="15.75" x14ac:dyDescent="0.25">
      <c r="A68" s="56" t="s">
        <v>653</v>
      </c>
      <c r="B68" s="56">
        <v>4</v>
      </c>
      <c r="C68" s="56">
        <v>15</v>
      </c>
      <c r="D68" s="56" t="s">
        <v>604</v>
      </c>
      <c r="E68" s="56">
        <v>1</v>
      </c>
      <c r="F68" s="278">
        <v>45742.621527777781</v>
      </c>
      <c r="G68" s="56">
        <v>1</v>
      </c>
      <c r="H68" s="56">
        <v>51.377400000000002</v>
      </c>
      <c r="I68" s="56">
        <v>9.3379799999999999</v>
      </c>
      <c r="J68" s="56">
        <v>8.5968000000000003E-2</v>
      </c>
      <c r="K68" s="56">
        <v>1.713149</v>
      </c>
      <c r="L68" s="56">
        <v>974.78800000000001</v>
      </c>
      <c r="M68" s="56">
        <v>63.500529999999998</v>
      </c>
      <c r="N68" s="274">
        <v>10611.95</v>
      </c>
      <c r="O68" s="56">
        <v>10612.39</v>
      </c>
      <c r="P68" s="275">
        <v>2061.2469999999998</v>
      </c>
      <c r="Q68" s="275">
        <f t="shared" si="0"/>
        <v>2061.2469999999998</v>
      </c>
      <c r="R68" s="275" t="s">
        <v>570</v>
      </c>
      <c r="S68" s="275">
        <v>10</v>
      </c>
      <c r="T68" s="275">
        <v>5</v>
      </c>
      <c r="U68" s="275">
        <v>0.7</v>
      </c>
      <c r="V68" s="279">
        <v>0.7</v>
      </c>
      <c r="W68" s="275">
        <v>0.7</v>
      </c>
      <c r="X68" s="56">
        <v>2000</v>
      </c>
      <c r="Y68" s="56" t="s">
        <v>571</v>
      </c>
      <c r="Z68" s="56">
        <v>0.2</v>
      </c>
      <c r="AA68" s="56" t="s">
        <v>572</v>
      </c>
      <c r="AB68" s="56" t="s">
        <v>573</v>
      </c>
      <c r="AC68" s="56">
        <v>220</v>
      </c>
      <c r="AD68" s="277" t="s">
        <v>19</v>
      </c>
      <c r="AE68" s="277"/>
    </row>
    <row r="69" spans="1:31" ht="15.75" x14ac:dyDescent="0.25">
      <c r="A69" s="56" t="s">
        <v>654</v>
      </c>
      <c r="B69" s="56">
        <v>4</v>
      </c>
      <c r="C69" s="56">
        <v>15</v>
      </c>
      <c r="D69" s="56" t="s">
        <v>604</v>
      </c>
      <c r="E69" s="56">
        <v>1</v>
      </c>
      <c r="F69" s="278">
        <v>45742.624305555553</v>
      </c>
      <c r="G69" s="56">
        <v>1</v>
      </c>
      <c r="H69" s="56">
        <v>51.380699999999997</v>
      </c>
      <c r="I69" s="56">
        <v>9.1872000000000007</v>
      </c>
      <c r="J69" s="56">
        <v>-3.3400000000000001E-3</v>
      </c>
      <c r="K69" s="56">
        <v>1.8017909999999999</v>
      </c>
      <c r="L69" s="56">
        <v>1002.08</v>
      </c>
      <c r="M69" s="56">
        <v>67.999639999999999</v>
      </c>
      <c r="N69" s="274">
        <v>10612.83</v>
      </c>
      <c r="O69" s="56">
        <v>10612.39</v>
      </c>
      <c r="P69" s="275">
        <v>2061.2469999999998</v>
      </c>
      <c r="Q69" s="275">
        <f t="shared" si="0"/>
        <v>2061.2469999999998</v>
      </c>
      <c r="R69" s="275" t="s">
        <v>570</v>
      </c>
      <c r="S69" s="275">
        <v>10</v>
      </c>
      <c r="T69" s="275">
        <v>5</v>
      </c>
      <c r="U69" s="275">
        <v>0.7</v>
      </c>
      <c r="V69" s="279">
        <v>0.7</v>
      </c>
      <c r="W69" s="275">
        <v>0.7</v>
      </c>
      <c r="X69" s="56">
        <v>2000</v>
      </c>
      <c r="Y69" s="56" t="s">
        <v>571</v>
      </c>
      <c r="Z69" s="56">
        <v>0.2</v>
      </c>
      <c r="AA69" s="56" t="s">
        <v>572</v>
      </c>
      <c r="AB69" s="56" t="s">
        <v>573</v>
      </c>
      <c r="AC69" s="56">
        <v>220</v>
      </c>
      <c r="AD69" s="277" t="s">
        <v>19</v>
      </c>
      <c r="AE69" s="277"/>
    </row>
    <row r="70" spans="1:31" ht="15.75" x14ac:dyDescent="0.25">
      <c r="A70" s="56" t="s">
        <v>655</v>
      </c>
      <c r="B70" s="56">
        <v>5</v>
      </c>
      <c r="C70" s="56">
        <v>196</v>
      </c>
      <c r="D70" s="56" t="s">
        <v>608</v>
      </c>
      <c r="E70" s="56">
        <v>1</v>
      </c>
      <c r="F70" s="278">
        <v>45742.62777777778</v>
      </c>
      <c r="G70" s="56">
        <v>1</v>
      </c>
      <c r="H70" s="56">
        <v>51.377400000000002</v>
      </c>
      <c r="I70" s="56">
        <v>9.1357800000000005</v>
      </c>
      <c r="J70" s="56">
        <v>1.9883999999999999E-2</v>
      </c>
      <c r="K70" s="56">
        <v>1.988944</v>
      </c>
      <c r="L70" s="56">
        <v>1021.1</v>
      </c>
      <c r="M70" s="56">
        <v>70.000579999999999</v>
      </c>
      <c r="N70" s="274">
        <v>10628.86</v>
      </c>
      <c r="O70" s="56">
        <v>10650.09</v>
      </c>
      <c r="P70" s="275">
        <v>2068.4740000000002</v>
      </c>
      <c r="Q70" s="275">
        <f t="shared" si="0"/>
        <v>2068.4740000000002</v>
      </c>
      <c r="R70" s="275" t="s">
        <v>584</v>
      </c>
      <c r="S70" s="275">
        <v>10</v>
      </c>
      <c r="T70" s="275">
        <v>5</v>
      </c>
      <c r="U70" s="275">
        <v>0.7</v>
      </c>
      <c r="V70" s="279">
        <v>0.7</v>
      </c>
      <c r="W70" s="275">
        <v>0.7</v>
      </c>
      <c r="X70" s="56">
        <v>2000</v>
      </c>
      <c r="Y70" s="56" t="s">
        <v>571</v>
      </c>
      <c r="Z70" s="56">
        <v>0.2</v>
      </c>
      <c r="AA70" s="56" t="s">
        <v>572</v>
      </c>
      <c r="AB70" s="56" t="s">
        <v>573</v>
      </c>
      <c r="AC70" s="56">
        <v>220</v>
      </c>
      <c r="AD70" s="277" t="s">
        <v>19</v>
      </c>
      <c r="AE70" s="277"/>
    </row>
    <row r="71" spans="1:31" ht="15.75" x14ac:dyDescent="0.25">
      <c r="A71" s="56" t="s">
        <v>656</v>
      </c>
      <c r="B71" s="56">
        <v>5</v>
      </c>
      <c r="C71" s="56">
        <v>196</v>
      </c>
      <c r="D71" s="56" t="s">
        <v>608</v>
      </c>
      <c r="E71" s="56">
        <v>1</v>
      </c>
      <c r="F71" s="278">
        <v>45742.630555555559</v>
      </c>
      <c r="G71" s="56">
        <v>1</v>
      </c>
      <c r="H71" s="56">
        <v>51.380699999999997</v>
      </c>
      <c r="I71" s="56">
        <v>9.1499900000000007</v>
      </c>
      <c r="J71" s="56">
        <v>-3.3230000000000003E-2</v>
      </c>
      <c r="K71" s="56">
        <v>1.0475209999999999</v>
      </c>
      <c r="L71" s="56">
        <v>1009.46</v>
      </c>
      <c r="M71" s="56">
        <v>80.999340000000004</v>
      </c>
      <c r="N71" s="274">
        <v>10688.35</v>
      </c>
      <c r="O71" s="56">
        <v>10650.09</v>
      </c>
      <c r="P71" s="275">
        <v>2068.4740000000002</v>
      </c>
      <c r="Q71" s="275">
        <f t="shared" si="0"/>
        <v>2068.4740000000002</v>
      </c>
      <c r="R71" s="275" t="s">
        <v>584</v>
      </c>
      <c r="S71" s="275">
        <v>10</v>
      </c>
      <c r="T71" s="275">
        <v>5</v>
      </c>
      <c r="U71" s="275">
        <v>0.7</v>
      </c>
      <c r="V71" s="279">
        <v>0.7</v>
      </c>
      <c r="W71" s="275">
        <v>0.7</v>
      </c>
      <c r="X71" s="56">
        <v>2000</v>
      </c>
      <c r="Y71" s="56" t="s">
        <v>571</v>
      </c>
      <c r="Z71" s="56">
        <v>0.2</v>
      </c>
      <c r="AA71" s="56" t="s">
        <v>572</v>
      </c>
      <c r="AB71" s="56" t="s">
        <v>573</v>
      </c>
      <c r="AC71" s="56">
        <v>220</v>
      </c>
      <c r="AD71" s="277" t="s">
        <v>19</v>
      </c>
      <c r="AE71" s="277"/>
    </row>
    <row r="72" spans="1:31" ht="15.75" x14ac:dyDescent="0.25">
      <c r="A72" s="56" t="s">
        <v>657</v>
      </c>
      <c r="B72" s="56">
        <v>5</v>
      </c>
      <c r="C72" s="56">
        <v>196</v>
      </c>
      <c r="D72" s="56" t="s">
        <v>608</v>
      </c>
      <c r="E72" s="56">
        <v>1</v>
      </c>
      <c r="F72" s="278">
        <v>45742.633333333331</v>
      </c>
      <c r="G72" s="56">
        <v>1</v>
      </c>
      <c r="H72" s="56">
        <v>51.377400000000002</v>
      </c>
      <c r="I72" s="56">
        <v>9.1479400000000002</v>
      </c>
      <c r="J72" s="56">
        <v>6.9727999999999998E-2</v>
      </c>
      <c r="K72" s="56">
        <v>1.7554700000000001</v>
      </c>
      <c r="L72" s="56">
        <v>1019.26</v>
      </c>
      <c r="M72" s="56">
        <v>70.500569999999996</v>
      </c>
      <c r="N72" s="274">
        <v>10646.43</v>
      </c>
      <c r="O72" s="56">
        <v>10650.09</v>
      </c>
      <c r="P72" s="275">
        <v>2068.4740000000002</v>
      </c>
      <c r="Q72" s="275">
        <f t="shared" si="0"/>
        <v>2068.4740000000002</v>
      </c>
      <c r="R72" s="275" t="s">
        <v>570</v>
      </c>
      <c r="S72" s="275">
        <v>10</v>
      </c>
      <c r="T72" s="275">
        <v>5</v>
      </c>
      <c r="U72" s="275">
        <v>0.7</v>
      </c>
      <c r="V72" s="279">
        <v>0.7</v>
      </c>
      <c r="W72" s="275">
        <v>0.7</v>
      </c>
      <c r="X72" s="56">
        <v>2000</v>
      </c>
      <c r="Y72" s="56" t="s">
        <v>571</v>
      </c>
      <c r="Z72" s="56">
        <v>0.2</v>
      </c>
      <c r="AA72" s="56" t="s">
        <v>572</v>
      </c>
      <c r="AB72" s="56" t="s">
        <v>573</v>
      </c>
      <c r="AC72" s="56">
        <v>220</v>
      </c>
      <c r="AD72" s="277" t="s">
        <v>19</v>
      </c>
      <c r="AE72" s="277"/>
    </row>
    <row r="73" spans="1:31" ht="15.75" x14ac:dyDescent="0.25">
      <c r="A73" s="56" t="s">
        <v>658</v>
      </c>
      <c r="B73" s="56">
        <v>5</v>
      </c>
      <c r="C73" s="56">
        <v>196</v>
      </c>
      <c r="D73" s="56" t="s">
        <v>608</v>
      </c>
      <c r="E73" s="56">
        <v>1</v>
      </c>
      <c r="F73" s="278">
        <v>45742.636111111111</v>
      </c>
      <c r="G73" s="56">
        <v>1</v>
      </c>
      <c r="H73" s="56">
        <v>51.374099999999999</v>
      </c>
      <c r="I73" s="56">
        <v>9.0709199999999992</v>
      </c>
      <c r="J73" s="56">
        <v>0.172069</v>
      </c>
      <c r="K73" s="56">
        <v>1.35111</v>
      </c>
      <c r="L73" s="56">
        <v>1019.3</v>
      </c>
      <c r="M73" s="56">
        <v>75.00009</v>
      </c>
      <c r="N73" s="274">
        <v>10653.75</v>
      </c>
      <c r="O73" s="56">
        <v>10650.09</v>
      </c>
      <c r="P73" s="275">
        <v>2068.4740000000002</v>
      </c>
      <c r="Q73" s="275">
        <f t="shared" si="0"/>
        <v>2068.4740000000002</v>
      </c>
      <c r="R73" s="275" t="s">
        <v>570</v>
      </c>
      <c r="S73" s="275">
        <v>10</v>
      </c>
      <c r="T73" s="275">
        <v>5</v>
      </c>
      <c r="U73" s="275">
        <v>0.7</v>
      </c>
      <c r="V73" s="279">
        <v>0.7</v>
      </c>
      <c r="W73" s="275">
        <v>0.7</v>
      </c>
      <c r="X73" s="56">
        <v>2000</v>
      </c>
      <c r="Y73" s="56" t="s">
        <v>571</v>
      </c>
      <c r="Z73" s="56">
        <v>0.2</v>
      </c>
      <c r="AA73" s="56" t="s">
        <v>572</v>
      </c>
      <c r="AB73" s="56" t="s">
        <v>573</v>
      </c>
      <c r="AC73" s="56">
        <v>220</v>
      </c>
      <c r="AD73" s="277" t="s">
        <v>19</v>
      </c>
      <c r="AE73" s="277"/>
    </row>
    <row r="74" spans="1:31" ht="15.75" x14ac:dyDescent="0.25">
      <c r="A74" s="56" t="s">
        <v>659</v>
      </c>
      <c r="B74" s="56">
        <v>6</v>
      </c>
      <c r="C74" s="56">
        <v>197</v>
      </c>
      <c r="D74" s="56" t="s">
        <v>618</v>
      </c>
      <c r="E74" s="56">
        <v>1</v>
      </c>
      <c r="F74" s="278">
        <v>45742.63958333333</v>
      </c>
      <c r="G74" s="56">
        <v>1</v>
      </c>
      <c r="H74" s="56">
        <v>51.374099999999999</v>
      </c>
      <c r="I74" s="56">
        <v>9.1684099999999997</v>
      </c>
      <c r="J74" s="56">
        <v>0.23987600000000001</v>
      </c>
      <c r="K74" s="56">
        <v>1.429899</v>
      </c>
      <c r="L74" s="56">
        <v>1004.45</v>
      </c>
      <c r="M74" s="56">
        <v>71.000069999999994</v>
      </c>
      <c r="N74" s="274">
        <v>10644.47</v>
      </c>
      <c r="O74" s="56">
        <v>10637.03</v>
      </c>
      <c r="P74" s="275">
        <v>2065.9699999999998</v>
      </c>
      <c r="Q74" s="275">
        <f t="shared" si="0"/>
        <v>2065.9699999999998</v>
      </c>
      <c r="R74" s="275" t="s">
        <v>570</v>
      </c>
      <c r="S74" s="275">
        <v>10</v>
      </c>
      <c r="T74" s="275">
        <v>5</v>
      </c>
      <c r="U74" s="275">
        <v>0.7</v>
      </c>
      <c r="V74" s="279">
        <v>0.7</v>
      </c>
      <c r="W74" s="275">
        <v>0.7</v>
      </c>
      <c r="X74" s="56">
        <v>2000</v>
      </c>
      <c r="Y74" s="56" t="s">
        <v>571</v>
      </c>
      <c r="Z74" s="56">
        <v>0.2</v>
      </c>
      <c r="AA74" s="56" t="s">
        <v>572</v>
      </c>
      <c r="AB74" s="56" t="s">
        <v>573</v>
      </c>
      <c r="AC74" s="56">
        <v>220</v>
      </c>
      <c r="AD74" s="277" t="s">
        <v>19</v>
      </c>
      <c r="AE74" s="277"/>
    </row>
    <row r="75" spans="1:31" ht="15.75" x14ac:dyDescent="0.25">
      <c r="A75" s="56" t="s">
        <v>660</v>
      </c>
      <c r="B75" s="56">
        <v>6</v>
      </c>
      <c r="C75" s="56">
        <v>197</v>
      </c>
      <c r="D75" s="56" t="s">
        <v>618</v>
      </c>
      <c r="E75" s="56">
        <v>1</v>
      </c>
      <c r="F75" s="278">
        <v>45742.642361111109</v>
      </c>
      <c r="G75" s="56">
        <v>1</v>
      </c>
      <c r="H75" s="56">
        <v>51.374099999999999</v>
      </c>
      <c r="I75" s="56">
        <v>9.1777300000000004</v>
      </c>
      <c r="J75" s="56">
        <v>0.17255699999999999</v>
      </c>
      <c r="K75" s="56">
        <v>1.3852450000000001</v>
      </c>
      <c r="L75" s="56">
        <v>1004.29</v>
      </c>
      <c r="M75" s="56">
        <v>73.500969999999995</v>
      </c>
      <c r="N75" s="274">
        <v>10629.59</v>
      </c>
      <c r="O75" s="56">
        <v>10637.03</v>
      </c>
      <c r="P75" s="275">
        <v>2065.9699999999998</v>
      </c>
      <c r="Q75" s="275">
        <f t="shared" si="0"/>
        <v>2065.9699999999998</v>
      </c>
      <c r="R75" s="275" t="s">
        <v>570</v>
      </c>
      <c r="S75" s="275">
        <v>10</v>
      </c>
      <c r="T75" s="275">
        <v>5</v>
      </c>
      <c r="U75" s="275">
        <v>0.7</v>
      </c>
      <c r="V75" s="279">
        <v>0.7</v>
      </c>
      <c r="W75" s="275">
        <v>0.7</v>
      </c>
      <c r="X75" s="56">
        <v>2000</v>
      </c>
      <c r="Y75" s="56" t="s">
        <v>571</v>
      </c>
      <c r="Z75" s="56">
        <v>0.2</v>
      </c>
      <c r="AA75" s="56" t="s">
        <v>572</v>
      </c>
      <c r="AB75" s="56" t="s">
        <v>573</v>
      </c>
      <c r="AC75" s="56">
        <v>220</v>
      </c>
      <c r="AD75" s="277" t="s">
        <v>19</v>
      </c>
      <c r="AE75" s="277"/>
    </row>
    <row r="76" spans="1:31" ht="15.75" x14ac:dyDescent="0.25">
      <c r="A76" s="56" t="s">
        <v>661</v>
      </c>
      <c r="B76" s="56">
        <v>7</v>
      </c>
      <c r="C76" s="56">
        <v>53</v>
      </c>
      <c r="D76" s="56" t="s">
        <v>623</v>
      </c>
      <c r="E76" s="56">
        <v>1</v>
      </c>
      <c r="F76" s="278">
        <v>45742.645833333336</v>
      </c>
      <c r="G76" s="56">
        <v>1</v>
      </c>
      <c r="H76" s="56">
        <v>51.377400000000002</v>
      </c>
      <c r="I76" s="56">
        <v>9.1745800000000006</v>
      </c>
      <c r="J76" s="56">
        <v>0.32148100000000002</v>
      </c>
      <c r="K76" s="56">
        <v>1.2984439999999999</v>
      </c>
      <c r="L76" s="56">
        <v>1020.04</v>
      </c>
      <c r="M76" s="56">
        <v>74.999009999999998</v>
      </c>
      <c r="N76" s="274">
        <v>10618.54</v>
      </c>
      <c r="O76" s="56">
        <v>10620.78</v>
      </c>
      <c r="P76" s="275">
        <v>2062.855</v>
      </c>
      <c r="Q76" s="275">
        <f t="shared" si="0"/>
        <v>2062.855</v>
      </c>
      <c r="R76" s="275" t="s">
        <v>570</v>
      </c>
      <c r="S76" s="275">
        <v>10</v>
      </c>
      <c r="T76" s="275">
        <v>5</v>
      </c>
      <c r="U76" s="275">
        <v>0.7</v>
      </c>
      <c r="V76" s="279">
        <v>0.7</v>
      </c>
      <c r="W76" s="275">
        <v>0.7</v>
      </c>
      <c r="X76" s="56">
        <v>2000</v>
      </c>
      <c r="Y76" s="56" t="s">
        <v>571</v>
      </c>
      <c r="Z76" s="56">
        <v>0.2</v>
      </c>
      <c r="AA76" s="56" t="s">
        <v>572</v>
      </c>
      <c r="AB76" s="56" t="s">
        <v>573</v>
      </c>
      <c r="AC76" s="56">
        <v>220</v>
      </c>
      <c r="AD76" s="277" t="s">
        <v>19</v>
      </c>
      <c r="AE76" s="277"/>
    </row>
    <row r="77" spans="1:31" ht="15.75" x14ac:dyDescent="0.25">
      <c r="A77" s="56" t="s">
        <v>662</v>
      </c>
      <c r="B77" s="56">
        <v>7</v>
      </c>
      <c r="C77" s="56">
        <v>53</v>
      </c>
      <c r="D77" s="56" t="s">
        <v>623</v>
      </c>
      <c r="E77" s="56">
        <v>1</v>
      </c>
      <c r="F77" s="278">
        <v>45742.648611111108</v>
      </c>
      <c r="G77" s="56">
        <v>1</v>
      </c>
      <c r="H77" s="56">
        <v>51.377400000000002</v>
      </c>
      <c r="I77" s="56">
        <v>9.3164300000000004</v>
      </c>
      <c r="J77" s="56">
        <v>0.30248999999999998</v>
      </c>
      <c r="K77" s="56">
        <v>1.4122760000000001</v>
      </c>
      <c r="L77" s="56">
        <v>998.68700000000001</v>
      </c>
      <c r="M77" s="56">
        <v>78.000129999999999</v>
      </c>
      <c r="N77" s="274">
        <v>10623.02</v>
      </c>
      <c r="O77" s="56">
        <v>10620.78</v>
      </c>
      <c r="P77" s="275">
        <v>2062.855</v>
      </c>
      <c r="Q77" s="275">
        <f t="shared" si="0"/>
        <v>2062.855</v>
      </c>
      <c r="R77" s="275" t="s">
        <v>570</v>
      </c>
      <c r="S77" s="275">
        <v>10</v>
      </c>
      <c r="T77" s="275">
        <v>5</v>
      </c>
      <c r="U77" s="275">
        <v>0.7</v>
      </c>
      <c r="V77" s="279">
        <v>0.7</v>
      </c>
      <c r="W77" s="275">
        <v>0.7</v>
      </c>
      <c r="X77" s="56">
        <v>2000</v>
      </c>
      <c r="Y77" s="56" t="s">
        <v>571</v>
      </c>
      <c r="Z77" s="56">
        <v>0.2</v>
      </c>
      <c r="AA77" s="56" t="s">
        <v>572</v>
      </c>
      <c r="AB77" s="56" t="s">
        <v>573</v>
      </c>
      <c r="AC77" s="56">
        <v>220</v>
      </c>
      <c r="AD77" s="277" t="s">
        <v>19</v>
      </c>
      <c r="AE77" s="277"/>
    </row>
    <row r="78" spans="1:31" ht="15.75" x14ac:dyDescent="0.25">
      <c r="A78" s="56" t="s">
        <v>663</v>
      </c>
      <c r="B78" s="56">
        <v>8</v>
      </c>
      <c r="C78" s="56">
        <v>40</v>
      </c>
      <c r="D78" s="56" t="s">
        <v>629</v>
      </c>
      <c r="E78" s="56">
        <v>1</v>
      </c>
      <c r="F78" s="278">
        <v>45742.652083333334</v>
      </c>
      <c r="G78" s="56">
        <v>1</v>
      </c>
      <c r="H78" s="56">
        <v>51.377400000000002</v>
      </c>
      <c r="I78" s="56">
        <v>9.2488499999999991</v>
      </c>
      <c r="J78" s="56">
        <v>0.46374700000000002</v>
      </c>
      <c r="K78" s="56">
        <v>1.972953</v>
      </c>
      <c r="L78" s="56">
        <v>1022.31</v>
      </c>
      <c r="M78" s="56">
        <v>71.000190000000003</v>
      </c>
      <c r="N78" s="274">
        <v>10703.74</v>
      </c>
      <c r="O78" s="56">
        <v>10701.78</v>
      </c>
      <c r="P78" s="275">
        <v>2078.3829999999998</v>
      </c>
      <c r="Q78" s="275">
        <f t="shared" si="0"/>
        <v>2078.3829999999998</v>
      </c>
      <c r="R78" s="275" t="s">
        <v>570</v>
      </c>
      <c r="S78" s="275">
        <v>10</v>
      </c>
      <c r="T78" s="275">
        <v>5</v>
      </c>
      <c r="U78" s="275">
        <v>0.7</v>
      </c>
      <c r="V78" s="279">
        <v>0.7</v>
      </c>
      <c r="W78" s="275">
        <v>0.7</v>
      </c>
      <c r="X78" s="56">
        <v>2000</v>
      </c>
      <c r="Y78" s="56" t="s">
        <v>571</v>
      </c>
      <c r="Z78" s="56">
        <v>0.2</v>
      </c>
      <c r="AA78" s="56" t="s">
        <v>572</v>
      </c>
      <c r="AB78" s="56" t="s">
        <v>573</v>
      </c>
      <c r="AC78" s="56">
        <v>220</v>
      </c>
      <c r="AD78" s="277" t="s">
        <v>19</v>
      </c>
      <c r="AE78" s="277"/>
    </row>
    <row r="79" spans="1:31" ht="15.75" x14ac:dyDescent="0.25">
      <c r="A79" s="56" t="s">
        <v>664</v>
      </c>
      <c r="B79" s="56">
        <v>8</v>
      </c>
      <c r="C79" s="56">
        <v>40</v>
      </c>
      <c r="D79" s="56" t="s">
        <v>629</v>
      </c>
      <c r="E79" s="56">
        <v>1</v>
      </c>
      <c r="F79" s="278">
        <v>45742.655555555553</v>
      </c>
      <c r="G79" s="56">
        <v>1</v>
      </c>
      <c r="H79" s="56">
        <v>51.377400000000002</v>
      </c>
      <c r="I79" s="56">
        <v>9.4046299999999992</v>
      </c>
      <c r="J79" s="56">
        <v>0.58974800000000005</v>
      </c>
      <c r="K79" s="56">
        <v>1.8906860000000001</v>
      </c>
      <c r="L79" s="56">
        <v>1016.09</v>
      </c>
      <c r="M79" s="56">
        <v>72.499719999999996</v>
      </c>
      <c r="N79" s="274">
        <v>10699.81</v>
      </c>
      <c r="O79" s="56">
        <v>10701.78</v>
      </c>
      <c r="P79" s="275">
        <v>2078.3829999999998</v>
      </c>
      <c r="Q79" s="275">
        <f t="shared" si="0"/>
        <v>2078.3829999999998</v>
      </c>
      <c r="R79" s="275" t="s">
        <v>570</v>
      </c>
      <c r="S79" s="275">
        <v>10</v>
      </c>
      <c r="T79" s="275">
        <v>5</v>
      </c>
      <c r="U79" s="275">
        <v>0.7</v>
      </c>
      <c r="V79" s="279">
        <v>0.7</v>
      </c>
      <c r="W79" s="275">
        <v>0.7</v>
      </c>
      <c r="X79" s="56">
        <v>2000</v>
      </c>
      <c r="Y79" s="56" t="s">
        <v>571</v>
      </c>
      <c r="Z79" s="56">
        <v>0.2</v>
      </c>
      <c r="AA79" s="56" t="s">
        <v>572</v>
      </c>
      <c r="AB79" s="56" t="s">
        <v>573</v>
      </c>
      <c r="AC79" s="56">
        <v>220</v>
      </c>
      <c r="AD79" s="277" t="s">
        <v>19</v>
      </c>
      <c r="AE79" s="277"/>
    </row>
    <row r="80" spans="1:31" ht="15.75" x14ac:dyDescent="0.25">
      <c r="A80" s="56" t="s">
        <v>665</v>
      </c>
      <c r="B80" s="56">
        <v>9</v>
      </c>
      <c r="C80" s="56">
        <v>54</v>
      </c>
      <c r="D80" s="56" t="s">
        <v>633</v>
      </c>
      <c r="E80" s="56">
        <v>1</v>
      </c>
      <c r="F80" s="278">
        <v>45742.658333333333</v>
      </c>
      <c r="G80" s="56">
        <v>1</v>
      </c>
      <c r="H80" s="56">
        <v>51.377400000000002</v>
      </c>
      <c r="I80" s="56">
        <v>9.1128</v>
      </c>
      <c r="J80" s="56">
        <v>0.55014200000000002</v>
      </c>
      <c r="K80" s="56">
        <v>2.2598919999999998</v>
      </c>
      <c r="L80" s="56">
        <v>1008.4</v>
      </c>
      <c r="M80" s="56">
        <v>70.999809999999997</v>
      </c>
      <c r="N80" s="274">
        <v>10615.69</v>
      </c>
      <c r="O80" s="56">
        <v>10643.61</v>
      </c>
      <c r="P80" s="275">
        <v>2067.232</v>
      </c>
      <c r="Q80" s="275">
        <f t="shared" si="0"/>
        <v>2067.232</v>
      </c>
      <c r="R80" s="275" t="s">
        <v>584</v>
      </c>
      <c r="S80" s="275">
        <v>10</v>
      </c>
      <c r="T80" s="275">
        <v>5</v>
      </c>
      <c r="U80" s="275">
        <v>0.7</v>
      </c>
      <c r="V80" s="279">
        <v>0.7</v>
      </c>
      <c r="W80" s="275">
        <v>0.7</v>
      </c>
      <c r="X80" s="56">
        <v>2000</v>
      </c>
      <c r="Y80" s="56" t="s">
        <v>571</v>
      </c>
      <c r="Z80" s="56">
        <v>0.2</v>
      </c>
      <c r="AA80" s="56" t="s">
        <v>572</v>
      </c>
      <c r="AB80" s="56" t="s">
        <v>573</v>
      </c>
      <c r="AC80" s="56">
        <v>220</v>
      </c>
      <c r="AD80" s="277" t="s">
        <v>19</v>
      </c>
      <c r="AE80" s="277"/>
    </row>
    <row r="81" spans="1:31" ht="15.75" x14ac:dyDescent="0.25">
      <c r="A81" s="56" t="s">
        <v>666</v>
      </c>
      <c r="B81" s="56">
        <v>9</v>
      </c>
      <c r="C81" s="56">
        <v>54</v>
      </c>
      <c r="D81" s="56" t="s">
        <v>633</v>
      </c>
      <c r="E81" s="56">
        <v>1</v>
      </c>
      <c r="F81" s="278">
        <v>45742.661805555559</v>
      </c>
      <c r="G81" s="56">
        <v>1</v>
      </c>
      <c r="H81" s="56">
        <v>51.370800000000003</v>
      </c>
      <c r="I81" s="56">
        <v>9.1582399999999993</v>
      </c>
      <c r="J81" s="56">
        <v>0.56953600000000004</v>
      </c>
      <c r="K81" s="56">
        <v>1.8616919999999999</v>
      </c>
      <c r="L81" s="56">
        <v>999.15599999999995</v>
      </c>
      <c r="M81" s="56">
        <v>79.499560000000002</v>
      </c>
      <c r="N81" s="274">
        <v>10644.73</v>
      </c>
      <c r="O81" s="56">
        <v>10643.61</v>
      </c>
      <c r="P81" s="275">
        <v>2067.232</v>
      </c>
      <c r="Q81" s="275">
        <f t="shared" si="0"/>
        <v>2067.232</v>
      </c>
      <c r="R81" s="275" t="s">
        <v>584</v>
      </c>
      <c r="S81" s="275">
        <v>10</v>
      </c>
      <c r="T81" s="275">
        <v>5</v>
      </c>
      <c r="U81" s="275">
        <v>0.7</v>
      </c>
      <c r="V81" s="279">
        <v>0.7</v>
      </c>
      <c r="W81" s="275">
        <v>0.7</v>
      </c>
      <c r="X81" s="56">
        <v>2000</v>
      </c>
      <c r="Y81" s="56" t="s">
        <v>571</v>
      </c>
      <c r="Z81" s="56">
        <v>0.2</v>
      </c>
      <c r="AA81" s="56" t="s">
        <v>572</v>
      </c>
      <c r="AB81" s="56" t="s">
        <v>573</v>
      </c>
      <c r="AC81" s="56">
        <v>220</v>
      </c>
      <c r="AD81" s="277" t="s">
        <v>19</v>
      </c>
      <c r="AE81" s="277"/>
    </row>
    <row r="82" spans="1:31" ht="15.75" x14ac:dyDescent="0.25">
      <c r="A82" s="56" t="s">
        <v>667</v>
      </c>
      <c r="B82" s="56">
        <v>9</v>
      </c>
      <c r="C82" s="56">
        <v>54</v>
      </c>
      <c r="D82" s="56" t="s">
        <v>633</v>
      </c>
      <c r="E82" s="56">
        <v>1</v>
      </c>
      <c r="F82" s="278">
        <v>45742.664583333331</v>
      </c>
      <c r="G82" s="56">
        <v>1</v>
      </c>
      <c r="H82" s="56">
        <v>51.377400000000002</v>
      </c>
      <c r="I82" s="56">
        <v>9.2640999999999991</v>
      </c>
      <c r="J82" s="56">
        <v>0.61386200000000002</v>
      </c>
      <c r="K82" s="56">
        <v>1.8207469999999999</v>
      </c>
      <c r="L82" s="56">
        <v>1000.61</v>
      </c>
      <c r="M82" s="56">
        <v>72.001149999999996</v>
      </c>
      <c r="N82" s="274">
        <v>10611.08</v>
      </c>
      <c r="O82" s="56">
        <v>10643.61</v>
      </c>
      <c r="P82" s="275">
        <v>2067.232</v>
      </c>
      <c r="Q82" s="275">
        <f t="shared" si="0"/>
        <v>2067.232</v>
      </c>
      <c r="R82" s="275" t="s">
        <v>584</v>
      </c>
      <c r="S82" s="275">
        <v>10</v>
      </c>
      <c r="T82" s="275">
        <v>5</v>
      </c>
      <c r="U82" s="275">
        <v>0.7</v>
      </c>
      <c r="V82" s="279">
        <v>0.7</v>
      </c>
      <c r="W82" s="275">
        <v>0.7</v>
      </c>
      <c r="X82" s="56">
        <v>2000</v>
      </c>
      <c r="Y82" s="56" t="s">
        <v>571</v>
      </c>
      <c r="Z82" s="56">
        <v>0.2</v>
      </c>
      <c r="AA82" s="56" t="s">
        <v>572</v>
      </c>
      <c r="AB82" s="56" t="s">
        <v>573</v>
      </c>
      <c r="AC82" s="56">
        <v>220</v>
      </c>
      <c r="AD82" s="277" t="s">
        <v>19</v>
      </c>
      <c r="AE82" s="277"/>
    </row>
    <row r="83" spans="1:31" ht="15.75" x14ac:dyDescent="0.25">
      <c r="A83" s="56" t="s">
        <v>668</v>
      </c>
      <c r="B83" s="56">
        <v>9</v>
      </c>
      <c r="C83" s="56">
        <v>54</v>
      </c>
      <c r="D83" s="56" t="s">
        <v>633</v>
      </c>
      <c r="E83" s="56">
        <v>1</v>
      </c>
      <c r="F83" s="278">
        <v>45742.667361111111</v>
      </c>
      <c r="G83" s="56">
        <v>1</v>
      </c>
      <c r="H83" s="56">
        <v>51.377400000000002</v>
      </c>
      <c r="I83" s="56">
        <v>9.2152200000000004</v>
      </c>
      <c r="J83" s="56">
        <v>0.63737900000000003</v>
      </c>
      <c r="K83" s="56">
        <v>2.0758079999999999</v>
      </c>
      <c r="L83" s="56">
        <v>989.798</v>
      </c>
      <c r="M83" s="56">
        <v>79.999859999999998</v>
      </c>
      <c r="N83" s="274">
        <v>10642.55</v>
      </c>
      <c r="O83" s="56">
        <v>10643.61</v>
      </c>
      <c r="P83" s="275">
        <v>2067.232</v>
      </c>
      <c r="Q83" s="275">
        <f t="shared" si="0"/>
        <v>2067.232</v>
      </c>
      <c r="R83" s="275" t="s">
        <v>570</v>
      </c>
      <c r="S83" s="275">
        <v>10</v>
      </c>
      <c r="T83" s="275">
        <v>5</v>
      </c>
      <c r="U83" s="275">
        <v>0.7</v>
      </c>
      <c r="V83" s="279">
        <v>0.7</v>
      </c>
      <c r="W83" s="275">
        <v>0.7</v>
      </c>
      <c r="X83" s="56">
        <v>2000</v>
      </c>
      <c r="Y83" s="56" t="s">
        <v>571</v>
      </c>
      <c r="Z83" s="56">
        <v>0.2</v>
      </c>
      <c r="AA83" s="56" t="s">
        <v>572</v>
      </c>
      <c r="AB83" s="56" t="s">
        <v>573</v>
      </c>
      <c r="AC83" s="56">
        <v>220</v>
      </c>
      <c r="AD83" s="277" t="s">
        <v>19</v>
      </c>
      <c r="AE83" s="277"/>
    </row>
    <row r="84" spans="1:31" ht="15.75" x14ac:dyDescent="0.25">
      <c r="A84" s="56" t="s">
        <v>669</v>
      </c>
      <c r="B84" s="56">
        <v>9</v>
      </c>
      <c r="C84" s="56">
        <v>54</v>
      </c>
      <c r="D84" s="56" t="s">
        <v>633</v>
      </c>
      <c r="E84" s="56">
        <v>1</v>
      </c>
      <c r="F84" s="278">
        <v>45742.670138888891</v>
      </c>
      <c r="G84" s="56">
        <v>1</v>
      </c>
      <c r="H84" s="56">
        <v>51.377400000000002</v>
      </c>
      <c r="I84" s="56">
        <v>9.3747900000000008</v>
      </c>
      <c r="J84" s="56">
        <v>0.68176199999999998</v>
      </c>
      <c r="K84" s="56">
        <v>2.253879</v>
      </c>
      <c r="L84" s="56">
        <v>1026.79</v>
      </c>
      <c r="M84" s="56">
        <v>71.500150000000005</v>
      </c>
      <c r="N84" s="274">
        <v>10644.67</v>
      </c>
      <c r="O84" s="56">
        <v>10643.61</v>
      </c>
      <c r="P84" s="275">
        <v>2067.232</v>
      </c>
      <c r="Q84" s="275">
        <f t="shared" si="0"/>
        <v>2067.232</v>
      </c>
      <c r="R84" s="275" t="s">
        <v>570</v>
      </c>
      <c r="S84" s="275">
        <v>10</v>
      </c>
      <c r="T84" s="275">
        <v>5</v>
      </c>
      <c r="U84" s="275">
        <v>0.7</v>
      </c>
      <c r="V84" s="279">
        <v>0.7</v>
      </c>
      <c r="W84" s="275">
        <v>0.7</v>
      </c>
      <c r="X84" s="56">
        <v>2000</v>
      </c>
      <c r="Y84" s="56" t="s">
        <v>571</v>
      </c>
      <c r="Z84" s="56">
        <v>0.2</v>
      </c>
      <c r="AA84" s="56" t="s">
        <v>572</v>
      </c>
      <c r="AB84" s="56" t="s">
        <v>573</v>
      </c>
      <c r="AC84" s="56">
        <v>220</v>
      </c>
      <c r="AD84" s="277" t="s">
        <v>19</v>
      </c>
      <c r="AE84" s="277"/>
    </row>
    <row r="85" spans="1:31" ht="15.75" x14ac:dyDescent="0.25">
      <c r="A85" s="56" t="s">
        <v>670</v>
      </c>
      <c r="B85" s="56">
        <v>10</v>
      </c>
      <c r="C85" s="56">
        <v>41</v>
      </c>
      <c r="D85" s="56" t="s">
        <v>637</v>
      </c>
      <c r="E85" s="56">
        <v>1</v>
      </c>
      <c r="F85" s="278">
        <v>45742.673611111109</v>
      </c>
      <c r="G85" s="56">
        <v>1</v>
      </c>
      <c r="H85" s="56">
        <v>51.377400000000002</v>
      </c>
      <c r="I85" s="56">
        <v>9.2135999999999996</v>
      </c>
      <c r="J85" s="56">
        <v>0.77746599999999999</v>
      </c>
      <c r="K85" s="56">
        <v>1.7616099999999999</v>
      </c>
      <c r="L85" s="56">
        <v>1013.3</v>
      </c>
      <c r="M85" s="56">
        <v>79.499020000000002</v>
      </c>
      <c r="N85" s="274">
        <v>10706.87</v>
      </c>
      <c r="O85" s="56">
        <v>10704.81</v>
      </c>
      <c r="P85" s="275">
        <v>2078.9639999999999</v>
      </c>
      <c r="Q85" s="275">
        <f t="shared" si="0"/>
        <v>2078.9639999999999</v>
      </c>
      <c r="R85" s="275" t="s">
        <v>570</v>
      </c>
      <c r="S85" s="275">
        <v>10</v>
      </c>
      <c r="T85" s="275">
        <v>5</v>
      </c>
      <c r="U85" s="275">
        <v>0.7</v>
      </c>
      <c r="V85" s="279">
        <v>0.7</v>
      </c>
      <c r="W85" s="275">
        <v>0.7</v>
      </c>
      <c r="X85" s="56">
        <v>2000</v>
      </c>
      <c r="Y85" s="56" t="s">
        <v>571</v>
      </c>
      <c r="Z85" s="56">
        <v>0.2</v>
      </c>
      <c r="AA85" s="56" t="s">
        <v>572</v>
      </c>
      <c r="AB85" s="56" t="s">
        <v>573</v>
      </c>
      <c r="AC85" s="56">
        <v>220</v>
      </c>
      <c r="AD85" s="277" t="s">
        <v>19</v>
      </c>
      <c r="AE85" s="277"/>
    </row>
    <row r="86" spans="1:31" ht="15.75" x14ac:dyDescent="0.25">
      <c r="A86" s="56" t="s">
        <v>671</v>
      </c>
      <c r="B86" s="56">
        <v>10</v>
      </c>
      <c r="C86" s="56">
        <v>41</v>
      </c>
      <c r="D86" s="56" t="s">
        <v>637</v>
      </c>
      <c r="E86" s="56">
        <v>1</v>
      </c>
      <c r="F86" s="278">
        <v>45742.676388888889</v>
      </c>
      <c r="G86" s="56">
        <v>1</v>
      </c>
      <c r="H86" s="56">
        <v>51.374099999999999</v>
      </c>
      <c r="I86" s="56">
        <v>9.2743400000000005</v>
      </c>
      <c r="J86" s="56">
        <v>0.86227699999999996</v>
      </c>
      <c r="K86" s="56">
        <v>1.9343980000000001</v>
      </c>
      <c r="L86" s="56">
        <v>1010.69</v>
      </c>
      <c r="M86" s="56">
        <v>76.000460000000004</v>
      </c>
      <c r="N86" s="274">
        <v>10702.74</v>
      </c>
      <c r="O86" s="56">
        <v>10704.81</v>
      </c>
      <c r="P86" s="275">
        <v>2078.9639999999999</v>
      </c>
      <c r="Q86" s="275">
        <f t="shared" si="0"/>
        <v>2078.9639999999999</v>
      </c>
      <c r="R86" s="275" t="s">
        <v>570</v>
      </c>
      <c r="S86" s="275">
        <v>10</v>
      </c>
      <c r="T86" s="275">
        <v>5</v>
      </c>
      <c r="U86" s="275">
        <v>0.7</v>
      </c>
      <c r="V86" s="279">
        <v>0.7</v>
      </c>
      <c r="W86" s="275">
        <v>0.7</v>
      </c>
      <c r="X86" s="56">
        <v>2000</v>
      </c>
      <c r="Y86" s="56" t="s">
        <v>571</v>
      </c>
      <c r="Z86" s="56">
        <v>0.2</v>
      </c>
      <c r="AA86" s="56" t="s">
        <v>572</v>
      </c>
      <c r="AB86" s="56" t="s">
        <v>573</v>
      </c>
      <c r="AC86" s="56">
        <v>220</v>
      </c>
      <c r="AD86" s="277" t="s">
        <v>19</v>
      </c>
      <c r="AE86" s="277"/>
    </row>
    <row r="87" spans="1:31" ht="15.75" x14ac:dyDescent="0.25">
      <c r="A87" s="56" t="s">
        <v>672</v>
      </c>
      <c r="B87" s="56">
        <v>11</v>
      </c>
      <c r="C87" s="56" t="s">
        <v>531</v>
      </c>
      <c r="D87" s="56" t="s">
        <v>569</v>
      </c>
      <c r="E87" s="56">
        <v>1</v>
      </c>
      <c r="F87" s="278">
        <v>45742.679861111108</v>
      </c>
      <c r="G87" s="56">
        <v>1</v>
      </c>
      <c r="H87" s="56">
        <v>51.377400000000002</v>
      </c>
      <c r="I87" s="56">
        <v>9.0603099999999994</v>
      </c>
      <c r="J87" s="56">
        <v>0.89025299999999996</v>
      </c>
      <c r="K87" s="56">
        <v>1.918509</v>
      </c>
      <c r="L87" s="56">
        <v>1033.32</v>
      </c>
      <c r="M87" s="56">
        <v>72.998999999999995</v>
      </c>
      <c r="N87" s="274">
        <v>10797.89</v>
      </c>
      <c r="O87" s="56">
        <v>10761.04</v>
      </c>
      <c r="P87" s="275">
        <v>2089.7449999999999</v>
      </c>
      <c r="Q87" s="275">
        <f t="shared" si="0"/>
        <v>2089.7449999999999</v>
      </c>
      <c r="R87" s="275" t="s">
        <v>584</v>
      </c>
      <c r="S87" s="275">
        <v>10</v>
      </c>
      <c r="T87" s="275">
        <v>5</v>
      </c>
      <c r="U87" s="275">
        <v>0.7</v>
      </c>
      <c r="V87" s="279">
        <v>0.7</v>
      </c>
      <c r="W87" s="275">
        <v>0.7</v>
      </c>
      <c r="X87" s="56">
        <v>2000</v>
      </c>
      <c r="Y87" s="56" t="s">
        <v>571</v>
      </c>
      <c r="Z87" s="56">
        <v>0.2</v>
      </c>
      <c r="AA87" s="56" t="s">
        <v>572</v>
      </c>
      <c r="AB87" s="56" t="s">
        <v>573</v>
      </c>
      <c r="AC87" s="56">
        <v>220</v>
      </c>
      <c r="AD87" s="277" t="s">
        <v>19</v>
      </c>
      <c r="AE87" s="277"/>
    </row>
    <row r="88" spans="1:31" ht="15.75" x14ac:dyDescent="0.25">
      <c r="A88" s="56" t="s">
        <v>673</v>
      </c>
      <c r="B88" s="56">
        <v>11</v>
      </c>
      <c r="C88" s="56" t="s">
        <v>531</v>
      </c>
      <c r="D88" s="56" t="s">
        <v>569</v>
      </c>
      <c r="E88" s="56">
        <v>1</v>
      </c>
      <c r="F88" s="278">
        <v>45742.682638888888</v>
      </c>
      <c r="G88" s="56">
        <v>1</v>
      </c>
      <c r="H88" s="56">
        <v>51.377400000000002</v>
      </c>
      <c r="I88" s="56">
        <v>8.9621300000000002</v>
      </c>
      <c r="J88" s="56">
        <v>0.89773499999999995</v>
      </c>
      <c r="K88" s="56">
        <v>2.6868560000000001</v>
      </c>
      <c r="L88" s="56">
        <v>1007.69</v>
      </c>
      <c r="M88" s="56">
        <v>67.999880000000005</v>
      </c>
      <c r="N88" s="274">
        <v>10763.26</v>
      </c>
      <c r="O88" s="56">
        <v>10761.04</v>
      </c>
      <c r="P88" s="275">
        <v>2089.7449999999999</v>
      </c>
      <c r="Q88" s="275">
        <f t="shared" si="0"/>
        <v>2089.7449999999999</v>
      </c>
      <c r="R88" s="275" t="s">
        <v>584</v>
      </c>
      <c r="S88" s="275">
        <v>10</v>
      </c>
      <c r="T88" s="275">
        <v>5</v>
      </c>
      <c r="U88" s="275">
        <v>0.7</v>
      </c>
      <c r="V88" s="279">
        <v>0.7</v>
      </c>
      <c r="W88" s="275">
        <v>0.7</v>
      </c>
      <c r="X88" s="56">
        <v>2000</v>
      </c>
      <c r="Y88" s="56" t="s">
        <v>571</v>
      </c>
      <c r="Z88" s="56">
        <v>0.2</v>
      </c>
      <c r="AA88" s="56" t="s">
        <v>572</v>
      </c>
      <c r="AB88" s="56" t="s">
        <v>573</v>
      </c>
      <c r="AC88" s="56">
        <v>220</v>
      </c>
      <c r="AD88" s="277" t="s">
        <v>19</v>
      </c>
      <c r="AE88" s="277"/>
    </row>
    <row r="89" spans="1:31" ht="15.75" x14ac:dyDescent="0.25">
      <c r="A89" s="56" t="s">
        <v>674</v>
      </c>
      <c r="B89" s="56">
        <v>11</v>
      </c>
      <c r="C89" s="56" t="s">
        <v>531</v>
      </c>
      <c r="D89" s="56" t="s">
        <v>569</v>
      </c>
      <c r="E89" s="56">
        <v>1</v>
      </c>
      <c r="F89" s="278">
        <v>45742.685416666667</v>
      </c>
      <c r="G89" s="56">
        <v>1</v>
      </c>
      <c r="H89" s="56">
        <v>51.377400000000002</v>
      </c>
      <c r="I89" s="56">
        <v>9.0717099999999995</v>
      </c>
      <c r="J89" s="56">
        <v>0.91335599999999995</v>
      </c>
      <c r="K89" s="56">
        <v>1.657146</v>
      </c>
      <c r="L89" s="56">
        <v>1003.86</v>
      </c>
      <c r="M89" s="56">
        <v>93.501589999999993</v>
      </c>
      <c r="N89" s="274">
        <v>10812.09</v>
      </c>
      <c r="O89" s="56">
        <v>10761.04</v>
      </c>
      <c r="P89" s="275">
        <v>2089.7449999999999</v>
      </c>
      <c r="Q89" s="275">
        <f t="shared" si="0"/>
        <v>2089.7449999999999</v>
      </c>
      <c r="R89" s="275" t="s">
        <v>584</v>
      </c>
      <c r="S89" s="275">
        <v>10</v>
      </c>
      <c r="T89" s="275">
        <v>5</v>
      </c>
      <c r="U89" s="275">
        <v>0.7</v>
      </c>
      <c r="V89" s="279">
        <v>0.7</v>
      </c>
      <c r="W89" s="275">
        <v>0.7</v>
      </c>
      <c r="X89" s="56">
        <v>2000</v>
      </c>
      <c r="Y89" s="56" t="s">
        <v>571</v>
      </c>
      <c r="Z89" s="56">
        <v>0.2</v>
      </c>
      <c r="AA89" s="56" t="s">
        <v>572</v>
      </c>
      <c r="AB89" s="56" t="s">
        <v>573</v>
      </c>
      <c r="AC89" s="56">
        <v>220</v>
      </c>
      <c r="AD89" s="277" t="s">
        <v>19</v>
      </c>
      <c r="AE89" s="277"/>
    </row>
    <row r="90" spans="1:31" ht="15.75" x14ac:dyDescent="0.25">
      <c r="A90" s="280" t="s">
        <v>675</v>
      </c>
      <c r="B90" s="280">
        <v>11</v>
      </c>
      <c r="C90" s="280" t="s">
        <v>531</v>
      </c>
      <c r="D90" s="280" t="s">
        <v>569</v>
      </c>
      <c r="E90" s="280">
        <v>1</v>
      </c>
      <c r="F90" s="281">
        <v>45742.688888888886</v>
      </c>
      <c r="G90" s="280">
        <v>1</v>
      </c>
      <c r="H90" s="280">
        <v>51.377400000000002</v>
      </c>
      <c r="I90" s="280">
        <v>9.0555299999999992</v>
      </c>
      <c r="J90" s="280">
        <v>1.0134540000000001</v>
      </c>
      <c r="K90" s="280">
        <v>2.8773360000000001</v>
      </c>
      <c r="L90" s="280">
        <v>1013.77</v>
      </c>
      <c r="M90" s="280">
        <v>66.001059999999995</v>
      </c>
      <c r="N90" s="282">
        <v>10756.41</v>
      </c>
      <c r="O90" s="280">
        <v>10761.04</v>
      </c>
      <c r="P90" s="283">
        <v>2089.7449999999999</v>
      </c>
      <c r="Q90" s="275">
        <f t="shared" si="0"/>
        <v>2089.7449999999999</v>
      </c>
      <c r="R90" s="283" t="s">
        <v>570</v>
      </c>
      <c r="S90" s="275">
        <v>10</v>
      </c>
      <c r="T90" s="275">
        <v>5</v>
      </c>
      <c r="U90" s="275">
        <v>0.7</v>
      </c>
      <c r="V90" s="279">
        <v>0.7</v>
      </c>
      <c r="W90" s="275">
        <v>0.7</v>
      </c>
      <c r="X90" s="56">
        <v>2000</v>
      </c>
      <c r="Y90" s="56" t="s">
        <v>571</v>
      </c>
      <c r="Z90" s="56">
        <v>0.2</v>
      </c>
      <c r="AA90" s="56" t="s">
        <v>572</v>
      </c>
      <c r="AB90" s="56" t="s">
        <v>573</v>
      </c>
      <c r="AC90" s="56">
        <v>220</v>
      </c>
      <c r="AD90" s="277" t="s">
        <v>19</v>
      </c>
      <c r="AE90" s="277"/>
    </row>
    <row r="91" spans="1:31" ht="15.75" x14ac:dyDescent="0.25">
      <c r="A91" s="280" t="s">
        <v>676</v>
      </c>
      <c r="B91" s="280">
        <v>11</v>
      </c>
      <c r="C91" s="280" t="s">
        <v>531</v>
      </c>
      <c r="D91" s="280" t="s">
        <v>569</v>
      </c>
      <c r="E91" s="280">
        <v>1</v>
      </c>
      <c r="F91" s="281">
        <v>45742.691666666666</v>
      </c>
      <c r="G91" s="280">
        <v>1</v>
      </c>
      <c r="H91" s="280">
        <v>51.377400000000002</v>
      </c>
      <c r="I91" s="280">
        <v>9.13598</v>
      </c>
      <c r="J91" s="280">
        <v>1.0234080000000001</v>
      </c>
      <c r="K91" s="280">
        <v>2.7973129999999999</v>
      </c>
      <c r="L91" s="280">
        <v>1001.13</v>
      </c>
      <c r="M91" s="280">
        <v>70.999700000000004</v>
      </c>
      <c r="N91" s="282">
        <v>10765.67</v>
      </c>
      <c r="O91" s="280">
        <v>10761.04</v>
      </c>
      <c r="P91" s="283">
        <v>2089.7449999999999</v>
      </c>
      <c r="Q91" s="275">
        <f t="shared" si="0"/>
        <v>2089.7449999999999</v>
      </c>
      <c r="R91" s="283" t="s">
        <v>570</v>
      </c>
      <c r="S91" s="275">
        <v>10</v>
      </c>
      <c r="T91" s="275">
        <v>5</v>
      </c>
      <c r="U91" s="275">
        <v>0.7</v>
      </c>
      <c r="V91" s="279">
        <v>0.7</v>
      </c>
      <c r="W91" s="275">
        <v>0.7</v>
      </c>
      <c r="X91" s="56">
        <v>2000</v>
      </c>
      <c r="Y91" s="56" t="s">
        <v>571</v>
      </c>
      <c r="Z91" s="56">
        <v>0.2</v>
      </c>
      <c r="AA91" s="56" t="s">
        <v>572</v>
      </c>
      <c r="AB91" s="56" t="s">
        <v>573</v>
      </c>
      <c r="AC91" s="56">
        <v>220</v>
      </c>
      <c r="AD91" s="277" t="s">
        <v>19</v>
      </c>
      <c r="AE91" s="277"/>
    </row>
    <row r="92" spans="1:31" ht="15.75" x14ac:dyDescent="0.25">
      <c r="A92" s="56" t="s">
        <v>566</v>
      </c>
      <c r="B92" s="56" t="s">
        <v>567</v>
      </c>
      <c r="C92" s="56" t="s">
        <v>568</v>
      </c>
      <c r="D92" s="56" t="s">
        <v>569</v>
      </c>
      <c r="E92" s="56">
        <v>1</v>
      </c>
      <c r="F92" s="278">
        <v>45743.452777777777</v>
      </c>
      <c r="G92" s="56">
        <v>1</v>
      </c>
      <c r="H92" s="56">
        <v>51.370800000000003</v>
      </c>
      <c r="I92" s="56">
        <v>10.989599999999999</v>
      </c>
      <c r="J92" s="56">
        <v>2.1445940000000001</v>
      </c>
      <c r="K92" s="56">
        <v>3.8383989999999999</v>
      </c>
      <c r="L92" s="56">
        <v>949.63699999999994</v>
      </c>
      <c r="M92" s="56">
        <v>67.000969999999995</v>
      </c>
      <c r="N92" s="274">
        <v>10376.040000000001</v>
      </c>
      <c r="O92" s="56">
        <v>10376.040000000001</v>
      </c>
      <c r="P92" s="275">
        <v>2015.9369999999999</v>
      </c>
      <c r="Q92" s="275">
        <f t="shared" si="0"/>
        <v>2015.9369999999999</v>
      </c>
      <c r="R92" s="275" t="s">
        <v>570</v>
      </c>
      <c r="S92" s="275">
        <v>10</v>
      </c>
      <c r="T92" s="275">
        <v>5</v>
      </c>
      <c r="U92" s="275">
        <v>0.7</v>
      </c>
      <c r="V92" s="279">
        <v>0.7</v>
      </c>
      <c r="W92" s="275">
        <v>0.7</v>
      </c>
      <c r="X92" s="56">
        <v>2000</v>
      </c>
      <c r="Y92" s="56" t="s">
        <v>571</v>
      </c>
      <c r="Z92" s="56">
        <v>0.2</v>
      </c>
      <c r="AA92" s="56" t="s">
        <v>572</v>
      </c>
      <c r="AB92" s="56" t="s">
        <v>573</v>
      </c>
      <c r="AC92" s="56">
        <v>220</v>
      </c>
      <c r="AD92" s="277" t="s">
        <v>19</v>
      </c>
      <c r="AE92" s="277"/>
    </row>
    <row r="93" spans="1:31" ht="15.75" x14ac:dyDescent="0.25">
      <c r="A93" s="56" t="s">
        <v>574</v>
      </c>
      <c r="B93" s="56" t="s">
        <v>567</v>
      </c>
      <c r="C93" s="56" t="s">
        <v>568</v>
      </c>
      <c r="D93" s="56" t="s">
        <v>569</v>
      </c>
      <c r="E93" s="56">
        <v>1</v>
      </c>
      <c r="F93" s="278">
        <v>45743.455555555556</v>
      </c>
      <c r="G93" s="56">
        <v>1</v>
      </c>
      <c r="H93" s="56">
        <v>51.374099999999999</v>
      </c>
      <c r="I93" s="56">
        <v>9.9975400000000008</v>
      </c>
      <c r="J93" s="56">
        <v>2.0078309999999999</v>
      </c>
      <c r="K93" s="56">
        <v>2.9746640000000002</v>
      </c>
      <c r="L93" s="56">
        <v>938.48800000000006</v>
      </c>
      <c r="M93" s="56">
        <v>79.500299999999996</v>
      </c>
      <c r="N93" s="274">
        <v>10372.32</v>
      </c>
      <c r="O93" s="56">
        <v>10372.32</v>
      </c>
      <c r="P93" s="275">
        <v>2015.2239999999999</v>
      </c>
      <c r="Q93" s="275">
        <f t="shared" si="0"/>
        <v>2015.2239999999999</v>
      </c>
      <c r="R93" s="275" t="s">
        <v>570</v>
      </c>
      <c r="S93" s="275">
        <v>10</v>
      </c>
      <c r="T93" s="275">
        <v>5</v>
      </c>
      <c r="U93" s="275">
        <v>0.7</v>
      </c>
      <c r="V93" s="279">
        <v>0.7</v>
      </c>
      <c r="W93" s="275">
        <v>0.7</v>
      </c>
      <c r="X93" s="56">
        <v>2000</v>
      </c>
      <c r="Y93" s="56" t="s">
        <v>571</v>
      </c>
      <c r="Z93" s="56">
        <v>0.2</v>
      </c>
      <c r="AA93" s="56" t="s">
        <v>572</v>
      </c>
      <c r="AB93" s="56" t="s">
        <v>573</v>
      </c>
      <c r="AC93" s="56">
        <v>220</v>
      </c>
      <c r="AD93" s="277" t="s">
        <v>19</v>
      </c>
      <c r="AE93" s="277"/>
    </row>
    <row r="94" spans="1:31" ht="15.75" x14ac:dyDescent="0.25">
      <c r="A94" s="56" t="s">
        <v>575</v>
      </c>
      <c r="B94" s="56" t="s">
        <v>567</v>
      </c>
      <c r="C94" s="56" t="s">
        <v>568</v>
      </c>
      <c r="D94" s="56" t="s">
        <v>569</v>
      </c>
      <c r="E94" s="56">
        <v>1</v>
      </c>
      <c r="F94" s="278">
        <v>45743.458333333336</v>
      </c>
      <c r="G94" s="56">
        <v>1</v>
      </c>
      <c r="H94" s="56">
        <v>51.374099999999999</v>
      </c>
      <c r="I94" s="56">
        <v>9.6099300000000003</v>
      </c>
      <c r="J94" s="56">
        <v>2.006329</v>
      </c>
      <c r="K94" s="56">
        <v>3.3238460000000001</v>
      </c>
      <c r="L94" s="56">
        <v>950.74300000000005</v>
      </c>
      <c r="M94" s="56">
        <v>72.000010000000003</v>
      </c>
      <c r="N94" s="274">
        <v>10367.299999999999</v>
      </c>
      <c r="O94" s="56">
        <v>10367.299999999999</v>
      </c>
      <c r="P94" s="275">
        <v>2014.261</v>
      </c>
      <c r="Q94" s="275">
        <f t="shared" si="0"/>
        <v>2014.261</v>
      </c>
      <c r="R94" s="275" t="s">
        <v>570</v>
      </c>
      <c r="S94" s="275">
        <v>10</v>
      </c>
      <c r="T94" s="275">
        <v>5</v>
      </c>
      <c r="U94" s="275">
        <v>0.7</v>
      </c>
      <c r="V94" s="279">
        <v>0.7</v>
      </c>
      <c r="W94" s="275">
        <v>0.7</v>
      </c>
      <c r="X94" s="56">
        <v>2000</v>
      </c>
      <c r="Y94" s="56" t="s">
        <v>571</v>
      </c>
      <c r="Z94" s="56">
        <v>0.2</v>
      </c>
      <c r="AA94" s="56" t="s">
        <v>572</v>
      </c>
      <c r="AB94" s="56" t="s">
        <v>573</v>
      </c>
      <c r="AC94" s="56">
        <v>220</v>
      </c>
      <c r="AD94" s="277" t="s">
        <v>19</v>
      </c>
      <c r="AE94" s="277"/>
    </row>
    <row r="95" spans="1:31" ht="15.75" x14ac:dyDescent="0.25">
      <c r="A95" s="56" t="s">
        <v>677</v>
      </c>
      <c r="B95" s="56" t="s">
        <v>583</v>
      </c>
      <c r="C95" s="56" t="s">
        <v>532</v>
      </c>
      <c r="D95" s="56" t="s">
        <v>569</v>
      </c>
      <c r="E95" s="56">
        <v>0.8</v>
      </c>
      <c r="F95" s="278">
        <v>45743.46597222222</v>
      </c>
      <c r="G95" s="56">
        <v>1</v>
      </c>
      <c r="H95" s="56">
        <v>51.374099999999999</v>
      </c>
      <c r="I95" s="56">
        <v>9.4557900000000004</v>
      </c>
      <c r="J95" s="56">
        <v>2.010955</v>
      </c>
      <c r="K95" s="56">
        <v>3.38625</v>
      </c>
      <c r="L95" s="56">
        <v>953.29600000000005</v>
      </c>
      <c r="M95" s="56">
        <v>63.00197</v>
      </c>
      <c r="N95" s="274">
        <v>8473.82</v>
      </c>
      <c r="O95" s="56">
        <v>8607.6820000000007</v>
      </c>
      <c r="P95" s="275">
        <v>2091.86</v>
      </c>
      <c r="Q95" s="275">
        <f t="shared" si="0"/>
        <v>2091.86</v>
      </c>
      <c r="R95" s="275" t="s">
        <v>584</v>
      </c>
      <c r="S95" s="275">
        <v>10</v>
      </c>
      <c r="T95" s="275">
        <v>5</v>
      </c>
      <c r="U95" s="275">
        <v>0.7</v>
      </c>
      <c r="V95" s="279">
        <v>0.7</v>
      </c>
      <c r="W95" s="275">
        <v>0.7</v>
      </c>
      <c r="X95" s="56">
        <v>2000</v>
      </c>
      <c r="Y95" s="56" t="s">
        <v>571</v>
      </c>
      <c r="Z95" s="56">
        <v>0.2</v>
      </c>
      <c r="AA95" s="56" t="s">
        <v>572</v>
      </c>
      <c r="AB95" s="56" t="s">
        <v>573</v>
      </c>
      <c r="AC95" s="56">
        <v>220</v>
      </c>
      <c r="AD95" s="277" t="s">
        <v>19</v>
      </c>
      <c r="AE95" s="277"/>
    </row>
    <row r="96" spans="1:31" ht="15.75" x14ac:dyDescent="0.25">
      <c r="A96" s="56" t="s">
        <v>678</v>
      </c>
      <c r="B96" s="56" t="s">
        <v>583</v>
      </c>
      <c r="C96" s="56" t="s">
        <v>532</v>
      </c>
      <c r="D96" s="56" t="s">
        <v>569</v>
      </c>
      <c r="E96" s="56">
        <v>0.8</v>
      </c>
      <c r="F96" s="278">
        <v>45743.46875</v>
      </c>
      <c r="G96" s="56">
        <v>1</v>
      </c>
      <c r="H96" s="56">
        <v>51.374099999999999</v>
      </c>
      <c r="I96" s="56">
        <v>9.5059799999999992</v>
      </c>
      <c r="J96" s="56">
        <v>1.979706</v>
      </c>
      <c r="K96" s="56">
        <v>3.0937459999999999</v>
      </c>
      <c r="L96" s="56">
        <v>963.65200000000004</v>
      </c>
      <c r="M96" s="56">
        <v>67.998819999999995</v>
      </c>
      <c r="N96" s="274">
        <v>8608.59</v>
      </c>
      <c r="O96" s="56">
        <v>8607.6820000000007</v>
      </c>
      <c r="P96" s="275">
        <v>2091.86</v>
      </c>
      <c r="Q96" s="275">
        <f t="shared" si="0"/>
        <v>2091.86</v>
      </c>
      <c r="R96" s="275" t="s">
        <v>570</v>
      </c>
      <c r="S96" s="275">
        <v>10</v>
      </c>
      <c r="T96" s="275">
        <v>5</v>
      </c>
      <c r="U96" s="275">
        <v>0.7</v>
      </c>
      <c r="V96" s="279">
        <v>0.7</v>
      </c>
      <c r="W96" s="275">
        <v>0.7</v>
      </c>
      <c r="X96" s="56">
        <v>2000</v>
      </c>
      <c r="Y96" s="56" t="s">
        <v>571</v>
      </c>
      <c r="Z96" s="56">
        <v>0.2</v>
      </c>
      <c r="AA96" s="56" t="s">
        <v>572</v>
      </c>
      <c r="AB96" s="56" t="s">
        <v>573</v>
      </c>
      <c r="AC96" s="56">
        <v>220</v>
      </c>
      <c r="AD96" s="277" t="s">
        <v>19</v>
      </c>
      <c r="AE96" s="277"/>
    </row>
    <row r="97" spans="1:31" ht="15.75" x14ac:dyDescent="0.25">
      <c r="A97" s="56" t="s">
        <v>679</v>
      </c>
      <c r="B97" s="56" t="s">
        <v>583</v>
      </c>
      <c r="C97" s="56" t="s">
        <v>532</v>
      </c>
      <c r="D97" s="56" t="s">
        <v>569</v>
      </c>
      <c r="E97" s="56">
        <v>0.8</v>
      </c>
      <c r="F97" s="278">
        <v>45743.47152777778</v>
      </c>
      <c r="G97" s="56">
        <v>1</v>
      </c>
      <c r="H97" s="56">
        <v>51.374099999999999</v>
      </c>
      <c r="I97" s="56">
        <v>9.4396599999999999</v>
      </c>
      <c r="J97" s="56">
        <v>2.072263</v>
      </c>
      <c r="K97" s="56">
        <v>3.2605119999999999</v>
      </c>
      <c r="L97" s="56">
        <v>982.27499999999998</v>
      </c>
      <c r="M97" s="56">
        <v>73.500450000000001</v>
      </c>
      <c r="N97" s="274">
        <v>8606.7749999999996</v>
      </c>
      <c r="O97" s="56">
        <v>8607.6820000000007</v>
      </c>
      <c r="P97" s="275">
        <v>2091.86</v>
      </c>
      <c r="Q97" s="275">
        <f t="shared" si="0"/>
        <v>2091.86</v>
      </c>
      <c r="R97" s="275" t="s">
        <v>570</v>
      </c>
      <c r="S97" s="275">
        <v>10</v>
      </c>
      <c r="T97" s="275">
        <v>5</v>
      </c>
      <c r="U97" s="275">
        <v>0.7</v>
      </c>
      <c r="V97" s="279">
        <v>0.7</v>
      </c>
      <c r="W97" s="275">
        <v>0.7</v>
      </c>
      <c r="X97" s="56">
        <v>2000</v>
      </c>
      <c r="Y97" s="56" t="s">
        <v>571</v>
      </c>
      <c r="Z97" s="56">
        <v>0.2</v>
      </c>
      <c r="AA97" s="56" t="s">
        <v>572</v>
      </c>
      <c r="AB97" s="56" t="s">
        <v>573</v>
      </c>
      <c r="AC97" s="56">
        <v>220</v>
      </c>
      <c r="AD97" s="277" t="s">
        <v>19</v>
      </c>
      <c r="AE97" s="277"/>
    </row>
    <row r="98" spans="1:31" ht="15.75" x14ac:dyDescent="0.25">
      <c r="A98" s="56" t="s">
        <v>680</v>
      </c>
      <c r="B98" s="56" t="s">
        <v>589</v>
      </c>
      <c r="C98" s="56" t="s">
        <v>532</v>
      </c>
      <c r="D98" s="56" t="s">
        <v>569</v>
      </c>
      <c r="E98" s="56">
        <v>1</v>
      </c>
      <c r="F98" s="278">
        <v>45743.474305555559</v>
      </c>
      <c r="G98" s="56">
        <v>1</v>
      </c>
      <c r="H98" s="56">
        <v>51.377400000000002</v>
      </c>
      <c r="I98" s="56">
        <v>9.4212500000000006</v>
      </c>
      <c r="J98" s="56">
        <v>2.0398040000000002</v>
      </c>
      <c r="K98" s="56">
        <v>3.8084159999999998</v>
      </c>
      <c r="L98" s="56">
        <v>1029.82</v>
      </c>
      <c r="M98" s="56">
        <v>63.000480000000003</v>
      </c>
      <c r="N98" s="274">
        <v>10762.03</v>
      </c>
      <c r="O98" s="56">
        <v>0</v>
      </c>
      <c r="P98" s="275">
        <v>2091.86</v>
      </c>
      <c r="Q98" s="275">
        <f t="shared" si="0"/>
        <v>2091.86</v>
      </c>
      <c r="R98" s="275" t="s">
        <v>609</v>
      </c>
      <c r="S98" s="275">
        <v>10</v>
      </c>
      <c r="T98" s="275">
        <v>5</v>
      </c>
      <c r="U98" s="275">
        <v>0.7</v>
      </c>
      <c r="V98" s="279">
        <v>0.7</v>
      </c>
      <c r="W98" s="275">
        <v>0.7</v>
      </c>
      <c r="X98" s="56">
        <v>2000</v>
      </c>
      <c r="Y98" s="56" t="s">
        <v>571</v>
      </c>
      <c r="Z98" s="56">
        <v>0.2</v>
      </c>
      <c r="AA98" s="56" t="s">
        <v>572</v>
      </c>
      <c r="AB98" s="56" t="s">
        <v>573</v>
      </c>
      <c r="AC98" s="56">
        <v>220</v>
      </c>
      <c r="AD98" s="277" t="s">
        <v>610</v>
      </c>
      <c r="AE98" s="277"/>
    </row>
    <row r="99" spans="1:31" ht="15.75" x14ac:dyDescent="0.25">
      <c r="A99" s="56" t="s">
        <v>681</v>
      </c>
      <c r="B99" s="56" t="s">
        <v>589</v>
      </c>
      <c r="C99" s="56" t="s">
        <v>532</v>
      </c>
      <c r="D99" s="56" t="s">
        <v>569</v>
      </c>
      <c r="E99" s="56">
        <v>1</v>
      </c>
      <c r="F99" s="284">
        <v>45743.477083333331</v>
      </c>
      <c r="G99" s="56">
        <v>1</v>
      </c>
      <c r="H99" s="56">
        <v>51.374099999999999</v>
      </c>
      <c r="I99" s="56">
        <v>9.4134200000000003</v>
      </c>
      <c r="J99" s="56">
        <v>2.2095859999999998</v>
      </c>
      <c r="K99" s="56">
        <v>3.265282</v>
      </c>
      <c r="L99" s="56">
        <v>1019.68</v>
      </c>
      <c r="M99" s="56">
        <v>78.500439999999998</v>
      </c>
      <c r="N99" s="274">
        <v>10812.5</v>
      </c>
      <c r="O99" s="56">
        <v>0</v>
      </c>
      <c r="P99" s="275">
        <v>2091.86</v>
      </c>
      <c r="Q99" s="275">
        <f t="shared" si="0"/>
        <v>2091.86</v>
      </c>
      <c r="R99" s="275" t="s">
        <v>609</v>
      </c>
      <c r="S99" s="275">
        <v>10</v>
      </c>
      <c r="T99" s="275">
        <v>5</v>
      </c>
      <c r="U99" s="275">
        <v>0.7</v>
      </c>
      <c r="V99" s="279">
        <v>0.7</v>
      </c>
      <c r="W99" s="275">
        <v>0.7</v>
      </c>
      <c r="X99" s="56">
        <v>2000</v>
      </c>
      <c r="Y99" s="56" t="s">
        <v>571</v>
      </c>
      <c r="Z99" s="56">
        <v>0.2</v>
      </c>
      <c r="AA99" s="56" t="s">
        <v>572</v>
      </c>
      <c r="AB99" s="56" t="s">
        <v>573</v>
      </c>
      <c r="AC99" s="56">
        <v>220</v>
      </c>
      <c r="AD99" s="277" t="s">
        <v>610</v>
      </c>
      <c r="AE99" s="277"/>
    </row>
    <row r="100" spans="1:31" ht="15.75" x14ac:dyDescent="0.25">
      <c r="A100" s="56" t="s">
        <v>682</v>
      </c>
      <c r="B100" s="56" t="s">
        <v>589</v>
      </c>
      <c r="C100" s="56" t="s">
        <v>532</v>
      </c>
      <c r="D100" s="56" t="s">
        <v>569</v>
      </c>
      <c r="E100" s="56">
        <v>1</v>
      </c>
      <c r="F100" s="278">
        <v>45743.479861111111</v>
      </c>
      <c r="G100" s="56">
        <v>1</v>
      </c>
      <c r="H100" s="56">
        <v>51.377400000000002</v>
      </c>
      <c r="I100" s="56">
        <v>9.5227199999999996</v>
      </c>
      <c r="J100" s="56">
        <v>2.104517</v>
      </c>
      <c r="K100" s="56">
        <v>4.1464889999999999</v>
      </c>
      <c r="L100" s="56">
        <v>1023.83</v>
      </c>
      <c r="M100" s="56">
        <v>63.000230000000002</v>
      </c>
      <c r="N100" s="274">
        <v>10781.62</v>
      </c>
      <c r="O100" s="275">
        <v>0</v>
      </c>
      <c r="P100" s="275">
        <v>2091.86</v>
      </c>
      <c r="Q100" s="275">
        <f t="shared" si="0"/>
        <v>2091.86</v>
      </c>
      <c r="R100" s="275" t="s">
        <v>609</v>
      </c>
      <c r="S100" s="275">
        <v>10</v>
      </c>
      <c r="T100" s="275">
        <v>5</v>
      </c>
      <c r="U100" s="275">
        <v>0.7</v>
      </c>
      <c r="V100" s="275">
        <v>0.7</v>
      </c>
      <c r="W100" s="275">
        <v>0.7</v>
      </c>
      <c r="X100" s="56">
        <v>2000</v>
      </c>
      <c r="Y100" s="56" t="s">
        <v>571</v>
      </c>
      <c r="Z100" s="56">
        <v>0.2</v>
      </c>
      <c r="AA100" s="56" t="s">
        <v>572</v>
      </c>
      <c r="AB100" s="56" t="s">
        <v>573</v>
      </c>
      <c r="AC100" s="56">
        <v>220</v>
      </c>
      <c r="AD100" s="277" t="s">
        <v>610</v>
      </c>
      <c r="AE100" s="277"/>
    </row>
    <row r="101" spans="1:31" ht="15.75" x14ac:dyDescent="0.25">
      <c r="A101" s="56" t="s">
        <v>683</v>
      </c>
      <c r="B101" s="56" t="s">
        <v>589</v>
      </c>
      <c r="C101" s="56" t="s">
        <v>532</v>
      </c>
      <c r="D101" s="56" t="s">
        <v>569</v>
      </c>
      <c r="E101" s="56">
        <v>1</v>
      </c>
      <c r="F101" s="278">
        <v>45743.482638888891</v>
      </c>
      <c r="G101" s="56">
        <v>1</v>
      </c>
      <c r="H101" s="56">
        <v>51.377400000000002</v>
      </c>
      <c r="I101" s="56">
        <v>9.26891</v>
      </c>
      <c r="J101" s="56">
        <v>2.2293029999999998</v>
      </c>
      <c r="K101" s="56">
        <v>2.9742489999999999</v>
      </c>
      <c r="L101" s="56">
        <v>1038.69</v>
      </c>
      <c r="M101" s="56">
        <v>90.499579999999995</v>
      </c>
      <c r="N101" s="274">
        <v>10837.89</v>
      </c>
      <c r="O101" s="275">
        <v>0</v>
      </c>
      <c r="P101" s="275">
        <v>2091.86</v>
      </c>
      <c r="Q101" s="275">
        <f t="shared" si="0"/>
        <v>2091.86</v>
      </c>
      <c r="R101" s="275" t="s">
        <v>609</v>
      </c>
      <c r="S101" s="275">
        <v>10</v>
      </c>
      <c r="T101" s="275">
        <v>5</v>
      </c>
      <c r="U101" s="275">
        <v>0.7</v>
      </c>
      <c r="V101" s="275">
        <v>0.7</v>
      </c>
      <c r="W101" s="275">
        <v>0.7</v>
      </c>
      <c r="X101" s="56">
        <v>2000</v>
      </c>
      <c r="Y101" s="56" t="s">
        <v>571</v>
      </c>
      <c r="Z101" s="56">
        <v>0.2</v>
      </c>
      <c r="AA101" s="56" t="s">
        <v>572</v>
      </c>
      <c r="AB101" s="56" t="s">
        <v>573</v>
      </c>
      <c r="AC101" s="56">
        <v>220</v>
      </c>
      <c r="AD101" s="277" t="s">
        <v>610</v>
      </c>
      <c r="AE101" s="277"/>
    </row>
    <row r="102" spans="1:31" ht="15.75" x14ac:dyDescent="0.25">
      <c r="A102" s="56" t="s">
        <v>684</v>
      </c>
      <c r="B102" s="56" t="s">
        <v>589</v>
      </c>
      <c r="C102" s="56" t="s">
        <v>532</v>
      </c>
      <c r="D102" s="56" t="s">
        <v>569</v>
      </c>
      <c r="E102" s="56">
        <v>1</v>
      </c>
      <c r="F102" s="278">
        <v>45743.486111111109</v>
      </c>
      <c r="G102" s="56">
        <v>1</v>
      </c>
      <c r="H102" s="56">
        <v>51.370800000000003</v>
      </c>
      <c r="I102" s="56">
        <v>9.3834300000000006</v>
      </c>
      <c r="J102" s="56">
        <v>2.0512329999999999</v>
      </c>
      <c r="K102" s="56">
        <v>3.7707869999999999</v>
      </c>
      <c r="L102" s="56">
        <v>1016.92</v>
      </c>
      <c r="M102" s="56">
        <v>67.500870000000006</v>
      </c>
      <c r="N102" s="274">
        <v>10803.43</v>
      </c>
      <c r="O102" s="275">
        <v>0</v>
      </c>
      <c r="P102" s="275">
        <v>2091.86</v>
      </c>
      <c r="Q102" s="275">
        <f t="shared" si="0"/>
        <v>2091.86</v>
      </c>
      <c r="R102" s="275" t="s">
        <v>609</v>
      </c>
      <c r="S102" s="275">
        <v>10</v>
      </c>
      <c r="T102" s="275">
        <v>5</v>
      </c>
      <c r="U102" s="275">
        <v>0.7</v>
      </c>
      <c r="V102" s="275">
        <v>0.7</v>
      </c>
      <c r="W102" s="275">
        <v>0.7</v>
      </c>
      <c r="X102" s="56">
        <v>2000</v>
      </c>
      <c r="Y102" s="56" t="s">
        <v>571</v>
      </c>
      <c r="Z102" s="56">
        <v>0.2</v>
      </c>
      <c r="AA102" s="56" t="s">
        <v>572</v>
      </c>
      <c r="AB102" s="56" t="s">
        <v>573</v>
      </c>
      <c r="AC102" s="56">
        <v>220</v>
      </c>
      <c r="AD102" s="277" t="s">
        <v>610</v>
      </c>
      <c r="AE102" s="277"/>
    </row>
    <row r="103" spans="1:31" ht="15.75" x14ac:dyDescent="0.25">
      <c r="A103" s="56" t="s">
        <v>685</v>
      </c>
      <c r="B103" s="56" t="s">
        <v>589</v>
      </c>
      <c r="C103" s="56" t="s">
        <v>532</v>
      </c>
      <c r="D103" s="56" t="s">
        <v>569</v>
      </c>
      <c r="E103" s="56">
        <v>1</v>
      </c>
      <c r="F103" s="278">
        <v>45743.488888888889</v>
      </c>
      <c r="G103" s="56">
        <v>2</v>
      </c>
      <c r="H103" s="56">
        <v>51.370800000000003</v>
      </c>
      <c r="I103" s="56">
        <v>9.5377600000000005</v>
      </c>
      <c r="J103" s="56">
        <v>2.3624809999999998</v>
      </c>
      <c r="K103" s="56">
        <v>3.7046079999999999</v>
      </c>
      <c r="L103" s="56">
        <v>1025.1199999999999</v>
      </c>
      <c r="M103" s="56">
        <v>69.499780000000001</v>
      </c>
      <c r="N103" s="274">
        <v>10809.71</v>
      </c>
      <c r="O103" s="275">
        <v>10799.55</v>
      </c>
      <c r="P103" s="275">
        <v>2091.86</v>
      </c>
      <c r="Q103" s="275">
        <f t="shared" si="0"/>
        <v>2091.86</v>
      </c>
      <c r="R103" s="275" t="s">
        <v>570</v>
      </c>
      <c r="S103" s="275">
        <v>10</v>
      </c>
      <c r="T103" s="275">
        <v>5</v>
      </c>
      <c r="U103" s="275">
        <v>0.7</v>
      </c>
      <c r="V103" s="275">
        <v>0.7</v>
      </c>
      <c r="W103" s="275">
        <v>0.7</v>
      </c>
      <c r="X103" s="56">
        <v>2000</v>
      </c>
      <c r="Y103" s="56" t="s">
        <v>571</v>
      </c>
      <c r="Z103" s="56">
        <v>0.2</v>
      </c>
      <c r="AA103" s="56" t="s">
        <v>572</v>
      </c>
      <c r="AB103" s="56" t="s">
        <v>573</v>
      </c>
      <c r="AC103" s="56">
        <v>220</v>
      </c>
      <c r="AD103" s="277" t="s">
        <v>19</v>
      </c>
      <c r="AE103" s="277"/>
    </row>
    <row r="104" spans="1:31" ht="15.75" x14ac:dyDescent="0.25">
      <c r="A104" s="56" t="s">
        <v>686</v>
      </c>
      <c r="B104" s="56" t="s">
        <v>589</v>
      </c>
      <c r="C104" s="56" t="s">
        <v>532</v>
      </c>
      <c r="D104" s="56" t="s">
        <v>569</v>
      </c>
      <c r="E104" s="56">
        <v>1</v>
      </c>
      <c r="F104" s="278">
        <v>45743.491666666669</v>
      </c>
      <c r="G104" s="56">
        <v>2</v>
      </c>
      <c r="H104" s="56">
        <v>51.374099999999999</v>
      </c>
      <c r="I104" s="56">
        <v>9.59572</v>
      </c>
      <c r="J104" s="56">
        <v>2.4700530000000001</v>
      </c>
      <c r="K104" s="56">
        <v>4.3878300000000001</v>
      </c>
      <c r="L104" s="56">
        <v>1036.5999999999999</v>
      </c>
      <c r="M104" s="56">
        <v>65.499809999999997</v>
      </c>
      <c r="N104" s="274">
        <v>10789.38</v>
      </c>
      <c r="O104" s="275">
        <v>10799.55</v>
      </c>
      <c r="P104" s="275">
        <v>2091.86</v>
      </c>
      <c r="Q104" s="275">
        <f t="shared" si="0"/>
        <v>2091.86</v>
      </c>
      <c r="R104" s="275" t="s">
        <v>570</v>
      </c>
      <c r="S104" s="275">
        <v>10</v>
      </c>
      <c r="T104" s="275">
        <v>5</v>
      </c>
      <c r="U104" s="275">
        <v>0.7</v>
      </c>
      <c r="V104" s="275">
        <v>0.7</v>
      </c>
      <c r="W104" s="275">
        <v>0.7</v>
      </c>
      <c r="X104" s="56">
        <v>2000</v>
      </c>
      <c r="Y104" s="56" t="s">
        <v>571</v>
      </c>
      <c r="Z104" s="56">
        <v>0.2</v>
      </c>
      <c r="AA104" s="56" t="s">
        <v>572</v>
      </c>
      <c r="AB104" s="56" t="s">
        <v>573</v>
      </c>
      <c r="AC104" s="56">
        <v>220</v>
      </c>
      <c r="AD104" s="277" t="s">
        <v>19</v>
      </c>
      <c r="AE104" s="277"/>
    </row>
    <row r="105" spans="1:31" ht="15.75" x14ac:dyDescent="0.25">
      <c r="A105" s="56" t="s">
        <v>687</v>
      </c>
      <c r="B105" s="56" t="s">
        <v>594</v>
      </c>
      <c r="C105" s="56" t="s">
        <v>532</v>
      </c>
      <c r="D105" s="56" t="s">
        <v>569</v>
      </c>
      <c r="E105" s="56">
        <v>1.2</v>
      </c>
      <c r="F105" s="278">
        <v>45743.494444444441</v>
      </c>
      <c r="G105" s="56">
        <v>1</v>
      </c>
      <c r="H105" s="56">
        <v>51.374099999999999</v>
      </c>
      <c r="I105" s="56">
        <v>9.57559</v>
      </c>
      <c r="J105" s="56">
        <v>2.2858540000000001</v>
      </c>
      <c r="K105" s="56">
        <v>3.6937000000000002</v>
      </c>
      <c r="L105" s="56">
        <v>1055.3900000000001</v>
      </c>
      <c r="M105" s="56">
        <v>77.000699999999995</v>
      </c>
      <c r="N105" s="274">
        <v>13011.22</v>
      </c>
      <c r="O105" s="275">
        <v>12999.91</v>
      </c>
      <c r="P105" s="275">
        <v>2091.86</v>
      </c>
      <c r="Q105" s="275">
        <f t="shared" si="0"/>
        <v>2091.86</v>
      </c>
      <c r="R105" s="275" t="s">
        <v>570</v>
      </c>
      <c r="S105" s="275">
        <v>10</v>
      </c>
      <c r="T105" s="275">
        <v>5</v>
      </c>
      <c r="U105" s="275">
        <v>0.7</v>
      </c>
      <c r="V105" s="275">
        <v>0.7</v>
      </c>
      <c r="W105" s="275">
        <v>0.7</v>
      </c>
      <c r="X105" s="56">
        <v>2000</v>
      </c>
      <c r="Y105" s="56" t="s">
        <v>571</v>
      </c>
      <c r="Z105" s="56">
        <v>0.2</v>
      </c>
      <c r="AA105" s="56" t="s">
        <v>572</v>
      </c>
      <c r="AB105" s="56" t="s">
        <v>573</v>
      </c>
      <c r="AC105" s="56">
        <v>220</v>
      </c>
      <c r="AD105" s="277" t="s">
        <v>19</v>
      </c>
      <c r="AE105" s="277"/>
    </row>
    <row r="106" spans="1:31" ht="15.75" x14ac:dyDescent="0.25">
      <c r="A106" s="56" t="s">
        <v>688</v>
      </c>
      <c r="B106" s="56" t="s">
        <v>594</v>
      </c>
      <c r="C106" s="56" t="s">
        <v>532</v>
      </c>
      <c r="D106" s="56" t="s">
        <v>569</v>
      </c>
      <c r="E106" s="56">
        <v>1.2</v>
      </c>
      <c r="F106" s="278">
        <v>45743.49722222222</v>
      </c>
      <c r="G106" s="56">
        <v>1</v>
      </c>
      <c r="H106" s="56">
        <v>51.370800000000003</v>
      </c>
      <c r="I106" s="56">
        <v>9.6023700000000005</v>
      </c>
      <c r="J106" s="56">
        <v>2.372252</v>
      </c>
      <c r="K106" s="56">
        <v>3.9454910000000001</v>
      </c>
      <c r="L106" s="56">
        <v>1057.77</v>
      </c>
      <c r="M106" s="56">
        <v>71.999930000000006</v>
      </c>
      <c r="N106" s="274">
        <v>12988.6</v>
      </c>
      <c r="O106" s="56">
        <v>12999.91</v>
      </c>
      <c r="P106" s="275">
        <v>2091.86</v>
      </c>
      <c r="Q106" s="275">
        <f t="shared" si="0"/>
        <v>2091.86</v>
      </c>
      <c r="R106" s="275" t="s">
        <v>570</v>
      </c>
      <c r="S106" s="275">
        <v>10</v>
      </c>
      <c r="T106" s="275">
        <v>5</v>
      </c>
      <c r="U106" s="275">
        <v>0.7</v>
      </c>
      <c r="V106" s="279">
        <v>0.7</v>
      </c>
      <c r="W106" s="275">
        <v>0.7</v>
      </c>
      <c r="X106" s="56">
        <v>2000</v>
      </c>
      <c r="Y106" s="56" t="s">
        <v>571</v>
      </c>
      <c r="Z106" s="56">
        <v>0.2</v>
      </c>
      <c r="AA106" s="56" t="s">
        <v>572</v>
      </c>
      <c r="AB106" s="56" t="s">
        <v>573</v>
      </c>
      <c r="AC106" s="56">
        <v>220</v>
      </c>
      <c r="AD106" s="277" t="s">
        <v>19</v>
      </c>
      <c r="AE106" s="277"/>
    </row>
    <row r="107" spans="1:31" ht="15.75" x14ac:dyDescent="0.25">
      <c r="A107" s="280" t="s">
        <v>577</v>
      </c>
      <c r="B107" s="280">
        <v>2</v>
      </c>
      <c r="C107" s="280" t="s">
        <v>532</v>
      </c>
      <c r="D107" s="280" t="s">
        <v>569</v>
      </c>
      <c r="E107" s="280">
        <v>1</v>
      </c>
      <c r="F107" s="281">
        <v>45743.5</v>
      </c>
      <c r="G107" s="280">
        <v>1</v>
      </c>
      <c r="H107" s="280">
        <v>51.374099999999999</v>
      </c>
      <c r="I107" s="280">
        <v>9.4992199999999993</v>
      </c>
      <c r="J107" s="280">
        <v>2.3662339999999999</v>
      </c>
      <c r="K107" s="280">
        <v>3.5592060000000001</v>
      </c>
      <c r="L107" s="280">
        <v>1037.49</v>
      </c>
      <c r="M107" s="280">
        <v>74.00027</v>
      </c>
      <c r="N107" s="282">
        <v>10820.67</v>
      </c>
      <c r="O107" s="280">
        <v>10822.94</v>
      </c>
      <c r="P107" s="283">
        <v>2095.7759999999998</v>
      </c>
      <c r="Q107" s="275">
        <f t="shared" si="0"/>
        <v>2095.7759999999998</v>
      </c>
      <c r="R107" s="283" t="s">
        <v>570</v>
      </c>
      <c r="S107" s="275">
        <v>10</v>
      </c>
      <c r="T107" s="275">
        <v>5</v>
      </c>
      <c r="U107" s="275">
        <v>0.7</v>
      </c>
      <c r="V107" s="279">
        <v>0.7</v>
      </c>
      <c r="W107" s="275">
        <v>0.7</v>
      </c>
      <c r="X107" s="56">
        <v>2000</v>
      </c>
      <c r="Y107" s="56" t="s">
        <v>571</v>
      </c>
      <c r="Z107" s="56">
        <v>0.2</v>
      </c>
      <c r="AA107" s="56" t="s">
        <v>572</v>
      </c>
      <c r="AB107" s="56" t="s">
        <v>573</v>
      </c>
      <c r="AC107" s="56">
        <v>220</v>
      </c>
      <c r="AD107" s="277" t="s">
        <v>19</v>
      </c>
      <c r="AE107" s="277"/>
    </row>
    <row r="108" spans="1:31" ht="15.75" x14ac:dyDescent="0.25">
      <c r="A108" s="280" t="s">
        <v>689</v>
      </c>
      <c r="B108" s="280">
        <v>2</v>
      </c>
      <c r="C108" s="280" t="s">
        <v>532</v>
      </c>
      <c r="D108" s="280" t="s">
        <v>569</v>
      </c>
      <c r="E108" s="280">
        <v>1</v>
      </c>
      <c r="F108" s="281">
        <v>45743.50277777778</v>
      </c>
      <c r="G108" s="280">
        <v>1</v>
      </c>
      <c r="H108" s="280">
        <v>51.380699999999997</v>
      </c>
      <c r="I108" s="280">
        <v>9.3546800000000001</v>
      </c>
      <c r="J108" s="280">
        <v>2.4419569999999999</v>
      </c>
      <c r="K108" s="280">
        <v>3.4266489999999998</v>
      </c>
      <c r="L108" s="280">
        <v>1038.6099999999999</v>
      </c>
      <c r="M108" s="280">
        <v>77.999380000000002</v>
      </c>
      <c r="N108" s="282">
        <v>10825.21</v>
      </c>
      <c r="O108" s="280">
        <v>10822.94</v>
      </c>
      <c r="P108" s="283">
        <v>2095.7759999999998</v>
      </c>
      <c r="Q108" s="275">
        <f t="shared" si="0"/>
        <v>2095.7759999999998</v>
      </c>
      <c r="R108" s="283" t="s">
        <v>570</v>
      </c>
      <c r="S108" s="275">
        <v>10</v>
      </c>
      <c r="T108" s="275">
        <v>5</v>
      </c>
      <c r="U108" s="275">
        <v>0.7</v>
      </c>
      <c r="V108" s="279">
        <v>0.7</v>
      </c>
      <c r="W108" s="275">
        <v>0.7</v>
      </c>
      <c r="X108" s="56">
        <v>2000</v>
      </c>
      <c r="Y108" s="56" t="s">
        <v>571</v>
      </c>
      <c r="Z108" s="56">
        <v>0.2</v>
      </c>
      <c r="AA108" s="56" t="s">
        <v>572</v>
      </c>
      <c r="AB108" s="56" t="s">
        <v>573</v>
      </c>
      <c r="AC108" s="56">
        <v>220</v>
      </c>
      <c r="AD108" s="277" t="s">
        <v>19</v>
      </c>
      <c r="AE108" s="277"/>
    </row>
    <row r="109" spans="1:31" ht="15.75" x14ac:dyDescent="0.25">
      <c r="A109" s="56" t="s">
        <v>578</v>
      </c>
      <c r="B109" s="56">
        <v>3</v>
      </c>
      <c r="C109" s="56">
        <v>105</v>
      </c>
      <c r="D109" s="56" t="s">
        <v>600</v>
      </c>
      <c r="E109" s="56">
        <v>1</v>
      </c>
      <c r="F109" s="278">
        <v>45743.506249999999</v>
      </c>
      <c r="G109" s="56">
        <v>1</v>
      </c>
      <c r="H109" s="56">
        <v>51.377400000000002</v>
      </c>
      <c r="I109" s="56">
        <v>9.3934200000000008</v>
      </c>
      <c r="J109" s="56">
        <v>2.4427819999999998</v>
      </c>
      <c r="K109" s="56">
        <v>3.3964349999999999</v>
      </c>
      <c r="L109" s="56">
        <v>1059.33</v>
      </c>
      <c r="M109" s="56">
        <v>79.999409999999997</v>
      </c>
      <c r="N109" s="274">
        <v>10771.91</v>
      </c>
      <c r="O109" s="56">
        <v>10769.99</v>
      </c>
      <c r="P109" s="275">
        <v>2085.69</v>
      </c>
      <c r="Q109" s="275">
        <f t="shared" si="0"/>
        <v>2085.69</v>
      </c>
      <c r="R109" s="275" t="s">
        <v>570</v>
      </c>
      <c r="S109" s="275">
        <v>10</v>
      </c>
      <c r="T109" s="275">
        <v>5</v>
      </c>
      <c r="U109" s="275">
        <v>0.7</v>
      </c>
      <c r="V109" s="279">
        <v>0.7</v>
      </c>
      <c r="W109" s="275">
        <v>0.7</v>
      </c>
      <c r="X109" s="56">
        <v>2000</v>
      </c>
      <c r="Y109" s="56" t="s">
        <v>571</v>
      </c>
      <c r="Z109" s="56">
        <v>0.2</v>
      </c>
      <c r="AA109" s="56" t="s">
        <v>572</v>
      </c>
      <c r="AB109" s="56" t="s">
        <v>573</v>
      </c>
      <c r="AC109" s="56">
        <v>220</v>
      </c>
      <c r="AD109" s="277" t="s">
        <v>19</v>
      </c>
      <c r="AE109" s="277"/>
    </row>
    <row r="110" spans="1:31" ht="15.75" x14ac:dyDescent="0.25">
      <c r="A110" s="56" t="s">
        <v>690</v>
      </c>
      <c r="B110" s="56">
        <v>3</v>
      </c>
      <c r="C110" s="56">
        <v>105</v>
      </c>
      <c r="D110" s="56" t="s">
        <v>600</v>
      </c>
      <c r="E110" s="56">
        <v>1</v>
      </c>
      <c r="F110" s="278">
        <v>45743.509027777778</v>
      </c>
      <c r="G110" s="56">
        <v>1</v>
      </c>
      <c r="H110" s="56">
        <v>51.374099999999999</v>
      </c>
      <c r="I110" s="56">
        <v>9.3758300000000006</v>
      </c>
      <c r="J110" s="56">
        <v>2.4568620000000001</v>
      </c>
      <c r="K110" s="56">
        <v>3.6521560000000002</v>
      </c>
      <c r="L110" s="56">
        <v>1038.73</v>
      </c>
      <c r="M110" s="56">
        <v>74.000519999999995</v>
      </c>
      <c r="N110" s="274">
        <v>10768.07</v>
      </c>
      <c r="O110" s="56">
        <v>10769.99</v>
      </c>
      <c r="P110" s="275">
        <v>2085.69</v>
      </c>
      <c r="Q110" s="275">
        <f t="shared" si="0"/>
        <v>2085.69</v>
      </c>
      <c r="R110" s="275" t="s">
        <v>570</v>
      </c>
      <c r="S110" s="275">
        <v>10</v>
      </c>
      <c r="T110" s="275">
        <v>5</v>
      </c>
      <c r="U110" s="275">
        <v>0.7</v>
      </c>
      <c r="V110" s="279">
        <v>0.7</v>
      </c>
      <c r="W110" s="275">
        <v>0.7</v>
      </c>
      <c r="X110" s="56">
        <v>2000</v>
      </c>
      <c r="Y110" s="56" t="s">
        <v>571</v>
      </c>
      <c r="Z110" s="56">
        <v>0.2</v>
      </c>
      <c r="AA110" s="56" t="s">
        <v>572</v>
      </c>
      <c r="AB110" s="56" t="s">
        <v>573</v>
      </c>
      <c r="AC110" s="56">
        <v>220</v>
      </c>
      <c r="AD110" s="277" t="s">
        <v>19</v>
      </c>
      <c r="AE110" s="277"/>
    </row>
    <row r="111" spans="1:31" ht="15.75" x14ac:dyDescent="0.25">
      <c r="A111" s="56" t="s">
        <v>579</v>
      </c>
      <c r="B111" s="56">
        <v>4</v>
      </c>
      <c r="C111" s="56">
        <v>106</v>
      </c>
      <c r="D111" s="56" t="s">
        <v>604</v>
      </c>
      <c r="E111" s="56">
        <v>1</v>
      </c>
      <c r="F111" s="278">
        <v>45743.512499999997</v>
      </c>
      <c r="G111" s="56">
        <v>1</v>
      </c>
      <c r="H111" s="56">
        <v>51.374099999999999</v>
      </c>
      <c r="I111" s="56">
        <v>9.3082799999999999</v>
      </c>
      <c r="J111" s="56">
        <v>2.5152009999999998</v>
      </c>
      <c r="K111" s="56">
        <v>3.4484659999999998</v>
      </c>
      <c r="L111" s="56">
        <v>1026.3</v>
      </c>
      <c r="M111" s="56">
        <v>80.50076</v>
      </c>
      <c r="N111" s="274">
        <v>10798.53</v>
      </c>
      <c r="O111" s="56">
        <v>10801.27</v>
      </c>
      <c r="P111" s="275">
        <v>2091.65</v>
      </c>
      <c r="Q111" s="275">
        <f t="shared" si="0"/>
        <v>2091.65</v>
      </c>
      <c r="R111" s="275" t="s">
        <v>584</v>
      </c>
      <c r="S111" s="275">
        <v>10</v>
      </c>
      <c r="T111" s="275">
        <v>5</v>
      </c>
      <c r="U111" s="275">
        <v>0.7</v>
      </c>
      <c r="V111" s="279">
        <v>0.7</v>
      </c>
      <c r="W111" s="275">
        <v>0.7</v>
      </c>
      <c r="X111" s="56">
        <v>2000</v>
      </c>
      <c r="Y111" s="56" t="s">
        <v>571</v>
      </c>
      <c r="Z111" s="56">
        <v>0.2</v>
      </c>
      <c r="AA111" s="56" t="s">
        <v>572</v>
      </c>
      <c r="AB111" s="56" t="s">
        <v>573</v>
      </c>
      <c r="AC111" s="56">
        <v>220</v>
      </c>
      <c r="AD111" s="277" t="s">
        <v>19</v>
      </c>
      <c r="AE111" s="277"/>
    </row>
    <row r="112" spans="1:31" ht="15.75" x14ac:dyDescent="0.25">
      <c r="A112" s="56" t="s">
        <v>691</v>
      </c>
      <c r="B112" s="56">
        <v>4</v>
      </c>
      <c r="C112" s="56">
        <v>106</v>
      </c>
      <c r="D112" s="56" t="s">
        <v>604</v>
      </c>
      <c r="E112" s="56">
        <v>1</v>
      </c>
      <c r="F112" s="278">
        <v>45743.515972222223</v>
      </c>
      <c r="G112" s="56">
        <v>1</v>
      </c>
      <c r="H112" s="56">
        <v>51.377400000000002</v>
      </c>
      <c r="I112" s="56">
        <v>9.3941599999999994</v>
      </c>
      <c r="J112" s="56">
        <v>2.618601</v>
      </c>
      <c r="K112" s="56">
        <v>4.1752310000000001</v>
      </c>
      <c r="L112" s="56">
        <v>1038.67</v>
      </c>
      <c r="M112" s="56">
        <v>71.000100000000003</v>
      </c>
      <c r="N112" s="274">
        <v>10763.87</v>
      </c>
      <c r="O112" s="56">
        <v>10801.27</v>
      </c>
      <c r="P112" s="275">
        <v>2091.65</v>
      </c>
      <c r="Q112" s="275">
        <f t="shared" si="0"/>
        <v>2091.65</v>
      </c>
      <c r="R112" s="275" t="s">
        <v>584</v>
      </c>
      <c r="S112" s="275">
        <v>10</v>
      </c>
      <c r="T112" s="275">
        <v>5</v>
      </c>
      <c r="U112" s="275">
        <v>0.7</v>
      </c>
      <c r="V112" s="279">
        <v>0.7</v>
      </c>
      <c r="W112" s="275">
        <v>0.7</v>
      </c>
      <c r="X112" s="56">
        <v>2000</v>
      </c>
      <c r="Y112" s="56" t="s">
        <v>571</v>
      </c>
      <c r="Z112" s="56">
        <v>0.2</v>
      </c>
      <c r="AA112" s="56" t="s">
        <v>572</v>
      </c>
      <c r="AB112" s="56" t="s">
        <v>573</v>
      </c>
      <c r="AC112" s="56">
        <v>220</v>
      </c>
      <c r="AD112" s="277" t="s">
        <v>19</v>
      </c>
      <c r="AE112" s="277"/>
    </row>
    <row r="113" spans="1:31" ht="15.75" x14ac:dyDescent="0.25">
      <c r="A113" s="56" t="s">
        <v>692</v>
      </c>
      <c r="B113" s="56">
        <v>4</v>
      </c>
      <c r="C113" s="56">
        <v>106</v>
      </c>
      <c r="D113" s="56" t="s">
        <v>604</v>
      </c>
      <c r="E113" s="56">
        <v>1</v>
      </c>
      <c r="F113" s="284">
        <v>45743.518750000003</v>
      </c>
      <c r="G113" s="56">
        <v>1</v>
      </c>
      <c r="H113" s="56">
        <v>51.377400000000002</v>
      </c>
      <c r="I113" s="56">
        <v>9.4168199999999995</v>
      </c>
      <c r="J113" s="56">
        <v>2.6836479999999998</v>
      </c>
      <c r="K113" s="56">
        <v>3.711401</v>
      </c>
      <c r="L113" s="56">
        <v>1031.8499999999999</v>
      </c>
      <c r="M113" s="56">
        <v>88.999989999999997</v>
      </c>
      <c r="N113" s="274">
        <v>10805.48</v>
      </c>
      <c r="O113" s="56">
        <v>10801.27</v>
      </c>
      <c r="P113" s="275">
        <v>2091.65</v>
      </c>
      <c r="Q113" s="275">
        <f t="shared" si="0"/>
        <v>2091.65</v>
      </c>
      <c r="R113" s="275" t="s">
        <v>570</v>
      </c>
      <c r="S113" s="275">
        <v>10</v>
      </c>
      <c r="T113" s="275">
        <v>5</v>
      </c>
      <c r="U113" s="275">
        <v>0.7</v>
      </c>
      <c r="V113" s="279">
        <v>0.7</v>
      </c>
      <c r="W113" s="275">
        <v>0.7</v>
      </c>
      <c r="X113" s="56">
        <v>2000</v>
      </c>
      <c r="Y113" s="56" t="s">
        <v>571</v>
      </c>
      <c r="Z113" s="56">
        <v>0.2</v>
      </c>
      <c r="AA113" s="56" t="s">
        <v>572</v>
      </c>
      <c r="AB113" s="56" t="s">
        <v>573</v>
      </c>
      <c r="AC113" s="56">
        <v>220</v>
      </c>
      <c r="AD113" s="277" t="s">
        <v>19</v>
      </c>
      <c r="AE113" s="277"/>
    </row>
    <row r="114" spans="1:31" ht="15.75" x14ac:dyDescent="0.25">
      <c r="A114" s="56" t="s">
        <v>693</v>
      </c>
      <c r="B114" s="56">
        <v>4</v>
      </c>
      <c r="C114" s="56">
        <v>106</v>
      </c>
      <c r="D114" s="56" t="s">
        <v>604</v>
      </c>
      <c r="E114" s="56">
        <v>1</v>
      </c>
      <c r="F114" s="284">
        <v>45743.521527777775</v>
      </c>
      <c r="G114" s="56">
        <v>1</v>
      </c>
      <c r="H114" s="56">
        <v>51.370800000000003</v>
      </c>
      <c r="I114" s="56">
        <v>9.4859500000000008</v>
      </c>
      <c r="J114" s="56">
        <v>2.682194</v>
      </c>
      <c r="K114" s="56">
        <v>3.905805</v>
      </c>
      <c r="L114" s="56">
        <v>1025.2</v>
      </c>
      <c r="M114" s="56">
        <v>78.499179999999996</v>
      </c>
      <c r="N114" s="274">
        <v>10797.07</v>
      </c>
      <c r="O114" s="56">
        <v>10801.27</v>
      </c>
      <c r="P114" s="275">
        <v>2091.65</v>
      </c>
      <c r="Q114" s="275">
        <f t="shared" si="0"/>
        <v>2091.65</v>
      </c>
      <c r="R114" s="275" t="s">
        <v>570</v>
      </c>
      <c r="S114" s="275">
        <v>10</v>
      </c>
      <c r="T114" s="275">
        <v>5</v>
      </c>
      <c r="U114" s="275">
        <v>0.7</v>
      </c>
      <c r="V114" s="279">
        <v>0.7</v>
      </c>
      <c r="W114" s="275">
        <v>0.7</v>
      </c>
      <c r="X114" s="56">
        <v>2000</v>
      </c>
      <c r="Y114" s="56" t="s">
        <v>571</v>
      </c>
      <c r="Z114" s="56">
        <v>0.2</v>
      </c>
      <c r="AA114" s="56" t="s">
        <v>572</v>
      </c>
      <c r="AB114" s="56" t="s">
        <v>573</v>
      </c>
      <c r="AC114" s="56">
        <v>220</v>
      </c>
      <c r="AD114" s="277" t="s">
        <v>19</v>
      </c>
      <c r="AE114" s="277"/>
    </row>
    <row r="115" spans="1:31" ht="15.75" x14ac:dyDescent="0.25">
      <c r="A115" s="56" t="s">
        <v>580</v>
      </c>
      <c r="B115" s="56">
        <v>5</v>
      </c>
      <c r="C115" s="56">
        <v>144</v>
      </c>
      <c r="D115" s="56" t="s">
        <v>608</v>
      </c>
      <c r="E115" s="56">
        <v>1</v>
      </c>
      <c r="F115" s="284">
        <v>45743.525000000001</v>
      </c>
      <c r="G115" s="56">
        <v>1</v>
      </c>
      <c r="H115" s="56">
        <v>51.374099999999999</v>
      </c>
      <c r="I115" s="56">
        <v>9.38612</v>
      </c>
      <c r="J115" s="56">
        <v>2.705619</v>
      </c>
      <c r="K115" s="56">
        <v>3.8986619999999998</v>
      </c>
      <c r="L115" s="56">
        <v>1031.8399999999999</v>
      </c>
      <c r="M115" s="56">
        <v>80.500429999999994</v>
      </c>
      <c r="N115" s="274">
        <v>10832.63</v>
      </c>
      <c r="O115" s="56">
        <v>10838.44</v>
      </c>
      <c r="P115" s="275">
        <v>2098.73</v>
      </c>
      <c r="Q115" s="275">
        <f t="shared" si="0"/>
        <v>2098.73</v>
      </c>
      <c r="R115" s="275" t="s">
        <v>570</v>
      </c>
      <c r="S115" s="275">
        <v>10</v>
      </c>
      <c r="T115" s="275">
        <v>5</v>
      </c>
      <c r="U115" s="275">
        <v>0.7</v>
      </c>
      <c r="V115" s="279">
        <v>0.7</v>
      </c>
      <c r="W115" s="275">
        <v>0.7</v>
      </c>
      <c r="X115" s="56">
        <v>2000</v>
      </c>
      <c r="Y115" s="56" t="s">
        <v>571</v>
      </c>
      <c r="Z115" s="56">
        <v>0.2</v>
      </c>
      <c r="AA115" s="56" t="s">
        <v>572</v>
      </c>
      <c r="AB115" s="56" t="s">
        <v>573</v>
      </c>
      <c r="AC115" s="56">
        <v>220</v>
      </c>
      <c r="AD115" s="277" t="s">
        <v>19</v>
      </c>
      <c r="AE115" s="277"/>
    </row>
    <row r="116" spans="1:31" ht="15.75" x14ac:dyDescent="0.25">
      <c r="A116" s="56" t="s">
        <v>694</v>
      </c>
      <c r="B116" s="56">
        <v>5</v>
      </c>
      <c r="C116" s="56">
        <v>144</v>
      </c>
      <c r="D116" s="56" t="s">
        <v>608</v>
      </c>
      <c r="E116" s="56">
        <v>1</v>
      </c>
      <c r="F116" s="284">
        <v>45743.527777777781</v>
      </c>
      <c r="G116" s="56">
        <v>1</v>
      </c>
      <c r="H116" s="56">
        <v>51.374099999999999</v>
      </c>
      <c r="I116" s="56">
        <v>9.5822000000000003</v>
      </c>
      <c r="J116" s="56">
        <v>2.6621480000000002</v>
      </c>
      <c r="K116" s="56">
        <v>4.0379180000000003</v>
      </c>
      <c r="L116" s="56">
        <v>1027.32</v>
      </c>
      <c r="M116" s="56">
        <v>73.001099999999994</v>
      </c>
      <c r="N116" s="274">
        <v>10844.24</v>
      </c>
      <c r="O116" s="56">
        <v>10838.44</v>
      </c>
      <c r="P116" s="275">
        <v>2098.73</v>
      </c>
      <c r="Q116" s="275">
        <f t="shared" si="0"/>
        <v>2098.73</v>
      </c>
      <c r="R116" s="275" t="s">
        <v>570</v>
      </c>
      <c r="S116" s="275">
        <v>10</v>
      </c>
      <c r="T116" s="275">
        <v>5</v>
      </c>
      <c r="U116" s="275">
        <v>0.7</v>
      </c>
      <c r="V116" s="279">
        <v>0.7</v>
      </c>
      <c r="W116" s="275">
        <v>0.7</v>
      </c>
      <c r="X116" s="56">
        <v>2000</v>
      </c>
      <c r="Y116" s="56" t="s">
        <v>571</v>
      </c>
      <c r="Z116" s="56">
        <v>0.2</v>
      </c>
      <c r="AA116" s="56" t="s">
        <v>572</v>
      </c>
      <c r="AB116" s="56" t="s">
        <v>573</v>
      </c>
      <c r="AC116" s="56">
        <v>220</v>
      </c>
      <c r="AD116" s="277" t="s">
        <v>19</v>
      </c>
      <c r="AE116" s="277"/>
    </row>
    <row r="117" spans="1:31" ht="15.75" x14ac:dyDescent="0.25">
      <c r="A117" s="56" t="s">
        <v>581</v>
      </c>
      <c r="B117" s="56">
        <v>6</v>
      </c>
      <c r="C117" s="56">
        <v>145</v>
      </c>
      <c r="D117" s="56" t="s">
        <v>618</v>
      </c>
      <c r="E117" s="56">
        <v>1</v>
      </c>
      <c r="F117" s="284">
        <v>45743.53125</v>
      </c>
      <c r="G117" s="56">
        <v>1</v>
      </c>
      <c r="H117" s="56">
        <v>51.374099999999999</v>
      </c>
      <c r="I117" s="56">
        <v>9.3197600000000005</v>
      </c>
      <c r="J117" s="56">
        <v>2.7405979999999999</v>
      </c>
      <c r="K117" s="56">
        <v>4.3613419999999996</v>
      </c>
      <c r="L117" s="56">
        <v>1031.04</v>
      </c>
      <c r="M117" s="56">
        <v>65.499319999999997</v>
      </c>
      <c r="N117" s="274">
        <v>10807.17</v>
      </c>
      <c r="O117" s="56">
        <v>10852.06</v>
      </c>
      <c r="P117" s="275">
        <v>2101.3249999999998</v>
      </c>
      <c r="Q117" s="275">
        <f t="shared" si="0"/>
        <v>2101.3249999999998</v>
      </c>
      <c r="R117" s="275" t="s">
        <v>584</v>
      </c>
      <c r="S117" s="275">
        <v>10</v>
      </c>
      <c r="T117" s="275">
        <v>5</v>
      </c>
      <c r="U117" s="275">
        <v>0.7</v>
      </c>
      <c r="V117" s="279">
        <v>0.7</v>
      </c>
      <c r="W117" s="275">
        <v>0.7</v>
      </c>
      <c r="X117" s="56">
        <v>2000</v>
      </c>
      <c r="Y117" s="56" t="s">
        <v>571</v>
      </c>
      <c r="Z117" s="56">
        <v>0.2</v>
      </c>
      <c r="AA117" s="56" t="s">
        <v>572</v>
      </c>
      <c r="AB117" s="56" t="s">
        <v>573</v>
      </c>
      <c r="AC117" s="56">
        <v>220</v>
      </c>
      <c r="AD117" s="277" t="s">
        <v>19</v>
      </c>
      <c r="AE117" s="277"/>
    </row>
    <row r="118" spans="1:31" ht="15.75" x14ac:dyDescent="0.25">
      <c r="A118" s="56" t="s">
        <v>695</v>
      </c>
      <c r="B118" s="56">
        <v>6</v>
      </c>
      <c r="C118" s="56">
        <v>145</v>
      </c>
      <c r="D118" s="56" t="s">
        <v>618</v>
      </c>
      <c r="E118" s="56">
        <v>1</v>
      </c>
      <c r="F118" s="284">
        <v>45743.53402777778</v>
      </c>
      <c r="G118" s="56">
        <v>1</v>
      </c>
      <c r="H118" s="56">
        <v>51.377400000000002</v>
      </c>
      <c r="I118" s="56">
        <v>9.4504599999999996</v>
      </c>
      <c r="J118" s="56">
        <v>2.765199</v>
      </c>
      <c r="K118" s="56">
        <v>3.9170470000000002</v>
      </c>
      <c r="L118" s="56">
        <v>1050.9000000000001</v>
      </c>
      <c r="M118" s="56">
        <v>85.000709999999998</v>
      </c>
      <c r="N118" s="274">
        <v>10845.49</v>
      </c>
      <c r="O118" s="56">
        <v>10852.06</v>
      </c>
      <c r="P118" s="275">
        <v>2101.3249999999998</v>
      </c>
      <c r="Q118" s="275">
        <f t="shared" si="0"/>
        <v>2101.3249999999998</v>
      </c>
      <c r="R118" s="275" t="s">
        <v>570</v>
      </c>
      <c r="S118" s="275">
        <v>10</v>
      </c>
      <c r="T118" s="275">
        <v>5</v>
      </c>
      <c r="U118" s="275">
        <v>0.7</v>
      </c>
      <c r="V118" s="279">
        <v>0.7</v>
      </c>
      <c r="W118" s="275">
        <v>0.7</v>
      </c>
      <c r="X118" s="56">
        <v>2000</v>
      </c>
      <c r="Y118" s="56" t="s">
        <v>571</v>
      </c>
      <c r="Z118" s="56">
        <v>0.2</v>
      </c>
      <c r="AA118" s="56" t="s">
        <v>572</v>
      </c>
      <c r="AB118" s="56" t="s">
        <v>573</v>
      </c>
      <c r="AC118" s="56">
        <v>220</v>
      </c>
      <c r="AD118" s="277" t="s">
        <v>19</v>
      </c>
      <c r="AE118" s="277"/>
    </row>
    <row r="119" spans="1:31" ht="15.75" x14ac:dyDescent="0.25">
      <c r="A119" s="56" t="s">
        <v>696</v>
      </c>
      <c r="B119" s="56">
        <v>6</v>
      </c>
      <c r="C119" s="56">
        <v>145</v>
      </c>
      <c r="D119" s="56" t="s">
        <v>618</v>
      </c>
      <c r="E119" s="56">
        <v>1</v>
      </c>
      <c r="F119" s="284">
        <v>45743.536805555559</v>
      </c>
      <c r="G119" s="56">
        <v>1</v>
      </c>
      <c r="H119" s="56">
        <v>51.374099999999999</v>
      </c>
      <c r="I119" s="56">
        <v>9.4292999999999996</v>
      </c>
      <c r="J119" s="56">
        <v>2.887467</v>
      </c>
      <c r="K119" s="56">
        <v>4.3026970000000002</v>
      </c>
      <c r="L119" s="56">
        <v>1038.1199999999999</v>
      </c>
      <c r="M119" s="56">
        <v>75.001540000000006</v>
      </c>
      <c r="N119" s="274">
        <v>10858.63</v>
      </c>
      <c r="O119" s="56">
        <v>10852.06</v>
      </c>
      <c r="P119" s="275">
        <v>2101.3249999999998</v>
      </c>
      <c r="Q119" s="275">
        <f t="shared" si="0"/>
        <v>2101.3249999999998</v>
      </c>
      <c r="R119" s="275" t="s">
        <v>570</v>
      </c>
      <c r="S119" s="275">
        <v>10</v>
      </c>
      <c r="T119" s="275">
        <v>5</v>
      </c>
      <c r="U119" s="275">
        <v>0.7</v>
      </c>
      <c r="V119" s="279">
        <v>0.7</v>
      </c>
      <c r="W119" s="275">
        <v>0.7</v>
      </c>
      <c r="X119" s="56">
        <v>2000</v>
      </c>
      <c r="Y119" s="56" t="s">
        <v>571</v>
      </c>
      <c r="Z119" s="56">
        <v>0.2</v>
      </c>
      <c r="AA119" s="56" t="s">
        <v>572</v>
      </c>
      <c r="AB119" s="56" t="s">
        <v>573</v>
      </c>
      <c r="AC119" s="56">
        <v>220</v>
      </c>
      <c r="AD119" s="277" t="s">
        <v>19</v>
      </c>
      <c r="AE119" s="277"/>
    </row>
    <row r="120" spans="1:31" ht="15.75" x14ac:dyDescent="0.25">
      <c r="A120" s="56" t="s">
        <v>697</v>
      </c>
      <c r="B120" s="56">
        <v>7</v>
      </c>
      <c r="C120" s="56">
        <v>92</v>
      </c>
      <c r="D120" s="56" t="s">
        <v>623</v>
      </c>
      <c r="E120" s="56">
        <v>1</v>
      </c>
      <c r="F120" s="284">
        <v>45743.540277777778</v>
      </c>
      <c r="G120" s="56">
        <v>1</v>
      </c>
      <c r="H120" s="56">
        <v>51.370800000000003</v>
      </c>
      <c r="I120" s="56">
        <v>9.3657699999999995</v>
      </c>
      <c r="J120" s="56">
        <v>2.7978489999999998</v>
      </c>
      <c r="K120" s="56">
        <v>4.1345289999999997</v>
      </c>
      <c r="L120" s="56">
        <v>1024.95</v>
      </c>
      <c r="M120" s="56">
        <v>69.999549999999999</v>
      </c>
      <c r="N120" s="274">
        <v>10675.71</v>
      </c>
      <c r="O120" s="56">
        <v>10699.23</v>
      </c>
      <c r="P120" s="275">
        <v>2072.21</v>
      </c>
      <c r="Q120" s="275">
        <f t="shared" si="0"/>
        <v>2072.21</v>
      </c>
      <c r="R120" s="275" t="s">
        <v>584</v>
      </c>
      <c r="S120" s="275">
        <v>10</v>
      </c>
      <c r="T120" s="275">
        <v>5</v>
      </c>
      <c r="U120" s="275">
        <v>0.7</v>
      </c>
      <c r="V120" s="279">
        <v>0.7</v>
      </c>
      <c r="W120" s="275">
        <v>0.7</v>
      </c>
      <c r="X120" s="56">
        <v>2000</v>
      </c>
      <c r="Y120" s="56" t="s">
        <v>571</v>
      </c>
      <c r="Z120" s="56">
        <v>0.2</v>
      </c>
      <c r="AA120" s="56" t="s">
        <v>572</v>
      </c>
      <c r="AB120" s="56" t="s">
        <v>573</v>
      </c>
      <c r="AC120" s="56">
        <v>220</v>
      </c>
      <c r="AD120" s="277" t="s">
        <v>19</v>
      </c>
      <c r="AE120" s="277"/>
    </row>
    <row r="121" spans="1:31" ht="15.75" x14ac:dyDescent="0.25">
      <c r="A121" s="56" t="s">
        <v>698</v>
      </c>
      <c r="B121" s="56">
        <v>7</v>
      </c>
      <c r="C121" s="56">
        <v>92</v>
      </c>
      <c r="D121" s="56" t="s">
        <v>623</v>
      </c>
      <c r="E121" s="56">
        <v>1</v>
      </c>
      <c r="F121" s="284">
        <v>45743.543055555558</v>
      </c>
      <c r="G121" s="56">
        <v>1</v>
      </c>
      <c r="H121" s="56">
        <v>51.380699999999997</v>
      </c>
      <c r="I121" s="56">
        <v>9.4622799999999998</v>
      </c>
      <c r="J121" s="56">
        <v>2.8081520000000002</v>
      </c>
      <c r="K121" s="56">
        <v>4.2967529999999998</v>
      </c>
      <c r="L121" s="56">
        <v>1034.42</v>
      </c>
      <c r="M121" s="56">
        <v>74.998930000000001</v>
      </c>
      <c r="N121" s="274">
        <v>10699.28</v>
      </c>
      <c r="O121" s="56">
        <v>10699.23</v>
      </c>
      <c r="P121" s="275">
        <v>2072.21</v>
      </c>
      <c r="Q121" s="275">
        <f t="shared" si="0"/>
        <v>2072.21</v>
      </c>
      <c r="R121" s="275" t="s">
        <v>584</v>
      </c>
      <c r="S121" s="275">
        <v>10</v>
      </c>
      <c r="T121" s="275">
        <v>5</v>
      </c>
      <c r="U121" s="275">
        <v>0.7</v>
      </c>
      <c r="V121" s="279">
        <v>0.7</v>
      </c>
      <c r="W121" s="275">
        <v>0.7</v>
      </c>
      <c r="X121" s="56">
        <v>2000</v>
      </c>
      <c r="Y121" s="56" t="s">
        <v>571</v>
      </c>
      <c r="Z121" s="56">
        <v>0.2</v>
      </c>
      <c r="AA121" s="56" t="s">
        <v>572</v>
      </c>
      <c r="AB121" s="56" t="s">
        <v>573</v>
      </c>
      <c r="AC121" s="56">
        <v>220</v>
      </c>
      <c r="AD121" s="277" t="s">
        <v>19</v>
      </c>
      <c r="AE121" s="277"/>
    </row>
    <row r="122" spans="1:31" ht="15.75" x14ac:dyDescent="0.25">
      <c r="A122" s="56" t="s">
        <v>699</v>
      </c>
      <c r="B122" s="56">
        <v>7</v>
      </c>
      <c r="C122" s="56">
        <v>92</v>
      </c>
      <c r="D122" s="56" t="s">
        <v>623</v>
      </c>
      <c r="E122" s="56">
        <v>1</v>
      </c>
      <c r="F122" s="284">
        <v>45743.546527777777</v>
      </c>
      <c r="G122" s="56">
        <v>1</v>
      </c>
      <c r="H122" s="56">
        <v>51.377400000000002</v>
      </c>
      <c r="I122" s="56">
        <v>9.4590300000000003</v>
      </c>
      <c r="J122" s="56">
        <v>2.9402729999999999</v>
      </c>
      <c r="K122" s="56">
        <v>5.264926</v>
      </c>
      <c r="L122" s="56">
        <v>1033.1300000000001</v>
      </c>
      <c r="M122" s="56">
        <v>63.499389999999998</v>
      </c>
      <c r="N122" s="274">
        <v>10657.93</v>
      </c>
      <c r="O122" s="56">
        <v>10699.23</v>
      </c>
      <c r="P122" s="275">
        <v>2072.21</v>
      </c>
      <c r="Q122" s="275">
        <f t="shared" si="0"/>
        <v>2072.21</v>
      </c>
      <c r="R122" s="275" t="s">
        <v>584</v>
      </c>
      <c r="S122" s="275">
        <v>10</v>
      </c>
      <c r="T122" s="275">
        <v>5</v>
      </c>
      <c r="U122" s="275">
        <v>0.7</v>
      </c>
      <c r="V122" s="279">
        <v>0.7</v>
      </c>
      <c r="W122" s="275">
        <v>0.7</v>
      </c>
      <c r="X122" s="56">
        <v>2000</v>
      </c>
      <c r="Y122" s="56" t="s">
        <v>571</v>
      </c>
      <c r="Z122" s="56">
        <v>0.2</v>
      </c>
      <c r="AA122" s="56" t="s">
        <v>572</v>
      </c>
      <c r="AB122" s="56" t="s">
        <v>573</v>
      </c>
      <c r="AC122" s="56">
        <v>220</v>
      </c>
      <c r="AD122" s="277" t="s">
        <v>19</v>
      </c>
      <c r="AE122" s="277"/>
    </row>
    <row r="123" spans="1:31" ht="15.75" x14ac:dyDescent="0.25">
      <c r="A123" s="56" t="s">
        <v>700</v>
      </c>
      <c r="B123" s="56">
        <v>7</v>
      </c>
      <c r="C123" s="56">
        <v>92</v>
      </c>
      <c r="D123" s="56" t="s">
        <v>623</v>
      </c>
      <c r="E123" s="56">
        <v>1</v>
      </c>
      <c r="F123" s="284">
        <v>45743.549305555556</v>
      </c>
      <c r="G123" s="56">
        <v>1</v>
      </c>
      <c r="H123" s="56">
        <v>51.377400000000002</v>
      </c>
      <c r="I123" s="56">
        <v>9.4770900000000005</v>
      </c>
      <c r="J123" s="56">
        <v>2.9114580000000001</v>
      </c>
      <c r="K123" s="56">
        <v>4.0937359999999998</v>
      </c>
      <c r="L123" s="56">
        <v>1017.21</v>
      </c>
      <c r="M123" s="56">
        <v>75.001800000000003</v>
      </c>
      <c r="N123" s="274">
        <v>10700.77</v>
      </c>
      <c r="O123" s="56">
        <v>10699.23</v>
      </c>
      <c r="P123" s="275">
        <v>2072.21</v>
      </c>
      <c r="Q123" s="275">
        <f t="shared" si="0"/>
        <v>2072.21</v>
      </c>
      <c r="R123" s="275" t="s">
        <v>570</v>
      </c>
      <c r="S123" s="275">
        <v>10</v>
      </c>
      <c r="T123" s="275">
        <v>5</v>
      </c>
      <c r="U123" s="275">
        <v>0.7</v>
      </c>
      <c r="V123" s="279">
        <v>0.7</v>
      </c>
      <c r="W123" s="275">
        <v>0.7</v>
      </c>
      <c r="X123" s="56">
        <v>2000</v>
      </c>
      <c r="Y123" s="56" t="s">
        <v>571</v>
      </c>
      <c r="Z123" s="56">
        <v>0.2</v>
      </c>
      <c r="AA123" s="56" t="s">
        <v>572</v>
      </c>
      <c r="AB123" s="56" t="s">
        <v>573</v>
      </c>
      <c r="AC123" s="56">
        <v>220</v>
      </c>
      <c r="AD123" s="277" t="s">
        <v>19</v>
      </c>
      <c r="AE123" s="277"/>
    </row>
    <row r="124" spans="1:31" ht="15.75" x14ac:dyDescent="0.25">
      <c r="A124" s="56" t="s">
        <v>701</v>
      </c>
      <c r="B124" s="56">
        <v>7</v>
      </c>
      <c r="C124" s="56">
        <v>92</v>
      </c>
      <c r="D124" s="56" t="s">
        <v>623</v>
      </c>
      <c r="E124" s="56">
        <v>1</v>
      </c>
      <c r="F124" s="284">
        <v>45743.552083333336</v>
      </c>
      <c r="G124" s="56">
        <v>1</v>
      </c>
      <c r="H124" s="56">
        <v>51.377400000000002</v>
      </c>
      <c r="I124" s="56">
        <v>9.48184</v>
      </c>
      <c r="J124" s="56">
        <v>3.016222</v>
      </c>
      <c r="K124" s="56">
        <v>4.0511590000000002</v>
      </c>
      <c r="L124" s="56">
        <v>1021.96</v>
      </c>
      <c r="M124" s="56">
        <v>77.499650000000003</v>
      </c>
      <c r="N124" s="274">
        <v>10697.69</v>
      </c>
      <c r="O124" s="56">
        <v>10699.23</v>
      </c>
      <c r="P124" s="275">
        <v>2072.21</v>
      </c>
      <c r="Q124" s="275">
        <f t="shared" si="0"/>
        <v>2072.21</v>
      </c>
      <c r="R124" s="275" t="s">
        <v>570</v>
      </c>
      <c r="S124" s="275">
        <v>10</v>
      </c>
      <c r="T124" s="275">
        <v>5</v>
      </c>
      <c r="U124" s="275">
        <v>0.7</v>
      </c>
      <c r="V124" s="279">
        <v>0.7</v>
      </c>
      <c r="W124" s="275">
        <v>0.7</v>
      </c>
      <c r="X124" s="56">
        <v>2000</v>
      </c>
      <c r="Y124" s="56" t="s">
        <v>571</v>
      </c>
      <c r="Z124" s="56">
        <v>0.2</v>
      </c>
      <c r="AA124" s="56" t="s">
        <v>572</v>
      </c>
      <c r="AB124" s="56" t="s">
        <v>573</v>
      </c>
      <c r="AC124" s="56">
        <v>220</v>
      </c>
      <c r="AD124" s="277" t="s">
        <v>19</v>
      </c>
      <c r="AE124" s="277"/>
    </row>
    <row r="125" spans="1:31" ht="15.75" x14ac:dyDescent="0.25">
      <c r="A125" s="56" t="s">
        <v>596</v>
      </c>
      <c r="B125" s="56">
        <v>8</v>
      </c>
      <c r="C125" s="56">
        <v>93</v>
      </c>
      <c r="D125" s="56" t="s">
        <v>629</v>
      </c>
      <c r="E125" s="56">
        <v>1</v>
      </c>
      <c r="F125" s="284">
        <v>45743.555555555555</v>
      </c>
      <c r="G125" s="56">
        <v>1</v>
      </c>
      <c r="H125" s="56">
        <v>51.370800000000003</v>
      </c>
      <c r="I125" s="56">
        <v>9.5506600000000006</v>
      </c>
      <c r="J125" s="56">
        <v>2.8833600000000001</v>
      </c>
      <c r="K125" s="56">
        <v>5.6636470000000001</v>
      </c>
      <c r="L125" s="56">
        <v>1011.36</v>
      </c>
      <c r="M125" s="56">
        <v>61.500410000000002</v>
      </c>
      <c r="N125" s="274">
        <v>10638.52</v>
      </c>
      <c r="O125" s="56">
        <v>10683.76</v>
      </c>
      <c r="P125" s="275">
        <v>2069.2620000000002</v>
      </c>
      <c r="Q125" s="275">
        <f t="shared" si="0"/>
        <v>2069.2620000000002</v>
      </c>
      <c r="R125" s="275" t="s">
        <v>584</v>
      </c>
      <c r="S125" s="275">
        <v>10</v>
      </c>
      <c r="T125" s="275">
        <v>5</v>
      </c>
      <c r="U125" s="275">
        <v>0.7</v>
      </c>
      <c r="V125" s="279">
        <v>0.7</v>
      </c>
      <c r="W125" s="275">
        <v>0.7</v>
      </c>
      <c r="X125" s="56">
        <v>2000</v>
      </c>
      <c r="Y125" s="56" t="s">
        <v>571</v>
      </c>
      <c r="Z125" s="56">
        <v>0.2</v>
      </c>
      <c r="AA125" s="56" t="s">
        <v>572</v>
      </c>
      <c r="AB125" s="56" t="s">
        <v>573</v>
      </c>
      <c r="AC125" s="56">
        <v>220</v>
      </c>
      <c r="AD125" s="277" t="s">
        <v>19</v>
      </c>
      <c r="AE125" s="277"/>
    </row>
    <row r="126" spans="1:31" ht="15.75" x14ac:dyDescent="0.25">
      <c r="A126" s="56" t="s">
        <v>597</v>
      </c>
      <c r="B126" s="56">
        <v>8</v>
      </c>
      <c r="C126" s="56">
        <v>93</v>
      </c>
      <c r="D126" s="56" t="s">
        <v>629</v>
      </c>
      <c r="E126" s="56">
        <v>1</v>
      </c>
      <c r="F126" s="284">
        <v>45743.558333333334</v>
      </c>
      <c r="G126" s="56">
        <v>1</v>
      </c>
      <c r="H126" s="56">
        <v>51.374099999999999</v>
      </c>
      <c r="I126" s="56">
        <v>9.4605700000000006</v>
      </c>
      <c r="J126" s="56">
        <v>3.1110910000000001</v>
      </c>
      <c r="K126" s="56">
        <v>4.4874109999999998</v>
      </c>
      <c r="L126" s="56">
        <v>1023.78</v>
      </c>
      <c r="M126" s="56">
        <v>73.49933</v>
      </c>
      <c r="N126" s="274">
        <v>10688.93</v>
      </c>
      <c r="O126" s="56">
        <v>10683.76</v>
      </c>
      <c r="P126" s="275">
        <v>2069.2620000000002</v>
      </c>
      <c r="Q126" s="275">
        <f t="shared" si="0"/>
        <v>2069.2620000000002</v>
      </c>
      <c r="R126" s="275" t="s">
        <v>570</v>
      </c>
      <c r="S126" s="275">
        <v>10</v>
      </c>
      <c r="T126" s="275">
        <v>5</v>
      </c>
      <c r="U126" s="275">
        <v>0.7</v>
      </c>
      <c r="V126" s="279">
        <v>0.7</v>
      </c>
      <c r="W126" s="275">
        <v>0.7</v>
      </c>
      <c r="X126" s="56">
        <v>2000</v>
      </c>
      <c r="Y126" s="56" t="s">
        <v>571</v>
      </c>
      <c r="Z126" s="56">
        <v>0.2</v>
      </c>
      <c r="AA126" s="56" t="s">
        <v>572</v>
      </c>
      <c r="AB126" s="56" t="s">
        <v>573</v>
      </c>
      <c r="AC126" s="56">
        <v>220</v>
      </c>
      <c r="AD126" s="277" t="s">
        <v>19</v>
      </c>
      <c r="AE126" s="277"/>
    </row>
    <row r="127" spans="1:31" ht="15.75" x14ac:dyDescent="0.25">
      <c r="A127" s="56" t="s">
        <v>598</v>
      </c>
      <c r="B127" s="56">
        <v>8</v>
      </c>
      <c r="C127" s="56">
        <v>93</v>
      </c>
      <c r="D127" s="56" t="s">
        <v>629</v>
      </c>
      <c r="E127" s="56">
        <v>1</v>
      </c>
      <c r="F127" s="284">
        <v>45743.561111111114</v>
      </c>
      <c r="G127" s="56">
        <v>1</v>
      </c>
      <c r="H127" s="56">
        <v>51.370800000000003</v>
      </c>
      <c r="I127" s="56">
        <v>9.5254300000000001</v>
      </c>
      <c r="J127" s="56">
        <v>2.999536</v>
      </c>
      <c r="K127" s="56">
        <v>4.9466359999999998</v>
      </c>
      <c r="L127" s="56">
        <v>1004.77</v>
      </c>
      <c r="M127" s="56">
        <v>72.999979999999994</v>
      </c>
      <c r="N127" s="274">
        <v>10678.58</v>
      </c>
      <c r="O127" s="56">
        <v>10683.76</v>
      </c>
      <c r="P127" s="275">
        <v>2069.2620000000002</v>
      </c>
      <c r="Q127" s="275">
        <f t="shared" si="0"/>
        <v>2069.2620000000002</v>
      </c>
      <c r="R127" s="275" t="s">
        <v>570</v>
      </c>
      <c r="S127" s="275">
        <v>10</v>
      </c>
      <c r="T127" s="275">
        <v>5</v>
      </c>
      <c r="U127" s="275">
        <v>0.7</v>
      </c>
      <c r="V127" s="279">
        <v>0.7</v>
      </c>
      <c r="W127" s="275">
        <v>0.7</v>
      </c>
      <c r="X127" s="56">
        <v>2000</v>
      </c>
      <c r="Y127" s="56" t="s">
        <v>571</v>
      </c>
      <c r="Z127" s="56">
        <v>0.2</v>
      </c>
      <c r="AA127" s="56" t="s">
        <v>572</v>
      </c>
      <c r="AB127" s="56" t="s">
        <v>573</v>
      </c>
      <c r="AC127" s="56">
        <v>220</v>
      </c>
      <c r="AD127" s="277" t="s">
        <v>19</v>
      </c>
      <c r="AE127" s="277"/>
    </row>
    <row r="128" spans="1:31" ht="15.75" x14ac:dyDescent="0.25">
      <c r="A128" s="56" t="s">
        <v>599</v>
      </c>
      <c r="B128" s="56">
        <v>9</v>
      </c>
      <c r="C128" s="56">
        <v>79</v>
      </c>
      <c r="D128" s="56" t="s">
        <v>633</v>
      </c>
      <c r="E128" s="56">
        <v>1</v>
      </c>
      <c r="F128" s="284">
        <v>45743.564583333333</v>
      </c>
      <c r="G128" s="56">
        <v>1</v>
      </c>
      <c r="H128" s="56">
        <v>51.377400000000002</v>
      </c>
      <c r="I128" s="56">
        <v>9.5150799999999993</v>
      </c>
      <c r="J128" s="56">
        <v>3.0241169999999999</v>
      </c>
      <c r="K128" s="56">
        <v>5.306324</v>
      </c>
      <c r="L128" s="56">
        <v>1016.62</v>
      </c>
      <c r="M128" s="56">
        <v>63.500079999999997</v>
      </c>
      <c r="N128" s="274">
        <v>10642.69</v>
      </c>
      <c r="O128" s="56">
        <v>10700.14</v>
      </c>
      <c r="P128" s="275">
        <v>2072.3820000000001</v>
      </c>
      <c r="Q128" s="275">
        <f t="shared" si="0"/>
        <v>2072.3820000000001</v>
      </c>
      <c r="R128" s="275" t="s">
        <v>584</v>
      </c>
      <c r="S128" s="275">
        <v>10</v>
      </c>
      <c r="T128" s="275">
        <v>5</v>
      </c>
      <c r="U128" s="275">
        <v>0.7</v>
      </c>
      <c r="V128" s="279">
        <v>0.7</v>
      </c>
      <c r="W128" s="275">
        <v>0.7</v>
      </c>
      <c r="X128" s="56">
        <v>2000</v>
      </c>
      <c r="Y128" s="56" t="s">
        <v>571</v>
      </c>
      <c r="Z128" s="56">
        <v>0.2</v>
      </c>
      <c r="AA128" s="56" t="s">
        <v>572</v>
      </c>
      <c r="AB128" s="56" t="s">
        <v>573</v>
      </c>
      <c r="AC128" s="56">
        <v>220</v>
      </c>
      <c r="AD128" s="277" t="s">
        <v>19</v>
      </c>
      <c r="AE128" s="277"/>
    </row>
    <row r="129" spans="1:31" ht="15.75" x14ac:dyDescent="0.25">
      <c r="A129" s="56" t="s">
        <v>601</v>
      </c>
      <c r="B129" s="56">
        <v>9</v>
      </c>
      <c r="C129" s="56">
        <v>79</v>
      </c>
      <c r="D129" s="56" t="s">
        <v>633</v>
      </c>
      <c r="E129" s="56">
        <v>1</v>
      </c>
      <c r="F129" s="284">
        <v>45743.567361111112</v>
      </c>
      <c r="G129" s="56">
        <v>1</v>
      </c>
      <c r="H129" s="56">
        <v>51.374099999999999</v>
      </c>
      <c r="I129" s="56">
        <v>9.5303500000000003</v>
      </c>
      <c r="J129" s="56">
        <v>2.9737879999999999</v>
      </c>
      <c r="K129" s="56">
        <v>4.0960489999999998</v>
      </c>
      <c r="L129" s="56">
        <v>1008.95</v>
      </c>
      <c r="M129" s="56">
        <v>79.500129999999999</v>
      </c>
      <c r="N129" s="274">
        <v>10705.96</v>
      </c>
      <c r="O129" s="56">
        <v>10700.14</v>
      </c>
      <c r="P129" s="275">
        <v>2072.3820000000001</v>
      </c>
      <c r="Q129" s="275">
        <f t="shared" si="0"/>
        <v>2072.3820000000001</v>
      </c>
      <c r="R129" s="275" t="s">
        <v>570</v>
      </c>
      <c r="S129" s="275">
        <v>10</v>
      </c>
      <c r="T129" s="275">
        <v>5</v>
      </c>
      <c r="U129" s="275">
        <v>0.7</v>
      </c>
      <c r="V129" s="279">
        <v>0.7</v>
      </c>
      <c r="W129" s="275">
        <v>0.7</v>
      </c>
      <c r="X129" s="56">
        <v>2000</v>
      </c>
      <c r="Y129" s="56" t="s">
        <v>571</v>
      </c>
      <c r="Z129" s="56">
        <v>0.2</v>
      </c>
      <c r="AA129" s="56" t="s">
        <v>572</v>
      </c>
      <c r="AB129" s="56" t="s">
        <v>573</v>
      </c>
      <c r="AC129" s="56">
        <v>220</v>
      </c>
      <c r="AD129" s="277" t="s">
        <v>19</v>
      </c>
      <c r="AE129" s="277"/>
    </row>
    <row r="130" spans="1:31" ht="15.75" x14ac:dyDescent="0.25">
      <c r="A130" s="56" t="s">
        <v>602</v>
      </c>
      <c r="B130" s="56">
        <v>9</v>
      </c>
      <c r="C130" s="56">
        <v>79</v>
      </c>
      <c r="D130" s="56" t="s">
        <v>633</v>
      </c>
      <c r="E130" s="56">
        <v>1</v>
      </c>
      <c r="F130" s="284">
        <v>45743.570138888892</v>
      </c>
      <c r="G130" s="56">
        <v>1</v>
      </c>
      <c r="H130" s="56">
        <v>51.377400000000002</v>
      </c>
      <c r="I130" s="56">
        <v>9.4108300000000007</v>
      </c>
      <c r="J130" s="56">
        <v>2.9751430000000001</v>
      </c>
      <c r="K130" s="56">
        <v>4.5842299999999998</v>
      </c>
      <c r="L130" s="56">
        <v>1024.3599999999999</v>
      </c>
      <c r="M130" s="56">
        <v>67.000290000000007</v>
      </c>
      <c r="N130" s="274">
        <v>10694.31</v>
      </c>
      <c r="O130" s="56">
        <v>10700.14</v>
      </c>
      <c r="P130" s="275">
        <v>2072.3820000000001</v>
      </c>
      <c r="Q130" s="275">
        <f t="shared" si="0"/>
        <v>2072.3820000000001</v>
      </c>
      <c r="R130" s="275" t="s">
        <v>570</v>
      </c>
      <c r="S130" s="275">
        <v>10</v>
      </c>
      <c r="T130" s="275">
        <v>5</v>
      </c>
      <c r="U130" s="275">
        <v>0.7</v>
      </c>
      <c r="V130" s="279">
        <v>0.7</v>
      </c>
      <c r="W130" s="275">
        <v>0.7</v>
      </c>
      <c r="X130" s="56">
        <v>2000</v>
      </c>
      <c r="Y130" s="56" t="s">
        <v>571</v>
      </c>
      <c r="Z130" s="56">
        <v>0.2</v>
      </c>
      <c r="AA130" s="56" t="s">
        <v>572</v>
      </c>
      <c r="AB130" s="56" t="s">
        <v>573</v>
      </c>
      <c r="AC130" s="56">
        <v>220</v>
      </c>
      <c r="AD130" s="277" t="s">
        <v>19</v>
      </c>
      <c r="AE130" s="277"/>
    </row>
    <row r="131" spans="1:31" ht="15.75" x14ac:dyDescent="0.25">
      <c r="A131" s="56" t="s">
        <v>603</v>
      </c>
      <c r="B131" s="56">
        <v>10</v>
      </c>
      <c r="C131" s="56">
        <v>80</v>
      </c>
      <c r="D131" s="56" t="s">
        <v>637</v>
      </c>
      <c r="E131" s="56">
        <v>1</v>
      </c>
      <c r="F131" s="284">
        <v>45743.573611111111</v>
      </c>
      <c r="G131" s="56">
        <v>1</v>
      </c>
      <c r="H131" s="56">
        <v>51.377400000000002</v>
      </c>
      <c r="I131" s="56">
        <v>9.4658999999999995</v>
      </c>
      <c r="J131" s="56">
        <v>3.002014</v>
      </c>
      <c r="K131" s="56">
        <v>4.7795949999999996</v>
      </c>
      <c r="L131" s="56">
        <v>1032.75</v>
      </c>
      <c r="M131" s="56">
        <v>64.000910000000005</v>
      </c>
      <c r="N131" s="274">
        <v>10676.54</v>
      </c>
      <c r="O131" s="56">
        <v>10680.18</v>
      </c>
      <c r="P131" s="275">
        <v>2068.5810000000001</v>
      </c>
      <c r="Q131" s="275">
        <f t="shared" si="0"/>
        <v>2068.5810000000001</v>
      </c>
      <c r="R131" s="275" t="s">
        <v>570</v>
      </c>
      <c r="S131" s="275">
        <v>10</v>
      </c>
      <c r="T131" s="275">
        <v>5</v>
      </c>
      <c r="U131" s="275">
        <v>0.7</v>
      </c>
      <c r="V131" s="279">
        <v>0.7</v>
      </c>
      <c r="W131" s="275">
        <v>0.7</v>
      </c>
      <c r="X131" s="56">
        <v>2000</v>
      </c>
      <c r="Y131" s="56" t="s">
        <v>571</v>
      </c>
      <c r="Z131" s="56">
        <v>0.2</v>
      </c>
      <c r="AA131" s="56" t="s">
        <v>572</v>
      </c>
      <c r="AB131" s="56" t="s">
        <v>573</v>
      </c>
      <c r="AC131" s="56">
        <v>220</v>
      </c>
      <c r="AD131" s="277" t="s">
        <v>19</v>
      </c>
      <c r="AE131" s="277"/>
    </row>
    <row r="132" spans="1:31" ht="15.75" x14ac:dyDescent="0.25">
      <c r="A132" s="56" t="s">
        <v>605</v>
      </c>
      <c r="B132" s="56">
        <v>10</v>
      </c>
      <c r="C132" s="56">
        <v>80</v>
      </c>
      <c r="D132" s="56" t="s">
        <v>637</v>
      </c>
      <c r="E132" s="56">
        <v>1</v>
      </c>
      <c r="F132" s="284">
        <v>45743.576388888891</v>
      </c>
      <c r="G132" s="56">
        <v>1</v>
      </c>
      <c r="H132" s="56">
        <v>51.377400000000002</v>
      </c>
      <c r="I132" s="56">
        <v>9.3859300000000001</v>
      </c>
      <c r="J132" s="56">
        <v>3.0643129999999998</v>
      </c>
      <c r="K132" s="56">
        <v>4.705298</v>
      </c>
      <c r="L132" s="56">
        <v>1017.79</v>
      </c>
      <c r="M132" s="56">
        <v>71.999719999999996</v>
      </c>
      <c r="N132" s="274">
        <v>10683.82</v>
      </c>
      <c r="O132" s="56">
        <v>10680.18</v>
      </c>
      <c r="P132" s="275">
        <v>2068.5810000000001</v>
      </c>
      <c r="Q132" s="275">
        <f t="shared" si="0"/>
        <v>2068.5810000000001</v>
      </c>
      <c r="R132" s="275" t="s">
        <v>570</v>
      </c>
      <c r="S132" s="275">
        <v>10</v>
      </c>
      <c r="T132" s="275">
        <v>5</v>
      </c>
      <c r="U132" s="275">
        <v>0.7</v>
      </c>
      <c r="V132" s="275">
        <v>0.7</v>
      </c>
      <c r="W132" s="275">
        <v>0.7</v>
      </c>
      <c r="X132" s="56">
        <v>2000</v>
      </c>
      <c r="Y132" s="56" t="s">
        <v>571</v>
      </c>
      <c r="Z132" s="56">
        <v>0.2</v>
      </c>
      <c r="AA132" s="56" t="s">
        <v>572</v>
      </c>
      <c r="AB132" s="56" t="s">
        <v>573</v>
      </c>
      <c r="AC132" s="56">
        <v>220</v>
      </c>
      <c r="AD132" s="277" t="s">
        <v>19</v>
      </c>
      <c r="AE132" s="277"/>
    </row>
    <row r="133" spans="1:31" ht="15.75" x14ac:dyDescent="0.25">
      <c r="A133" s="280" t="s">
        <v>607</v>
      </c>
      <c r="B133" s="280">
        <v>11</v>
      </c>
      <c r="C133" s="280" t="s">
        <v>532</v>
      </c>
      <c r="D133" s="280" t="s">
        <v>569</v>
      </c>
      <c r="E133" s="280">
        <v>1</v>
      </c>
      <c r="F133" s="285">
        <v>45743.579861111109</v>
      </c>
      <c r="G133" s="280">
        <v>1</v>
      </c>
      <c r="H133" s="280">
        <v>51.377400000000002</v>
      </c>
      <c r="I133" s="280">
        <v>9.3019099999999995</v>
      </c>
      <c r="J133" s="280">
        <v>3.143408</v>
      </c>
      <c r="K133" s="280">
        <v>4.7708839999999997</v>
      </c>
      <c r="L133" s="280">
        <v>1030.1300000000001</v>
      </c>
      <c r="M133" s="280">
        <v>66.500649999999993</v>
      </c>
      <c r="N133" s="282">
        <v>10822.05</v>
      </c>
      <c r="O133" s="280">
        <v>10830.41</v>
      </c>
      <c r="P133" s="283">
        <v>2097.1999999999998</v>
      </c>
      <c r="Q133" s="275">
        <f t="shared" si="0"/>
        <v>2097.1999999999998</v>
      </c>
      <c r="R133" s="283" t="s">
        <v>570</v>
      </c>
      <c r="S133" s="275">
        <v>10</v>
      </c>
      <c r="T133" s="275">
        <v>5</v>
      </c>
      <c r="U133" s="275">
        <v>0.7</v>
      </c>
      <c r="V133" s="275">
        <v>0.7</v>
      </c>
      <c r="W133" s="275">
        <v>0.7</v>
      </c>
      <c r="X133" s="56">
        <v>2000</v>
      </c>
      <c r="Y133" s="56" t="s">
        <v>571</v>
      </c>
      <c r="Z133" s="56">
        <v>0.2</v>
      </c>
      <c r="AA133" s="56" t="s">
        <v>572</v>
      </c>
      <c r="AB133" s="56" t="s">
        <v>573</v>
      </c>
      <c r="AC133" s="56">
        <v>220</v>
      </c>
      <c r="AD133" s="277" t="s">
        <v>19</v>
      </c>
      <c r="AE133" s="277"/>
    </row>
    <row r="134" spans="1:31" ht="15.75" x14ac:dyDescent="0.25">
      <c r="A134" s="280" t="s">
        <v>611</v>
      </c>
      <c r="B134" s="280">
        <v>11</v>
      </c>
      <c r="C134" s="280" t="s">
        <v>532</v>
      </c>
      <c r="D134" s="280" t="s">
        <v>569</v>
      </c>
      <c r="E134" s="280">
        <v>1</v>
      </c>
      <c r="F134" s="285">
        <v>45743.582638888889</v>
      </c>
      <c r="G134" s="280">
        <v>1</v>
      </c>
      <c r="H134" s="280">
        <v>51.377400000000002</v>
      </c>
      <c r="I134" s="280">
        <v>9.2517800000000001</v>
      </c>
      <c r="J134" s="280">
        <v>3.066916</v>
      </c>
      <c r="K134" s="280">
        <v>4.6724969999999999</v>
      </c>
      <c r="L134" s="280">
        <v>1026.18</v>
      </c>
      <c r="M134" s="280">
        <v>71.499920000000003</v>
      </c>
      <c r="N134" s="282">
        <v>10838.78</v>
      </c>
      <c r="O134" s="280">
        <v>10830.41</v>
      </c>
      <c r="P134" s="283">
        <v>2097.1999999999998</v>
      </c>
      <c r="Q134" s="275">
        <f t="shared" si="0"/>
        <v>2097.1999999999998</v>
      </c>
      <c r="R134" s="283" t="s">
        <v>570</v>
      </c>
      <c r="S134" s="275">
        <v>10</v>
      </c>
      <c r="T134" s="275">
        <v>5</v>
      </c>
      <c r="U134" s="275">
        <v>0.7</v>
      </c>
      <c r="V134" s="275">
        <v>0.7</v>
      </c>
      <c r="W134" s="275">
        <v>0.7</v>
      </c>
      <c r="X134" s="56">
        <v>2000</v>
      </c>
      <c r="Y134" s="56" t="s">
        <v>571</v>
      </c>
      <c r="Z134" s="56">
        <v>0.2</v>
      </c>
      <c r="AA134" s="56" t="s">
        <v>572</v>
      </c>
      <c r="AB134" s="56" t="s">
        <v>573</v>
      </c>
      <c r="AC134" s="56">
        <v>220</v>
      </c>
      <c r="AD134" s="277" t="s">
        <v>19</v>
      </c>
      <c r="AE134" s="277"/>
    </row>
    <row r="135" spans="1:31" ht="15.75" x14ac:dyDescent="0.25">
      <c r="A135" s="56" t="s">
        <v>702</v>
      </c>
      <c r="B135" s="56" t="s">
        <v>583</v>
      </c>
      <c r="C135" s="56" t="s">
        <v>532</v>
      </c>
      <c r="D135" s="56" t="s">
        <v>569</v>
      </c>
      <c r="E135" s="56">
        <v>0.8</v>
      </c>
      <c r="F135" s="284">
        <v>45743.585416666669</v>
      </c>
      <c r="G135" s="56">
        <v>1</v>
      </c>
      <c r="H135" s="56">
        <v>51.374099999999999</v>
      </c>
      <c r="I135" s="56">
        <v>9.3754600000000003</v>
      </c>
      <c r="J135" s="56">
        <v>3.0577740000000002</v>
      </c>
      <c r="K135" s="56">
        <v>4.1241589999999997</v>
      </c>
      <c r="L135" s="56">
        <v>982.12300000000005</v>
      </c>
      <c r="M135" s="56">
        <v>69.999570000000006</v>
      </c>
      <c r="N135" s="274">
        <v>8643.4740000000002</v>
      </c>
      <c r="O135" s="56">
        <v>8635.6630000000005</v>
      </c>
      <c r="P135" s="275">
        <v>2091.86</v>
      </c>
      <c r="Q135" s="275">
        <f t="shared" si="0"/>
        <v>2091.86</v>
      </c>
      <c r="R135" s="275" t="s">
        <v>570</v>
      </c>
      <c r="S135" s="275">
        <v>10</v>
      </c>
      <c r="T135" s="275">
        <v>5</v>
      </c>
      <c r="U135" s="275">
        <v>0.7</v>
      </c>
      <c r="V135" s="275">
        <v>0.7</v>
      </c>
      <c r="W135" s="275">
        <v>0.7</v>
      </c>
      <c r="X135" s="56">
        <v>2000</v>
      </c>
      <c r="Y135" s="56" t="s">
        <v>571</v>
      </c>
      <c r="Z135" s="56">
        <v>0.2</v>
      </c>
      <c r="AA135" s="56" t="s">
        <v>572</v>
      </c>
      <c r="AB135" s="56" t="s">
        <v>573</v>
      </c>
      <c r="AC135" s="56">
        <v>220</v>
      </c>
      <c r="AD135" s="277" t="s">
        <v>19</v>
      </c>
      <c r="AE135" s="277"/>
    </row>
    <row r="136" spans="1:31" ht="15.75" x14ac:dyDescent="0.25">
      <c r="A136" s="56" t="s">
        <v>703</v>
      </c>
      <c r="B136" s="56" t="s">
        <v>583</v>
      </c>
      <c r="C136" s="56" t="s">
        <v>532</v>
      </c>
      <c r="D136" s="56" t="s">
        <v>569</v>
      </c>
      <c r="E136" s="56">
        <v>0.8</v>
      </c>
      <c r="F136" s="284">
        <v>45743.587500000001</v>
      </c>
      <c r="G136" s="56">
        <v>1</v>
      </c>
      <c r="H136" s="56">
        <v>51.374099999999999</v>
      </c>
      <c r="I136" s="56">
        <v>9.4816000000000003</v>
      </c>
      <c r="J136" s="56">
        <v>3.129632</v>
      </c>
      <c r="K136" s="56">
        <v>4.676831</v>
      </c>
      <c r="L136" s="56">
        <v>981.13800000000003</v>
      </c>
      <c r="M136" s="56">
        <v>64.500839999999997</v>
      </c>
      <c r="N136" s="274">
        <v>8627.8510000000006</v>
      </c>
      <c r="O136" s="56">
        <v>8635.6630000000005</v>
      </c>
      <c r="P136" s="275">
        <v>2091.86</v>
      </c>
      <c r="Q136" s="275">
        <f t="shared" si="0"/>
        <v>2091.86</v>
      </c>
      <c r="R136" s="275" t="s">
        <v>570</v>
      </c>
      <c r="S136" s="275">
        <v>10</v>
      </c>
      <c r="T136" s="275">
        <v>5</v>
      </c>
      <c r="U136" s="275">
        <v>0.7</v>
      </c>
      <c r="V136" s="275">
        <v>0.7</v>
      </c>
      <c r="W136" s="275">
        <v>0.7</v>
      </c>
      <c r="X136" s="56">
        <v>2000</v>
      </c>
      <c r="Y136" s="56" t="s">
        <v>571</v>
      </c>
      <c r="Z136" s="56">
        <v>0.2</v>
      </c>
      <c r="AA136" s="56" t="s">
        <v>572</v>
      </c>
      <c r="AB136" s="56" t="s">
        <v>573</v>
      </c>
      <c r="AC136" s="56">
        <v>220</v>
      </c>
      <c r="AD136" s="277" t="s">
        <v>19</v>
      </c>
      <c r="AE136" s="277"/>
    </row>
    <row r="137" spans="1:31" ht="15.75" x14ac:dyDescent="0.25">
      <c r="A137" s="56" t="s">
        <v>704</v>
      </c>
      <c r="B137" s="56" t="s">
        <v>589</v>
      </c>
      <c r="C137" s="56" t="s">
        <v>532</v>
      </c>
      <c r="D137" s="56" t="s">
        <v>569</v>
      </c>
      <c r="E137" s="56">
        <v>1</v>
      </c>
      <c r="F137" s="284">
        <v>45743.590277777781</v>
      </c>
      <c r="G137" s="56">
        <v>1</v>
      </c>
      <c r="H137" s="56">
        <v>51.374099999999999</v>
      </c>
      <c r="I137" s="56">
        <v>9.3152799999999996</v>
      </c>
      <c r="J137" s="56">
        <v>3.1775850000000001</v>
      </c>
      <c r="K137" s="56">
        <v>4.5318529999999999</v>
      </c>
      <c r="L137" s="56">
        <v>1018.49</v>
      </c>
      <c r="M137" s="56">
        <v>70.999359999999996</v>
      </c>
      <c r="N137" s="274">
        <v>10837.38</v>
      </c>
      <c r="O137" s="56">
        <v>10834.98</v>
      </c>
      <c r="P137" s="275">
        <v>2091.86</v>
      </c>
      <c r="Q137" s="275">
        <f t="shared" si="0"/>
        <v>2091.86</v>
      </c>
      <c r="R137" s="275" t="s">
        <v>570</v>
      </c>
      <c r="S137" s="275">
        <v>10</v>
      </c>
      <c r="T137" s="275">
        <v>5</v>
      </c>
      <c r="U137" s="275">
        <v>0.7</v>
      </c>
      <c r="V137" s="275">
        <v>0.7</v>
      </c>
      <c r="W137" s="275">
        <v>0.7</v>
      </c>
      <c r="X137" s="56">
        <v>2000</v>
      </c>
      <c r="Y137" s="56" t="s">
        <v>571</v>
      </c>
      <c r="Z137" s="56">
        <v>0.2</v>
      </c>
      <c r="AA137" s="56" t="s">
        <v>572</v>
      </c>
      <c r="AB137" s="56" t="s">
        <v>573</v>
      </c>
      <c r="AC137" s="56">
        <v>220</v>
      </c>
      <c r="AD137" s="277" t="s">
        <v>19</v>
      </c>
      <c r="AE137" s="277"/>
    </row>
    <row r="138" spans="1:31" ht="15.75" x14ac:dyDescent="0.25">
      <c r="A138" s="56" t="s">
        <v>705</v>
      </c>
      <c r="B138" s="56" t="s">
        <v>589</v>
      </c>
      <c r="C138" s="56" t="s">
        <v>532</v>
      </c>
      <c r="D138" s="56" t="s">
        <v>569</v>
      </c>
      <c r="E138" s="56">
        <v>1</v>
      </c>
      <c r="F138" s="284">
        <v>45743.59375</v>
      </c>
      <c r="G138" s="56">
        <v>1</v>
      </c>
      <c r="H138" s="56">
        <v>51.377400000000002</v>
      </c>
      <c r="I138" s="56">
        <v>9.3874499999999994</v>
      </c>
      <c r="J138" s="56">
        <v>3.1923170000000001</v>
      </c>
      <c r="K138" s="56">
        <v>5.4173629999999999</v>
      </c>
      <c r="L138" s="56">
        <v>1025.55</v>
      </c>
      <c r="M138" s="56">
        <v>62.999369999999999</v>
      </c>
      <c r="N138" s="274">
        <v>10832.58</v>
      </c>
      <c r="O138" s="56">
        <v>10834.98</v>
      </c>
      <c r="P138" s="275">
        <v>2091.86</v>
      </c>
      <c r="Q138" s="275">
        <f t="shared" si="0"/>
        <v>2091.86</v>
      </c>
      <c r="R138" s="275" t="s">
        <v>570</v>
      </c>
      <c r="S138" s="275">
        <v>10</v>
      </c>
      <c r="T138" s="275">
        <v>5</v>
      </c>
      <c r="U138" s="275">
        <v>0.7</v>
      </c>
      <c r="V138" s="275">
        <v>0.7</v>
      </c>
      <c r="W138" s="275">
        <v>0.7</v>
      </c>
      <c r="X138" s="56">
        <v>2000</v>
      </c>
      <c r="Y138" s="56" t="s">
        <v>571</v>
      </c>
      <c r="Z138" s="56">
        <v>0.2</v>
      </c>
      <c r="AA138" s="56" t="s">
        <v>572</v>
      </c>
      <c r="AB138" s="56" t="s">
        <v>573</v>
      </c>
      <c r="AC138" s="56">
        <v>220</v>
      </c>
      <c r="AD138" s="277" t="s">
        <v>19</v>
      </c>
      <c r="AE138" s="277"/>
    </row>
    <row r="139" spans="1:31" ht="15.75" x14ac:dyDescent="0.25">
      <c r="A139" s="56" t="s">
        <v>706</v>
      </c>
      <c r="B139" s="56" t="s">
        <v>594</v>
      </c>
      <c r="C139" s="56" t="s">
        <v>532</v>
      </c>
      <c r="D139" s="56" t="s">
        <v>569</v>
      </c>
      <c r="E139" s="56">
        <v>1.2</v>
      </c>
      <c r="F139" s="284">
        <v>45743.59652777778</v>
      </c>
      <c r="G139" s="56">
        <v>1</v>
      </c>
      <c r="H139" s="56">
        <v>51.377400000000002</v>
      </c>
      <c r="I139" s="56">
        <v>9.3339800000000004</v>
      </c>
      <c r="J139" s="56">
        <v>3.1576140000000001</v>
      </c>
      <c r="K139" s="56">
        <v>3.9951370000000002</v>
      </c>
      <c r="L139" s="56">
        <v>1060.3800000000001</v>
      </c>
      <c r="M139" s="56">
        <v>91.499690000000001</v>
      </c>
      <c r="N139" s="274">
        <v>13089.76</v>
      </c>
      <c r="O139" s="56">
        <v>13035.07</v>
      </c>
      <c r="P139" s="275">
        <v>2091.86</v>
      </c>
      <c r="Q139" s="275">
        <f t="shared" si="0"/>
        <v>2091.86</v>
      </c>
      <c r="R139" s="275" t="s">
        <v>584</v>
      </c>
      <c r="S139" s="275">
        <v>10</v>
      </c>
      <c r="T139" s="275">
        <v>5</v>
      </c>
      <c r="U139" s="275">
        <v>0.7</v>
      </c>
      <c r="V139" s="275">
        <v>0.7</v>
      </c>
      <c r="W139" s="275">
        <v>0.7</v>
      </c>
      <c r="X139" s="56">
        <v>2000</v>
      </c>
      <c r="Y139" s="56" t="s">
        <v>571</v>
      </c>
      <c r="Z139" s="56">
        <v>0.2</v>
      </c>
      <c r="AA139" s="56" t="s">
        <v>572</v>
      </c>
      <c r="AB139" s="56" t="s">
        <v>573</v>
      </c>
      <c r="AC139" s="56">
        <v>220</v>
      </c>
      <c r="AD139" s="277" t="s">
        <v>19</v>
      </c>
      <c r="AE139" s="277"/>
    </row>
    <row r="140" spans="1:31" ht="15.75" x14ac:dyDescent="0.25">
      <c r="A140" s="56" t="s">
        <v>707</v>
      </c>
      <c r="B140" s="56" t="s">
        <v>594</v>
      </c>
      <c r="C140" s="56" t="s">
        <v>532</v>
      </c>
      <c r="D140" s="56" t="s">
        <v>569</v>
      </c>
      <c r="E140" s="56">
        <v>1.2</v>
      </c>
      <c r="F140" s="284">
        <v>45743.599305555559</v>
      </c>
      <c r="G140" s="56">
        <v>1</v>
      </c>
      <c r="H140" s="56">
        <v>51.374099999999999</v>
      </c>
      <c r="I140" s="56">
        <v>9.4440100000000005</v>
      </c>
      <c r="J140" s="56">
        <v>3.2158579999999999</v>
      </c>
      <c r="K140" s="56">
        <v>4.8481139999999998</v>
      </c>
      <c r="L140" s="56">
        <v>1054.33</v>
      </c>
      <c r="M140" s="56">
        <v>70.999610000000004</v>
      </c>
      <c r="N140" s="274">
        <v>13023.13</v>
      </c>
      <c r="O140" s="56">
        <v>13035.07</v>
      </c>
      <c r="P140" s="275">
        <v>2091.86</v>
      </c>
      <c r="Q140" s="275">
        <f t="shared" si="0"/>
        <v>2091.86</v>
      </c>
      <c r="R140" s="275" t="s">
        <v>570</v>
      </c>
      <c r="S140" s="275">
        <v>10</v>
      </c>
      <c r="T140" s="275">
        <v>5</v>
      </c>
      <c r="U140" s="275">
        <v>0.7</v>
      </c>
      <c r="V140" s="275">
        <v>0.7</v>
      </c>
      <c r="W140" s="275">
        <v>0.7</v>
      </c>
      <c r="X140" s="56">
        <v>2000</v>
      </c>
      <c r="Y140" s="56" t="s">
        <v>571</v>
      </c>
      <c r="Z140" s="56">
        <v>0.2</v>
      </c>
      <c r="AA140" s="56" t="s">
        <v>572</v>
      </c>
      <c r="AB140" s="56" t="s">
        <v>573</v>
      </c>
      <c r="AC140" s="56">
        <v>220</v>
      </c>
      <c r="AD140" s="277" t="s">
        <v>19</v>
      </c>
      <c r="AE140" s="277"/>
    </row>
    <row r="141" spans="1:31" ht="15.75" x14ac:dyDescent="0.25">
      <c r="A141" s="56" t="s">
        <v>708</v>
      </c>
      <c r="B141" s="56" t="s">
        <v>594</v>
      </c>
      <c r="C141" s="56" t="s">
        <v>532</v>
      </c>
      <c r="D141" s="56" t="s">
        <v>569</v>
      </c>
      <c r="E141" s="56">
        <v>1.2</v>
      </c>
      <c r="F141" s="284">
        <v>45743.602083333331</v>
      </c>
      <c r="G141" s="56">
        <v>1</v>
      </c>
      <c r="H141" s="56">
        <v>51.370800000000003</v>
      </c>
      <c r="I141" s="56">
        <v>9.3836200000000005</v>
      </c>
      <c r="J141" s="56">
        <v>3.2286269999999999</v>
      </c>
      <c r="K141" s="56">
        <v>4.872744</v>
      </c>
      <c r="L141" s="56">
        <v>1072.45</v>
      </c>
      <c r="M141" s="56">
        <v>72.001689999999996</v>
      </c>
      <c r="N141" s="274">
        <v>13047.02</v>
      </c>
      <c r="O141" s="56">
        <v>13035.07</v>
      </c>
      <c r="P141" s="275">
        <v>2091.86</v>
      </c>
      <c r="Q141" s="275">
        <f t="shared" si="0"/>
        <v>2091.86</v>
      </c>
      <c r="R141" s="275" t="s">
        <v>570</v>
      </c>
      <c r="S141" s="275">
        <v>10</v>
      </c>
      <c r="T141" s="275">
        <v>5</v>
      </c>
      <c r="U141" s="275">
        <v>0.7</v>
      </c>
      <c r="V141" s="275">
        <v>0.7</v>
      </c>
      <c r="W141" s="275">
        <v>0.7</v>
      </c>
      <c r="X141" s="56">
        <v>2000</v>
      </c>
      <c r="Y141" s="56" t="s">
        <v>571</v>
      </c>
      <c r="Z141" s="56">
        <v>0.2</v>
      </c>
      <c r="AA141" s="56" t="s">
        <v>572</v>
      </c>
      <c r="AB141" s="56" t="s">
        <v>573</v>
      </c>
      <c r="AC141" s="56">
        <v>220</v>
      </c>
      <c r="AD141" s="277" t="s">
        <v>19</v>
      </c>
      <c r="AE141" s="277"/>
    </row>
    <row r="142" spans="1:31" ht="15.75" x14ac:dyDescent="0.25">
      <c r="A142" s="280" t="s">
        <v>622</v>
      </c>
      <c r="B142" s="280">
        <v>2</v>
      </c>
      <c r="C142" s="280" t="s">
        <v>532</v>
      </c>
      <c r="D142" s="280" t="s">
        <v>569</v>
      </c>
      <c r="E142" s="280">
        <v>1</v>
      </c>
      <c r="F142" s="285">
        <v>45743.604861111111</v>
      </c>
      <c r="G142" s="280">
        <v>1</v>
      </c>
      <c r="H142" s="280">
        <v>51.380699999999997</v>
      </c>
      <c r="I142" s="280">
        <v>9.3265700000000002</v>
      </c>
      <c r="J142" s="280">
        <v>3.2935240000000001</v>
      </c>
      <c r="K142" s="280">
        <v>3.9530799999999999</v>
      </c>
      <c r="L142" s="280">
        <v>1043.23</v>
      </c>
      <c r="M142" s="280">
        <v>87.500339999999994</v>
      </c>
      <c r="N142" s="282">
        <v>10842</v>
      </c>
      <c r="O142" s="280">
        <v>10840.46</v>
      </c>
      <c r="P142" s="283">
        <v>2092.8519999999999</v>
      </c>
      <c r="Q142" s="275">
        <f t="shared" si="0"/>
        <v>2092.8519999999999</v>
      </c>
      <c r="R142" s="283" t="s">
        <v>570</v>
      </c>
      <c r="S142" s="275">
        <v>10</v>
      </c>
      <c r="T142" s="275">
        <v>5</v>
      </c>
      <c r="U142" s="275">
        <v>0.7</v>
      </c>
      <c r="V142" s="275">
        <v>0.7</v>
      </c>
      <c r="W142" s="275">
        <v>0.7</v>
      </c>
      <c r="X142" s="56">
        <v>2000</v>
      </c>
      <c r="Y142" s="56" t="s">
        <v>571</v>
      </c>
      <c r="Z142" s="56">
        <v>0.2</v>
      </c>
      <c r="AA142" s="56" t="s">
        <v>572</v>
      </c>
      <c r="AB142" s="56" t="s">
        <v>573</v>
      </c>
      <c r="AC142" s="56">
        <v>220</v>
      </c>
      <c r="AD142" s="277" t="s">
        <v>19</v>
      </c>
      <c r="AE142" s="277"/>
    </row>
    <row r="143" spans="1:31" ht="15.75" x14ac:dyDescent="0.25">
      <c r="A143" s="280" t="s">
        <v>624</v>
      </c>
      <c r="B143" s="280">
        <v>2</v>
      </c>
      <c r="C143" s="280" t="s">
        <v>532</v>
      </c>
      <c r="D143" s="280" t="s">
        <v>569</v>
      </c>
      <c r="E143" s="280">
        <v>1</v>
      </c>
      <c r="F143" s="285">
        <v>45743.60833333333</v>
      </c>
      <c r="G143" s="280">
        <v>1</v>
      </c>
      <c r="H143" s="280">
        <v>51.374099999999999</v>
      </c>
      <c r="I143" s="280">
        <v>9.3040500000000002</v>
      </c>
      <c r="J143" s="280">
        <v>3.2378429999999998</v>
      </c>
      <c r="K143" s="280">
        <v>4.2056990000000001</v>
      </c>
      <c r="L143" s="280">
        <v>1033.05</v>
      </c>
      <c r="M143" s="280">
        <v>76.999639999999999</v>
      </c>
      <c r="N143" s="282">
        <v>10838.91</v>
      </c>
      <c r="O143" s="280">
        <v>10840.46</v>
      </c>
      <c r="P143" s="283">
        <v>2092.8519999999999</v>
      </c>
      <c r="Q143" s="275">
        <f t="shared" si="0"/>
        <v>2092.8519999999999</v>
      </c>
      <c r="R143" s="283" t="s">
        <v>570</v>
      </c>
      <c r="S143" s="275">
        <v>10</v>
      </c>
      <c r="T143" s="275">
        <v>5</v>
      </c>
      <c r="U143" s="275">
        <v>0.7</v>
      </c>
      <c r="V143" s="275">
        <v>0.7</v>
      </c>
      <c r="W143" s="275">
        <v>0.7</v>
      </c>
      <c r="X143" s="56">
        <v>2000</v>
      </c>
      <c r="Y143" s="56" t="s">
        <v>571</v>
      </c>
      <c r="Z143" s="56">
        <v>0.2</v>
      </c>
      <c r="AA143" s="56" t="s">
        <v>572</v>
      </c>
      <c r="AB143" s="56" t="s">
        <v>573</v>
      </c>
      <c r="AC143" s="56">
        <v>220</v>
      </c>
      <c r="AD143" s="277" t="s">
        <v>19</v>
      </c>
      <c r="AE143" s="277"/>
    </row>
    <row r="144" spans="1:31" ht="15.75" x14ac:dyDescent="0.25">
      <c r="A144" s="56" t="s">
        <v>628</v>
      </c>
      <c r="B144" s="56">
        <v>3</v>
      </c>
      <c r="C144" s="56">
        <v>560</v>
      </c>
      <c r="D144" s="56" t="s">
        <v>600</v>
      </c>
      <c r="E144" s="56">
        <v>1</v>
      </c>
      <c r="F144" s="284">
        <v>45743.611805555556</v>
      </c>
      <c r="G144" s="56">
        <v>1</v>
      </c>
      <c r="H144" s="56">
        <v>51.377400000000002</v>
      </c>
      <c r="I144" s="56">
        <v>9.4029199999999999</v>
      </c>
      <c r="J144" s="56">
        <v>3.2175370000000001</v>
      </c>
      <c r="K144" s="56">
        <v>5.173311</v>
      </c>
      <c r="L144" s="56">
        <v>1061.8699999999999</v>
      </c>
      <c r="M144" s="56">
        <v>63.499969999999998</v>
      </c>
      <c r="N144" s="274">
        <v>10813.7</v>
      </c>
      <c r="O144" s="56">
        <v>10815.39</v>
      </c>
      <c r="P144" s="275">
        <v>2088.0859999999998</v>
      </c>
      <c r="Q144" s="275">
        <f t="shared" si="0"/>
        <v>2088.0859999999998</v>
      </c>
      <c r="R144" s="275" t="s">
        <v>570</v>
      </c>
      <c r="S144" s="275">
        <v>10</v>
      </c>
      <c r="T144" s="275">
        <v>5</v>
      </c>
      <c r="U144" s="275">
        <v>0.7</v>
      </c>
      <c r="V144" s="275">
        <v>0.7</v>
      </c>
      <c r="W144" s="275">
        <v>0.7</v>
      </c>
      <c r="X144" s="56">
        <v>2000</v>
      </c>
      <c r="Y144" s="56" t="s">
        <v>571</v>
      </c>
      <c r="Z144" s="56">
        <v>0.2</v>
      </c>
      <c r="AA144" s="56" t="s">
        <v>572</v>
      </c>
      <c r="AB144" s="56" t="s">
        <v>573</v>
      </c>
      <c r="AC144" s="56">
        <v>220</v>
      </c>
      <c r="AD144" s="277" t="s">
        <v>19</v>
      </c>
      <c r="AE144" s="277"/>
    </row>
    <row r="145" spans="1:31" ht="15.75" x14ac:dyDescent="0.25">
      <c r="A145" s="56" t="s">
        <v>630</v>
      </c>
      <c r="B145" s="56">
        <v>3</v>
      </c>
      <c r="C145" s="56">
        <v>560</v>
      </c>
      <c r="D145" s="56" t="s">
        <v>600</v>
      </c>
      <c r="E145" s="56">
        <v>1</v>
      </c>
      <c r="F145" s="284">
        <v>45743.613888888889</v>
      </c>
      <c r="G145" s="56">
        <v>1</v>
      </c>
      <c r="H145" s="56">
        <v>51.380699999999997</v>
      </c>
      <c r="I145" s="56">
        <v>9.4728999999999992</v>
      </c>
      <c r="J145" s="56">
        <v>3.3377270000000001</v>
      </c>
      <c r="K145" s="56">
        <v>4.3700109999999999</v>
      </c>
      <c r="L145" s="56">
        <v>1028.3800000000001</v>
      </c>
      <c r="M145" s="56">
        <v>73.999650000000003</v>
      </c>
      <c r="N145" s="274">
        <v>10817.09</v>
      </c>
      <c r="O145" s="56">
        <v>10815.39</v>
      </c>
      <c r="P145" s="275">
        <v>2088.0859999999998</v>
      </c>
      <c r="Q145" s="275">
        <f t="shared" si="0"/>
        <v>2088.0859999999998</v>
      </c>
      <c r="R145" s="275" t="s">
        <v>570</v>
      </c>
      <c r="S145" s="275">
        <v>10</v>
      </c>
      <c r="T145" s="275">
        <v>5</v>
      </c>
      <c r="U145" s="275">
        <v>0.7</v>
      </c>
      <c r="V145" s="275">
        <v>0.7</v>
      </c>
      <c r="W145" s="275">
        <v>0.7</v>
      </c>
      <c r="X145" s="56">
        <v>2000</v>
      </c>
      <c r="Y145" s="56" t="s">
        <v>571</v>
      </c>
      <c r="Z145" s="56">
        <v>0.2</v>
      </c>
      <c r="AA145" s="56" t="s">
        <v>572</v>
      </c>
      <c r="AB145" s="56" t="s">
        <v>573</v>
      </c>
      <c r="AC145" s="56">
        <v>220</v>
      </c>
      <c r="AD145" s="277" t="s">
        <v>19</v>
      </c>
      <c r="AE145" s="277"/>
    </row>
    <row r="146" spans="1:31" ht="15.75" x14ac:dyDescent="0.25">
      <c r="A146" s="56" t="s">
        <v>632</v>
      </c>
      <c r="B146" s="56">
        <v>4</v>
      </c>
      <c r="C146" s="56">
        <v>561</v>
      </c>
      <c r="D146" s="56" t="s">
        <v>604</v>
      </c>
      <c r="E146" s="56">
        <v>1</v>
      </c>
      <c r="F146" s="284">
        <v>45743.617361111108</v>
      </c>
      <c r="G146" s="56">
        <v>1</v>
      </c>
      <c r="H146" s="56">
        <v>51.380699999999997</v>
      </c>
      <c r="I146" s="56">
        <v>9.3972200000000008</v>
      </c>
      <c r="J146" s="56">
        <v>3.2813080000000001</v>
      </c>
      <c r="K146" s="56">
        <v>4.8599810000000003</v>
      </c>
      <c r="L146" s="56">
        <v>1042.25</v>
      </c>
      <c r="M146" s="56">
        <v>66.001180000000005</v>
      </c>
      <c r="N146" s="274">
        <v>10812.37</v>
      </c>
      <c r="O146" s="56">
        <v>10821.27</v>
      </c>
      <c r="P146" s="275">
        <v>2089.203</v>
      </c>
      <c r="Q146" s="275">
        <f t="shared" si="0"/>
        <v>2089.203</v>
      </c>
      <c r="R146" s="275" t="s">
        <v>584</v>
      </c>
      <c r="S146" s="275">
        <v>10</v>
      </c>
      <c r="T146" s="275">
        <v>5</v>
      </c>
      <c r="U146" s="275">
        <v>0.7</v>
      </c>
      <c r="V146" s="275">
        <v>0.7</v>
      </c>
      <c r="W146" s="275">
        <v>0.7</v>
      </c>
      <c r="X146" s="56">
        <v>2000</v>
      </c>
      <c r="Y146" s="56" t="s">
        <v>571</v>
      </c>
      <c r="Z146" s="56">
        <v>0.2</v>
      </c>
      <c r="AA146" s="56" t="s">
        <v>572</v>
      </c>
      <c r="AB146" s="56" t="s">
        <v>573</v>
      </c>
      <c r="AC146" s="56">
        <v>220</v>
      </c>
      <c r="AD146" s="277" t="s">
        <v>19</v>
      </c>
      <c r="AE146" s="277"/>
    </row>
    <row r="147" spans="1:31" ht="15.75" x14ac:dyDescent="0.25">
      <c r="A147" s="56" t="s">
        <v>634</v>
      </c>
      <c r="B147" s="56">
        <v>4</v>
      </c>
      <c r="C147" s="56">
        <v>561</v>
      </c>
      <c r="D147" s="56" t="s">
        <v>604</v>
      </c>
      <c r="E147" s="56">
        <v>1</v>
      </c>
      <c r="F147" s="284">
        <v>45743.620138888888</v>
      </c>
      <c r="G147" s="56">
        <v>1</v>
      </c>
      <c r="H147" s="56">
        <v>51.380699999999997</v>
      </c>
      <c r="I147" s="56">
        <v>9.5655800000000006</v>
      </c>
      <c r="J147" s="56">
        <v>3.2152400000000001</v>
      </c>
      <c r="K147" s="56">
        <v>4.5024920000000002</v>
      </c>
      <c r="L147" s="56">
        <v>1061.4000000000001</v>
      </c>
      <c r="M147" s="56">
        <v>71.000550000000004</v>
      </c>
      <c r="N147" s="274">
        <v>10846.97</v>
      </c>
      <c r="O147" s="56">
        <v>10821.27</v>
      </c>
      <c r="P147" s="275">
        <v>2089.203</v>
      </c>
      <c r="Q147" s="275">
        <f t="shared" si="0"/>
        <v>2089.203</v>
      </c>
      <c r="R147" s="275" t="s">
        <v>584</v>
      </c>
      <c r="S147" s="275">
        <v>10</v>
      </c>
      <c r="T147" s="275">
        <v>5</v>
      </c>
      <c r="U147" s="275">
        <v>0.7</v>
      </c>
      <c r="V147" s="275">
        <v>0.7</v>
      </c>
      <c r="W147" s="275">
        <v>0.7</v>
      </c>
      <c r="X147" s="56">
        <v>2000</v>
      </c>
      <c r="Y147" s="56" t="s">
        <v>571</v>
      </c>
      <c r="Z147" s="56">
        <v>0.2</v>
      </c>
      <c r="AA147" s="56" t="s">
        <v>572</v>
      </c>
      <c r="AB147" s="56" t="s">
        <v>573</v>
      </c>
      <c r="AC147" s="56">
        <v>220</v>
      </c>
      <c r="AD147" s="277" t="s">
        <v>19</v>
      </c>
      <c r="AE147" s="277"/>
    </row>
    <row r="148" spans="1:31" ht="15.75" x14ac:dyDescent="0.25">
      <c r="A148" s="56" t="s">
        <v>635</v>
      </c>
      <c r="B148" s="56">
        <v>4</v>
      </c>
      <c r="C148" s="56">
        <v>561</v>
      </c>
      <c r="D148" s="56" t="s">
        <v>604</v>
      </c>
      <c r="E148" s="56">
        <v>1</v>
      </c>
      <c r="F148" s="284">
        <v>45743.623611111114</v>
      </c>
      <c r="G148" s="56">
        <v>1</v>
      </c>
      <c r="H148" s="56">
        <v>51.374099999999999</v>
      </c>
      <c r="I148" s="56">
        <v>9.5545899999999993</v>
      </c>
      <c r="J148" s="56">
        <v>3.3953159999999998</v>
      </c>
      <c r="K148" s="56">
        <v>4.4758389999999997</v>
      </c>
      <c r="L148" s="56">
        <v>1031.67</v>
      </c>
      <c r="M148" s="56">
        <v>73.499830000000003</v>
      </c>
      <c r="N148" s="274">
        <v>10824.34</v>
      </c>
      <c r="O148" s="56">
        <v>10821.27</v>
      </c>
      <c r="P148" s="275">
        <v>2089.203</v>
      </c>
      <c r="Q148" s="275">
        <f t="shared" si="0"/>
        <v>2089.203</v>
      </c>
      <c r="R148" s="275" t="s">
        <v>570</v>
      </c>
      <c r="S148" s="275">
        <v>10</v>
      </c>
      <c r="T148" s="275">
        <v>5</v>
      </c>
      <c r="U148" s="275">
        <v>0.7</v>
      </c>
      <c r="V148" s="275">
        <v>0.7</v>
      </c>
      <c r="W148" s="275">
        <v>0.7</v>
      </c>
      <c r="X148" s="56">
        <v>2000</v>
      </c>
      <c r="Y148" s="56" t="s">
        <v>571</v>
      </c>
      <c r="Z148" s="56">
        <v>0.2</v>
      </c>
      <c r="AA148" s="56" t="s">
        <v>572</v>
      </c>
      <c r="AB148" s="56" t="s">
        <v>573</v>
      </c>
      <c r="AC148" s="56">
        <v>220</v>
      </c>
      <c r="AD148" s="277" t="s">
        <v>19</v>
      </c>
      <c r="AE148" s="277"/>
    </row>
    <row r="149" spans="1:31" ht="15.75" x14ac:dyDescent="0.25">
      <c r="A149" s="56" t="s">
        <v>709</v>
      </c>
      <c r="B149" s="56">
        <v>4</v>
      </c>
      <c r="C149" s="56">
        <v>561</v>
      </c>
      <c r="D149" s="56" t="s">
        <v>604</v>
      </c>
      <c r="E149" s="56">
        <v>1</v>
      </c>
      <c r="F149" s="284">
        <v>45743.626388888886</v>
      </c>
      <c r="G149" s="56">
        <v>1</v>
      </c>
      <c r="H149" s="56">
        <v>51.374099999999999</v>
      </c>
      <c r="I149" s="56">
        <v>9.5498499999999993</v>
      </c>
      <c r="J149" s="56">
        <v>3.2254160000000001</v>
      </c>
      <c r="K149" s="56">
        <v>4.7385039999999998</v>
      </c>
      <c r="L149" s="56">
        <v>1024.7</v>
      </c>
      <c r="M149" s="56">
        <v>68.999070000000003</v>
      </c>
      <c r="N149" s="274">
        <v>10818.2</v>
      </c>
      <c r="O149" s="56">
        <v>10821.27</v>
      </c>
      <c r="P149" s="275">
        <v>2089.203</v>
      </c>
      <c r="Q149" s="275">
        <f t="shared" si="0"/>
        <v>2089.203</v>
      </c>
      <c r="R149" s="275" t="s">
        <v>570</v>
      </c>
      <c r="S149" s="275">
        <v>10</v>
      </c>
      <c r="T149" s="275">
        <v>5</v>
      </c>
      <c r="U149" s="275">
        <v>0.7</v>
      </c>
      <c r="V149" s="275">
        <v>0.7</v>
      </c>
      <c r="W149" s="275">
        <v>0.7</v>
      </c>
      <c r="X149" s="56">
        <v>2000</v>
      </c>
      <c r="Y149" s="56" t="s">
        <v>571</v>
      </c>
      <c r="Z149" s="56">
        <v>0.2</v>
      </c>
      <c r="AA149" s="56" t="s">
        <v>572</v>
      </c>
      <c r="AB149" s="56" t="s">
        <v>573</v>
      </c>
      <c r="AC149" s="56">
        <v>220</v>
      </c>
      <c r="AD149" s="277" t="s">
        <v>19</v>
      </c>
      <c r="AE149" s="277"/>
    </row>
    <row r="150" spans="1:31" ht="15.75" x14ac:dyDescent="0.25">
      <c r="A150" s="56" t="s">
        <v>636</v>
      </c>
      <c r="B150" s="56">
        <v>5</v>
      </c>
      <c r="C150" s="56">
        <v>430</v>
      </c>
      <c r="D150" s="56" t="s">
        <v>608</v>
      </c>
      <c r="E150" s="56">
        <v>1</v>
      </c>
      <c r="F150" s="284">
        <v>45743.629166666666</v>
      </c>
      <c r="G150" s="56">
        <v>1</v>
      </c>
      <c r="H150" s="56">
        <v>51.377400000000002</v>
      </c>
      <c r="I150" s="56">
        <v>9.3232400000000002</v>
      </c>
      <c r="J150" s="56">
        <v>3.3403450000000001</v>
      </c>
      <c r="K150" s="56">
        <v>4.2948110000000002</v>
      </c>
      <c r="L150" s="56">
        <v>1043.77</v>
      </c>
      <c r="M150" s="56">
        <v>79.000410000000002</v>
      </c>
      <c r="N150" s="274">
        <v>10855.29</v>
      </c>
      <c r="O150" s="56">
        <v>10856.49</v>
      </c>
      <c r="P150" s="275">
        <v>2095.9009999999998</v>
      </c>
      <c r="Q150" s="275">
        <f t="shared" si="0"/>
        <v>2095.9009999999998</v>
      </c>
      <c r="R150" s="275" t="s">
        <v>570</v>
      </c>
      <c r="S150" s="275">
        <v>10</v>
      </c>
      <c r="T150" s="275">
        <v>5</v>
      </c>
      <c r="U150" s="275">
        <v>0.7</v>
      </c>
      <c r="V150" s="275">
        <v>0.7</v>
      </c>
      <c r="W150" s="275">
        <v>0.7</v>
      </c>
      <c r="X150" s="56">
        <v>2000</v>
      </c>
      <c r="Y150" s="56" t="s">
        <v>571</v>
      </c>
      <c r="Z150" s="56">
        <v>0.2</v>
      </c>
      <c r="AA150" s="56" t="s">
        <v>572</v>
      </c>
      <c r="AB150" s="56" t="s">
        <v>573</v>
      </c>
      <c r="AC150" s="56">
        <v>220</v>
      </c>
      <c r="AD150" s="277" t="s">
        <v>19</v>
      </c>
      <c r="AE150" s="277"/>
    </row>
    <row r="151" spans="1:31" ht="15.75" x14ac:dyDescent="0.25">
      <c r="A151" s="56" t="s">
        <v>638</v>
      </c>
      <c r="B151" s="56">
        <v>5</v>
      </c>
      <c r="C151" s="56">
        <v>430</v>
      </c>
      <c r="D151" s="56" t="s">
        <v>608</v>
      </c>
      <c r="E151" s="56">
        <v>1</v>
      </c>
      <c r="F151" s="284">
        <v>45743.632638888892</v>
      </c>
      <c r="G151" s="56">
        <v>1</v>
      </c>
      <c r="H151" s="56">
        <v>51.374099999999999</v>
      </c>
      <c r="I151" s="56">
        <v>9.6374899999999997</v>
      </c>
      <c r="J151" s="56">
        <v>3.2738589999999999</v>
      </c>
      <c r="K151" s="56">
        <v>4.4483009999999998</v>
      </c>
      <c r="L151" s="56">
        <v>1037.6500000000001</v>
      </c>
      <c r="M151" s="56">
        <v>74.99991</v>
      </c>
      <c r="N151" s="274">
        <v>10857.69</v>
      </c>
      <c r="O151" s="56">
        <v>10856.49</v>
      </c>
      <c r="P151" s="275">
        <v>2095.9009999999998</v>
      </c>
      <c r="Q151" s="275">
        <f t="shared" si="0"/>
        <v>2095.9009999999998</v>
      </c>
      <c r="R151" s="275" t="s">
        <v>570</v>
      </c>
      <c r="S151" s="275">
        <v>10</v>
      </c>
      <c r="T151" s="275">
        <v>5</v>
      </c>
      <c r="U151" s="275">
        <v>0.7</v>
      </c>
      <c r="V151" s="275">
        <v>0.7</v>
      </c>
      <c r="W151" s="275">
        <v>0.7</v>
      </c>
      <c r="X151" s="56">
        <v>2000</v>
      </c>
      <c r="Y151" s="56" t="s">
        <v>571</v>
      </c>
      <c r="Z151" s="56">
        <v>0.2</v>
      </c>
      <c r="AA151" s="56" t="s">
        <v>572</v>
      </c>
      <c r="AB151" s="56" t="s">
        <v>573</v>
      </c>
      <c r="AC151" s="56">
        <v>220</v>
      </c>
      <c r="AD151" s="277" t="s">
        <v>19</v>
      </c>
      <c r="AE151" s="277"/>
    </row>
    <row r="152" spans="1:31" ht="15.75" x14ac:dyDescent="0.25">
      <c r="A152" s="56" t="s">
        <v>639</v>
      </c>
      <c r="B152" s="56">
        <v>6</v>
      </c>
      <c r="C152" s="56">
        <v>431</v>
      </c>
      <c r="D152" s="56" t="s">
        <v>618</v>
      </c>
      <c r="E152" s="56">
        <v>1</v>
      </c>
      <c r="F152" s="284">
        <v>45743.636111111111</v>
      </c>
      <c r="G152" s="56">
        <v>1</v>
      </c>
      <c r="H152" s="56">
        <v>51.377400000000002</v>
      </c>
      <c r="I152" s="56">
        <v>9.4381500000000003</v>
      </c>
      <c r="J152" s="56">
        <v>3.2312110000000001</v>
      </c>
      <c r="K152" s="56">
        <v>4.3256139999999998</v>
      </c>
      <c r="L152" s="56">
        <v>1046.06</v>
      </c>
      <c r="M152" s="56">
        <v>77.000290000000007</v>
      </c>
      <c r="N152" s="274">
        <v>10861.63</v>
      </c>
      <c r="O152" s="56">
        <v>10863.69</v>
      </c>
      <c r="P152" s="275">
        <v>2097.2710000000002</v>
      </c>
      <c r="Q152" s="275">
        <f t="shared" si="0"/>
        <v>2097.2710000000002</v>
      </c>
      <c r="R152" s="275" t="s">
        <v>570</v>
      </c>
      <c r="S152" s="275">
        <v>10</v>
      </c>
      <c r="T152" s="275">
        <v>5</v>
      </c>
      <c r="U152" s="275">
        <v>0.7</v>
      </c>
      <c r="V152" s="275">
        <v>0.7</v>
      </c>
      <c r="W152" s="275">
        <v>0.7</v>
      </c>
      <c r="X152" s="56">
        <v>2000</v>
      </c>
      <c r="Y152" s="56" t="s">
        <v>571</v>
      </c>
      <c r="Z152" s="56">
        <v>0.2</v>
      </c>
      <c r="AA152" s="56" t="s">
        <v>572</v>
      </c>
      <c r="AB152" s="56" t="s">
        <v>573</v>
      </c>
      <c r="AC152" s="56">
        <v>220</v>
      </c>
      <c r="AD152" s="277" t="s">
        <v>19</v>
      </c>
      <c r="AE152" s="277"/>
    </row>
    <row r="153" spans="1:31" ht="15.75" x14ac:dyDescent="0.25">
      <c r="A153" s="56" t="s">
        <v>640</v>
      </c>
      <c r="B153" s="56">
        <v>6</v>
      </c>
      <c r="C153" s="56">
        <v>431</v>
      </c>
      <c r="D153" s="56" t="s">
        <v>618</v>
      </c>
      <c r="E153" s="56">
        <v>1</v>
      </c>
      <c r="F153" s="284">
        <v>45743.638888888891</v>
      </c>
      <c r="G153" s="56">
        <v>1</v>
      </c>
      <c r="H153" s="56">
        <v>51.377400000000002</v>
      </c>
      <c r="I153" s="56">
        <v>9.5459800000000001</v>
      </c>
      <c r="J153" s="56">
        <v>3.2717740000000002</v>
      </c>
      <c r="K153" s="56">
        <v>4.4702890000000002</v>
      </c>
      <c r="L153" s="56">
        <v>1028.5899999999999</v>
      </c>
      <c r="M153" s="56">
        <v>89.500619999999998</v>
      </c>
      <c r="N153" s="274">
        <v>10865.75</v>
      </c>
      <c r="O153" s="56">
        <v>10863.69</v>
      </c>
      <c r="P153" s="275">
        <v>2097.2710000000002</v>
      </c>
      <c r="Q153" s="275">
        <f t="shared" si="0"/>
        <v>2097.2710000000002</v>
      </c>
      <c r="R153" s="275" t="s">
        <v>570</v>
      </c>
      <c r="S153" s="275">
        <v>10</v>
      </c>
      <c r="T153" s="275">
        <v>5</v>
      </c>
      <c r="U153" s="275">
        <v>0.7</v>
      </c>
      <c r="V153" s="275">
        <v>0.7</v>
      </c>
      <c r="W153" s="275">
        <v>0.7</v>
      </c>
      <c r="X153" s="56">
        <v>2000</v>
      </c>
      <c r="Y153" s="56" t="s">
        <v>571</v>
      </c>
      <c r="Z153" s="56">
        <v>0.2</v>
      </c>
      <c r="AA153" s="56" t="s">
        <v>572</v>
      </c>
      <c r="AB153" s="56" t="s">
        <v>573</v>
      </c>
      <c r="AC153" s="56">
        <v>220</v>
      </c>
      <c r="AD153" s="277" t="s">
        <v>19</v>
      </c>
      <c r="AE153" s="277"/>
    </row>
    <row r="154" spans="1:31" ht="15.75" x14ac:dyDescent="0.25">
      <c r="A154" s="56" t="s">
        <v>710</v>
      </c>
      <c r="B154" s="56">
        <v>7</v>
      </c>
      <c r="C154" s="56">
        <v>404</v>
      </c>
      <c r="D154" s="56" t="s">
        <v>623</v>
      </c>
      <c r="E154" s="56">
        <v>1</v>
      </c>
      <c r="F154" s="284">
        <v>45743.642361111109</v>
      </c>
      <c r="G154" s="56">
        <v>1</v>
      </c>
      <c r="H154" s="56">
        <v>51.380699999999997</v>
      </c>
      <c r="I154" s="56">
        <v>9.6450099999999992</v>
      </c>
      <c r="J154" s="56">
        <v>3.3485279999999999</v>
      </c>
      <c r="K154" s="56">
        <v>4.8296739999999998</v>
      </c>
      <c r="L154" s="56">
        <v>1046.42</v>
      </c>
      <c r="M154" s="56">
        <v>72.999889999999994</v>
      </c>
      <c r="N154" s="274">
        <v>10829.16</v>
      </c>
      <c r="O154" s="56">
        <v>10822.89</v>
      </c>
      <c r="P154" s="275">
        <v>2089.511</v>
      </c>
      <c r="Q154" s="275">
        <f t="shared" si="0"/>
        <v>2089.511</v>
      </c>
      <c r="R154" s="275" t="s">
        <v>570</v>
      </c>
      <c r="S154" s="275">
        <v>10</v>
      </c>
      <c r="T154" s="275">
        <v>5</v>
      </c>
      <c r="U154" s="275">
        <v>0.7</v>
      </c>
      <c r="V154" s="275">
        <v>0.7</v>
      </c>
      <c r="W154" s="275">
        <v>0.7</v>
      </c>
      <c r="X154" s="56">
        <v>2000</v>
      </c>
      <c r="Y154" s="56" t="s">
        <v>571</v>
      </c>
      <c r="Z154" s="56">
        <v>0.2</v>
      </c>
      <c r="AA154" s="56" t="s">
        <v>572</v>
      </c>
      <c r="AB154" s="56" t="s">
        <v>573</v>
      </c>
      <c r="AC154" s="56">
        <v>220</v>
      </c>
      <c r="AD154" s="277" t="s">
        <v>19</v>
      </c>
      <c r="AE154" s="277"/>
    </row>
    <row r="155" spans="1:31" ht="15.75" x14ac:dyDescent="0.25">
      <c r="A155" s="56" t="s">
        <v>711</v>
      </c>
      <c r="B155" s="56">
        <v>7</v>
      </c>
      <c r="C155" s="56">
        <v>404</v>
      </c>
      <c r="D155" s="56" t="s">
        <v>623</v>
      </c>
      <c r="E155" s="56">
        <v>1</v>
      </c>
      <c r="F155" s="284">
        <v>45743.645138888889</v>
      </c>
      <c r="G155" s="56">
        <v>1</v>
      </c>
      <c r="H155" s="56">
        <v>51.374099999999999</v>
      </c>
      <c r="I155" s="56">
        <v>9.5937300000000008</v>
      </c>
      <c r="J155" s="56">
        <v>3.3997489999999999</v>
      </c>
      <c r="K155" s="56">
        <v>4.9421080000000002</v>
      </c>
      <c r="L155" s="56">
        <v>1016.41</v>
      </c>
      <c r="M155" s="56">
        <v>74.499989999999997</v>
      </c>
      <c r="N155" s="274">
        <v>10816.61</v>
      </c>
      <c r="O155" s="56">
        <v>10822.89</v>
      </c>
      <c r="P155" s="275">
        <v>2089.511</v>
      </c>
      <c r="Q155" s="275">
        <f t="shared" si="0"/>
        <v>2089.511</v>
      </c>
      <c r="R155" s="275" t="s">
        <v>570</v>
      </c>
      <c r="S155" s="275">
        <v>10</v>
      </c>
      <c r="T155" s="275">
        <v>5</v>
      </c>
      <c r="U155" s="275">
        <v>0.7</v>
      </c>
      <c r="V155" s="275">
        <v>0.7</v>
      </c>
      <c r="W155" s="275">
        <v>0.7</v>
      </c>
      <c r="X155" s="56">
        <v>2000</v>
      </c>
      <c r="Y155" s="56" t="s">
        <v>571</v>
      </c>
      <c r="Z155" s="56">
        <v>0.2</v>
      </c>
      <c r="AA155" s="56" t="s">
        <v>572</v>
      </c>
      <c r="AB155" s="56" t="s">
        <v>573</v>
      </c>
      <c r="AC155" s="56">
        <v>220</v>
      </c>
      <c r="AD155" s="277" t="s">
        <v>19</v>
      </c>
      <c r="AE155" s="277"/>
    </row>
    <row r="156" spans="1:31" ht="15.75" x14ac:dyDescent="0.25">
      <c r="A156" s="56" t="s">
        <v>647</v>
      </c>
      <c r="B156" s="56">
        <v>8</v>
      </c>
      <c r="C156" s="56">
        <v>405</v>
      </c>
      <c r="D156" s="56" t="s">
        <v>629</v>
      </c>
      <c r="E156" s="56">
        <v>1</v>
      </c>
      <c r="F156" s="284">
        <v>45743.648611111108</v>
      </c>
      <c r="G156" s="56">
        <v>1</v>
      </c>
      <c r="H156" s="56">
        <v>51.380699999999997</v>
      </c>
      <c r="I156" s="56">
        <v>9.5517000000000003</v>
      </c>
      <c r="J156" s="56">
        <v>3.504359</v>
      </c>
      <c r="K156" s="56">
        <v>4.4618640000000003</v>
      </c>
      <c r="L156" s="56">
        <v>1034.73</v>
      </c>
      <c r="M156" s="56">
        <v>73.000450000000001</v>
      </c>
      <c r="N156" s="274">
        <v>10783.36</v>
      </c>
      <c r="O156" s="56">
        <v>0</v>
      </c>
      <c r="P156" s="275">
        <v>0</v>
      </c>
      <c r="Q156" s="275">
        <f t="shared" si="0"/>
        <v>0</v>
      </c>
      <c r="R156" s="275" t="s">
        <v>609</v>
      </c>
      <c r="S156" s="275">
        <v>10</v>
      </c>
      <c r="T156" s="275">
        <v>5</v>
      </c>
      <c r="U156" s="275">
        <v>0.7</v>
      </c>
      <c r="V156" s="275">
        <v>0.7</v>
      </c>
      <c r="W156" s="275">
        <v>0.7</v>
      </c>
      <c r="X156" s="56">
        <v>2000</v>
      </c>
      <c r="Y156" s="56" t="s">
        <v>571</v>
      </c>
      <c r="Z156" s="56">
        <v>0.2</v>
      </c>
      <c r="AA156" s="56" t="s">
        <v>572</v>
      </c>
      <c r="AB156" s="56" t="s">
        <v>573</v>
      </c>
      <c r="AC156" s="56">
        <v>220</v>
      </c>
      <c r="AD156" s="277" t="s">
        <v>610</v>
      </c>
      <c r="AE156" s="277"/>
    </row>
    <row r="157" spans="1:31" ht="15.75" x14ac:dyDescent="0.25">
      <c r="A157" s="56" t="s">
        <v>648</v>
      </c>
      <c r="B157" s="56">
        <v>8</v>
      </c>
      <c r="C157" s="56">
        <v>405</v>
      </c>
      <c r="D157" s="56" t="s">
        <v>629</v>
      </c>
      <c r="E157" s="56">
        <v>1</v>
      </c>
      <c r="F157" s="284">
        <v>45743.651388888888</v>
      </c>
      <c r="G157" s="56">
        <v>1</v>
      </c>
      <c r="H157" s="56">
        <v>51.380699999999997</v>
      </c>
      <c r="I157" s="56">
        <v>9.5646599999999999</v>
      </c>
      <c r="J157" s="56">
        <v>3.4449939999999999</v>
      </c>
      <c r="K157" s="56">
        <v>4.3257469999999998</v>
      </c>
      <c r="L157" s="56">
        <v>1018.11</v>
      </c>
      <c r="M157" s="56">
        <v>84.500060000000005</v>
      </c>
      <c r="N157" s="274">
        <v>10812.84</v>
      </c>
      <c r="O157" s="56">
        <v>0</v>
      </c>
      <c r="P157" s="275">
        <v>0</v>
      </c>
      <c r="Q157" s="275">
        <f t="shared" si="0"/>
        <v>0</v>
      </c>
      <c r="R157" s="275" t="s">
        <v>609</v>
      </c>
      <c r="S157" s="275">
        <v>10</v>
      </c>
      <c r="T157" s="275">
        <v>5</v>
      </c>
      <c r="U157" s="275">
        <v>0.7</v>
      </c>
      <c r="V157" s="275">
        <v>0.7</v>
      </c>
      <c r="W157" s="275">
        <v>0.7</v>
      </c>
      <c r="X157" s="56">
        <v>2000</v>
      </c>
      <c r="Y157" s="56" t="s">
        <v>571</v>
      </c>
      <c r="Z157" s="56">
        <v>0.2</v>
      </c>
      <c r="AA157" s="56" t="s">
        <v>572</v>
      </c>
      <c r="AB157" s="56" t="s">
        <v>573</v>
      </c>
      <c r="AC157" s="56">
        <v>220</v>
      </c>
      <c r="AD157" s="277" t="s">
        <v>610</v>
      </c>
      <c r="AE157" s="277"/>
    </row>
    <row r="158" spans="1:31" ht="15.75" x14ac:dyDescent="0.25">
      <c r="A158" s="56" t="s">
        <v>712</v>
      </c>
      <c r="B158" s="56">
        <v>8</v>
      </c>
      <c r="C158" s="56">
        <v>405</v>
      </c>
      <c r="D158" s="56" t="s">
        <v>629</v>
      </c>
      <c r="E158" s="56">
        <v>1</v>
      </c>
      <c r="F158" s="284">
        <v>45743.654166666667</v>
      </c>
      <c r="G158" s="56">
        <v>1</v>
      </c>
      <c r="H158" s="56">
        <v>51.377400000000002</v>
      </c>
      <c r="I158" s="56">
        <v>9.7130200000000002</v>
      </c>
      <c r="J158" s="56">
        <v>3.5391620000000001</v>
      </c>
      <c r="K158" s="56">
        <v>6.2599720000000003</v>
      </c>
      <c r="L158" s="56">
        <v>1016.55</v>
      </c>
      <c r="M158" s="56">
        <v>61.00056</v>
      </c>
      <c r="N158" s="274">
        <v>10736.28</v>
      </c>
      <c r="O158" s="56">
        <v>0</v>
      </c>
      <c r="P158" s="275">
        <v>0</v>
      </c>
      <c r="Q158" s="275">
        <f t="shared" si="0"/>
        <v>0</v>
      </c>
      <c r="R158" s="275" t="s">
        <v>609</v>
      </c>
      <c r="S158" s="275">
        <v>10</v>
      </c>
      <c r="T158" s="275">
        <v>5</v>
      </c>
      <c r="U158" s="275">
        <v>0.7</v>
      </c>
      <c r="V158" s="275">
        <v>0.7</v>
      </c>
      <c r="W158" s="275">
        <v>0.7</v>
      </c>
      <c r="X158" s="56">
        <v>2000</v>
      </c>
      <c r="Y158" s="56" t="s">
        <v>571</v>
      </c>
      <c r="Z158" s="56">
        <v>0.2</v>
      </c>
      <c r="AA158" s="56" t="s">
        <v>572</v>
      </c>
      <c r="AB158" s="56" t="s">
        <v>573</v>
      </c>
      <c r="AC158" s="56">
        <v>220</v>
      </c>
      <c r="AD158" s="277" t="s">
        <v>610</v>
      </c>
      <c r="AE158" s="277"/>
    </row>
    <row r="159" spans="1:31" ht="15.75" x14ac:dyDescent="0.25">
      <c r="A159" s="56" t="s">
        <v>713</v>
      </c>
      <c r="B159" s="56">
        <v>8</v>
      </c>
      <c r="C159" s="56">
        <v>405</v>
      </c>
      <c r="D159" s="56" t="s">
        <v>629</v>
      </c>
      <c r="E159" s="56">
        <v>1</v>
      </c>
      <c r="F159" s="284">
        <v>45743.656944444447</v>
      </c>
      <c r="G159" s="56">
        <v>1</v>
      </c>
      <c r="H159" s="56">
        <v>51.377400000000002</v>
      </c>
      <c r="I159" s="56">
        <v>9.5032899999999998</v>
      </c>
      <c r="J159" s="56">
        <v>3.3471069999999998</v>
      </c>
      <c r="K159" s="56">
        <v>5.2689589999999997</v>
      </c>
      <c r="L159" s="56">
        <v>1016.94</v>
      </c>
      <c r="M159" s="56">
        <v>64.000100000000003</v>
      </c>
      <c r="N159" s="274">
        <v>10785.03</v>
      </c>
      <c r="O159" s="56">
        <v>0</v>
      </c>
      <c r="P159" s="275">
        <v>0</v>
      </c>
      <c r="Q159" s="275">
        <f t="shared" si="0"/>
        <v>0</v>
      </c>
      <c r="R159" s="275" t="s">
        <v>609</v>
      </c>
      <c r="S159" s="275">
        <v>10</v>
      </c>
      <c r="T159" s="275">
        <v>5</v>
      </c>
      <c r="U159" s="275">
        <v>0.7</v>
      </c>
      <c r="V159" s="275">
        <v>0.7</v>
      </c>
      <c r="W159" s="275">
        <v>0.7</v>
      </c>
      <c r="X159" s="56">
        <v>2000</v>
      </c>
      <c r="Y159" s="56" t="s">
        <v>571</v>
      </c>
      <c r="Z159" s="56">
        <v>0.2</v>
      </c>
      <c r="AA159" s="56" t="s">
        <v>572</v>
      </c>
      <c r="AB159" s="56" t="s">
        <v>573</v>
      </c>
      <c r="AC159" s="56">
        <v>220</v>
      </c>
      <c r="AD159" s="277" t="s">
        <v>610</v>
      </c>
      <c r="AE159" s="277"/>
    </row>
    <row r="160" spans="1:31" ht="15.75" x14ac:dyDescent="0.25">
      <c r="A160" s="56" t="s">
        <v>714</v>
      </c>
      <c r="B160" s="56">
        <v>8</v>
      </c>
      <c r="C160" s="56">
        <v>405</v>
      </c>
      <c r="D160" s="56" t="s">
        <v>629</v>
      </c>
      <c r="E160" s="56">
        <v>1</v>
      </c>
      <c r="F160" s="284">
        <v>45743.659722222219</v>
      </c>
      <c r="G160" s="56">
        <v>1</v>
      </c>
      <c r="H160" s="56">
        <v>51.374099999999999</v>
      </c>
      <c r="I160" s="56">
        <v>9.5084700000000009</v>
      </c>
      <c r="J160" s="56">
        <v>3.4318070000000001</v>
      </c>
      <c r="K160" s="56">
        <v>4.1086799999999997</v>
      </c>
      <c r="L160" s="56">
        <v>1019.9</v>
      </c>
      <c r="M160" s="56">
        <v>96.000259999999997</v>
      </c>
      <c r="N160" s="274">
        <v>10832.98</v>
      </c>
      <c r="O160" s="56">
        <v>0</v>
      </c>
      <c r="P160" s="275">
        <v>0</v>
      </c>
      <c r="Q160" s="275">
        <f t="shared" si="0"/>
        <v>0</v>
      </c>
      <c r="R160" s="275" t="s">
        <v>609</v>
      </c>
      <c r="S160" s="275">
        <v>10</v>
      </c>
      <c r="T160" s="275">
        <v>5</v>
      </c>
      <c r="U160" s="275">
        <v>0.7</v>
      </c>
      <c r="V160" s="275">
        <v>0.7</v>
      </c>
      <c r="W160" s="275">
        <v>0.7</v>
      </c>
      <c r="X160" s="56">
        <v>2000</v>
      </c>
      <c r="Y160" s="56" t="s">
        <v>571</v>
      </c>
      <c r="Z160" s="56">
        <v>0.2</v>
      </c>
      <c r="AA160" s="56" t="s">
        <v>572</v>
      </c>
      <c r="AB160" s="56" t="s">
        <v>573</v>
      </c>
      <c r="AC160" s="56">
        <v>220</v>
      </c>
      <c r="AD160" s="277" t="s">
        <v>610</v>
      </c>
      <c r="AE160" s="277"/>
    </row>
    <row r="161" spans="1:31" ht="15.75" x14ac:dyDescent="0.25">
      <c r="A161" s="56" t="s">
        <v>715</v>
      </c>
      <c r="B161" s="56">
        <v>8</v>
      </c>
      <c r="C161" s="56">
        <v>405</v>
      </c>
      <c r="D161" s="56" t="s">
        <v>629</v>
      </c>
      <c r="E161" s="56">
        <v>1</v>
      </c>
      <c r="F161" s="284">
        <v>45743.663194444445</v>
      </c>
      <c r="G161" s="56">
        <v>2</v>
      </c>
      <c r="H161" s="56">
        <v>51.377400000000002</v>
      </c>
      <c r="I161" s="56">
        <v>9.7112300000000005</v>
      </c>
      <c r="J161" s="56">
        <v>3.5098880000000001</v>
      </c>
      <c r="K161" s="56">
        <v>4.0113440000000002</v>
      </c>
      <c r="L161" s="56">
        <v>1011.14</v>
      </c>
      <c r="M161" s="56">
        <v>100.9992</v>
      </c>
      <c r="N161" s="274">
        <v>10830.04</v>
      </c>
      <c r="O161" s="56">
        <v>10772.72</v>
      </c>
      <c r="P161" s="275">
        <v>2079.9679999999998</v>
      </c>
      <c r="Q161" s="275">
        <f t="shared" si="0"/>
        <v>2079.9679999999998</v>
      </c>
      <c r="R161" s="275" t="s">
        <v>584</v>
      </c>
      <c r="S161" s="275">
        <v>10</v>
      </c>
      <c r="T161" s="275">
        <v>5</v>
      </c>
      <c r="U161" s="275">
        <v>0.7</v>
      </c>
      <c r="V161" s="275">
        <v>0.7</v>
      </c>
      <c r="W161" s="275">
        <v>0.7</v>
      </c>
      <c r="X161" s="56">
        <v>2000</v>
      </c>
      <c r="Y161" s="56" t="s">
        <v>571</v>
      </c>
      <c r="Z161" s="56">
        <v>0.2</v>
      </c>
      <c r="AA161" s="56" t="s">
        <v>572</v>
      </c>
      <c r="AB161" s="56" t="s">
        <v>573</v>
      </c>
      <c r="AC161" s="56">
        <v>220</v>
      </c>
      <c r="AD161" s="277" t="s">
        <v>19</v>
      </c>
      <c r="AE161" s="277"/>
    </row>
    <row r="162" spans="1:31" ht="15.75" x14ac:dyDescent="0.25">
      <c r="A162" s="56" t="s">
        <v>716</v>
      </c>
      <c r="B162" s="56">
        <v>8</v>
      </c>
      <c r="C162" s="56">
        <v>405</v>
      </c>
      <c r="D162" s="56" t="s">
        <v>629</v>
      </c>
      <c r="E162" s="56">
        <v>1</v>
      </c>
      <c r="F162" s="284">
        <v>45743.665972222225</v>
      </c>
      <c r="G162" s="56">
        <v>2</v>
      </c>
      <c r="H162" s="56">
        <v>51.377400000000002</v>
      </c>
      <c r="I162" s="56">
        <v>9.5708900000000003</v>
      </c>
      <c r="J162" s="56">
        <v>3.5144660000000001</v>
      </c>
      <c r="K162" s="56">
        <v>4.4283460000000003</v>
      </c>
      <c r="L162" s="56">
        <v>1011.08</v>
      </c>
      <c r="M162" s="56">
        <v>81.000659999999996</v>
      </c>
      <c r="N162" s="274">
        <v>10800.5</v>
      </c>
      <c r="O162" s="56">
        <v>10772.72</v>
      </c>
      <c r="P162" s="275">
        <v>2079.9679999999998</v>
      </c>
      <c r="Q162" s="275">
        <f t="shared" si="0"/>
        <v>2079.9679999999998</v>
      </c>
      <c r="R162" s="275" t="s">
        <v>584</v>
      </c>
      <c r="S162" s="275">
        <v>10</v>
      </c>
      <c r="T162" s="275">
        <v>5</v>
      </c>
      <c r="U162" s="275">
        <v>0.7</v>
      </c>
      <c r="V162" s="275">
        <v>0.7</v>
      </c>
      <c r="W162" s="275">
        <v>0.7</v>
      </c>
      <c r="X162" s="56">
        <v>2000</v>
      </c>
      <c r="Y162" s="56" t="s">
        <v>571</v>
      </c>
      <c r="Z162" s="56">
        <v>0.2</v>
      </c>
      <c r="AA162" s="56" t="s">
        <v>572</v>
      </c>
      <c r="AB162" s="56" t="s">
        <v>573</v>
      </c>
      <c r="AC162" s="56">
        <v>220</v>
      </c>
      <c r="AD162" s="277" t="s">
        <v>19</v>
      </c>
      <c r="AE162" s="277"/>
    </row>
    <row r="163" spans="1:31" ht="15.75" x14ac:dyDescent="0.25">
      <c r="A163" s="56" t="s">
        <v>717</v>
      </c>
      <c r="B163" s="56">
        <v>8</v>
      </c>
      <c r="C163" s="56">
        <v>405</v>
      </c>
      <c r="D163" s="56" t="s">
        <v>629</v>
      </c>
      <c r="E163" s="56">
        <v>1</v>
      </c>
      <c r="F163" s="284">
        <v>45743.669444444444</v>
      </c>
      <c r="G163" s="56">
        <v>2</v>
      </c>
      <c r="H163" s="56">
        <v>51.377400000000002</v>
      </c>
      <c r="I163" s="56">
        <v>9.5401799999999994</v>
      </c>
      <c r="J163" s="56">
        <v>3.462199</v>
      </c>
      <c r="K163" s="56">
        <v>4.1221579999999998</v>
      </c>
      <c r="L163" s="56">
        <v>1015.51</v>
      </c>
      <c r="M163" s="56">
        <v>97.001580000000004</v>
      </c>
      <c r="N163" s="274">
        <v>10832.63</v>
      </c>
      <c r="O163" s="56">
        <v>10772.72</v>
      </c>
      <c r="P163" s="275">
        <v>2079.9679999999998</v>
      </c>
      <c r="Q163" s="275">
        <f t="shared" si="0"/>
        <v>2079.9679999999998</v>
      </c>
      <c r="R163" s="275" t="s">
        <v>584</v>
      </c>
      <c r="S163" s="275">
        <v>10</v>
      </c>
      <c r="T163" s="275">
        <v>5</v>
      </c>
      <c r="U163" s="275">
        <v>0.7</v>
      </c>
      <c r="V163" s="275">
        <v>0.7</v>
      </c>
      <c r="W163" s="275">
        <v>0.7</v>
      </c>
      <c r="X163" s="56">
        <v>2000</v>
      </c>
      <c r="Y163" s="56" t="s">
        <v>571</v>
      </c>
      <c r="Z163" s="56">
        <v>0.2</v>
      </c>
      <c r="AA163" s="56" t="s">
        <v>572</v>
      </c>
      <c r="AB163" s="56" t="s">
        <v>573</v>
      </c>
      <c r="AC163" s="56">
        <v>220</v>
      </c>
      <c r="AD163" s="277" t="s">
        <v>19</v>
      </c>
      <c r="AE163" s="277"/>
    </row>
    <row r="164" spans="1:31" ht="15.75" x14ac:dyDescent="0.25">
      <c r="A164" s="56" t="s">
        <v>718</v>
      </c>
      <c r="B164" s="56">
        <v>8</v>
      </c>
      <c r="C164" s="56">
        <v>405</v>
      </c>
      <c r="D164" s="56" t="s">
        <v>629</v>
      </c>
      <c r="E164" s="56">
        <v>1</v>
      </c>
      <c r="F164" s="284">
        <v>45743.672222222223</v>
      </c>
      <c r="G164" s="56">
        <v>2</v>
      </c>
      <c r="H164" s="56">
        <v>51.380699999999997</v>
      </c>
      <c r="I164" s="56">
        <v>9.5939999999999994</v>
      </c>
      <c r="J164" s="56">
        <v>3.3948740000000002</v>
      </c>
      <c r="K164" s="56">
        <v>4.635389</v>
      </c>
      <c r="L164" s="56">
        <v>1013.6</v>
      </c>
      <c r="M164" s="56">
        <v>77.49991</v>
      </c>
      <c r="N164" s="274">
        <v>10775.1</v>
      </c>
      <c r="O164" s="56">
        <v>10772.72</v>
      </c>
      <c r="P164" s="275">
        <v>2079.9679999999998</v>
      </c>
      <c r="Q164" s="275">
        <f t="shared" si="0"/>
        <v>2079.9679999999998</v>
      </c>
      <c r="R164" s="275" t="s">
        <v>570</v>
      </c>
      <c r="S164" s="275">
        <v>10</v>
      </c>
      <c r="T164" s="275">
        <v>5</v>
      </c>
      <c r="U164" s="275">
        <v>0.7</v>
      </c>
      <c r="V164" s="275">
        <v>0.7</v>
      </c>
      <c r="W164" s="275">
        <v>0.7</v>
      </c>
      <c r="X164" s="56">
        <v>2000</v>
      </c>
      <c r="Y164" s="56" t="s">
        <v>571</v>
      </c>
      <c r="Z164" s="56">
        <v>0.2</v>
      </c>
      <c r="AA164" s="56" t="s">
        <v>572</v>
      </c>
      <c r="AB164" s="56" t="s">
        <v>573</v>
      </c>
      <c r="AC164" s="56">
        <v>220</v>
      </c>
      <c r="AD164" s="277" t="s">
        <v>19</v>
      </c>
      <c r="AE164" s="277"/>
    </row>
    <row r="165" spans="1:31" ht="15.75" x14ac:dyDescent="0.25">
      <c r="A165" s="56" t="s">
        <v>719</v>
      </c>
      <c r="B165" s="56">
        <v>8</v>
      </c>
      <c r="C165" s="56">
        <v>405</v>
      </c>
      <c r="D165" s="56" t="s">
        <v>629</v>
      </c>
      <c r="E165" s="56">
        <v>1</v>
      </c>
      <c r="F165" s="284">
        <v>45743.675000000003</v>
      </c>
      <c r="G165" s="56">
        <v>2</v>
      </c>
      <c r="H165" s="56">
        <v>51.377400000000002</v>
      </c>
      <c r="I165" s="56">
        <v>9.8051300000000001</v>
      </c>
      <c r="J165" s="56">
        <v>3.5322309999999999</v>
      </c>
      <c r="K165" s="56">
        <v>5.3719989999999997</v>
      </c>
      <c r="L165" s="56">
        <v>1021.21</v>
      </c>
      <c r="M165" s="56">
        <v>65.999089999999995</v>
      </c>
      <c r="N165" s="274">
        <v>10770.33</v>
      </c>
      <c r="O165" s="56">
        <v>10772.72</v>
      </c>
      <c r="P165" s="275">
        <v>2079.9679999999998</v>
      </c>
      <c r="Q165" s="275">
        <f t="shared" si="0"/>
        <v>2079.9679999999998</v>
      </c>
      <c r="R165" s="275" t="s">
        <v>570</v>
      </c>
      <c r="S165" s="275">
        <v>10</v>
      </c>
      <c r="T165" s="275">
        <v>5</v>
      </c>
      <c r="U165" s="275">
        <v>0.7</v>
      </c>
      <c r="V165" s="275">
        <v>0.7</v>
      </c>
      <c r="W165" s="275">
        <v>0.7</v>
      </c>
      <c r="X165" s="56">
        <v>2000</v>
      </c>
      <c r="Y165" s="56" t="s">
        <v>571</v>
      </c>
      <c r="Z165" s="56">
        <v>0.2</v>
      </c>
      <c r="AA165" s="56" t="s">
        <v>572</v>
      </c>
      <c r="AB165" s="56" t="s">
        <v>573</v>
      </c>
      <c r="AC165" s="56">
        <v>220</v>
      </c>
      <c r="AD165" s="277" t="s">
        <v>19</v>
      </c>
      <c r="AE165" s="277"/>
    </row>
    <row r="166" spans="1:31" ht="15.75" x14ac:dyDescent="0.25">
      <c r="A166" s="56" t="s">
        <v>649</v>
      </c>
      <c r="B166" s="56">
        <v>9</v>
      </c>
      <c r="C166" s="56">
        <v>586</v>
      </c>
      <c r="D166" s="56" t="s">
        <v>633</v>
      </c>
      <c r="E166" s="56">
        <v>1</v>
      </c>
      <c r="F166" s="284">
        <v>45743.678472222222</v>
      </c>
      <c r="G166" s="56">
        <v>1</v>
      </c>
      <c r="H166" s="56">
        <v>51.377400000000002</v>
      </c>
      <c r="I166" s="56">
        <v>9.47044</v>
      </c>
      <c r="J166" s="56">
        <v>3.6562990000000002</v>
      </c>
      <c r="K166" s="56">
        <v>4.8600279999999998</v>
      </c>
      <c r="L166" s="56">
        <v>1023.06</v>
      </c>
      <c r="M166" s="56">
        <v>75.999579999999995</v>
      </c>
      <c r="N166" s="274">
        <v>10765.43</v>
      </c>
      <c r="O166" s="56">
        <v>10766.17</v>
      </c>
      <c r="P166" s="275">
        <v>2078.723</v>
      </c>
      <c r="Q166" s="275">
        <f t="shared" si="0"/>
        <v>2078.723</v>
      </c>
      <c r="R166" s="275" t="s">
        <v>570</v>
      </c>
      <c r="S166" s="275">
        <v>10</v>
      </c>
      <c r="T166" s="275">
        <v>5</v>
      </c>
      <c r="U166" s="275">
        <v>0.7</v>
      </c>
      <c r="V166" s="275">
        <v>0.7</v>
      </c>
      <c r="W166" s="275">
        <v>0.7</v>
      </c>
      <c r="X166" s="56">
        <v>2000</v>
      </c>
      <c r="Y166" s="56" t="s">
        <v>571</v>
      </c>
      <c r="Z166" s="56">
        <v>0.2</v>
      </c>
      <c r="AA166" s="56" t="s">
        <v>572</v>
      </c>
      <c r="AB166" s="56" t="s">
        <v>573</v>
      </c>
      <c r="AC166" s="56">
        <v>220</v>
      </c>
      <c r="AD166" s="277" t="s">
        <v>19</v>
      </c>
      <c r="AE166" s="277"/>
    </row>
    <row r="167" spans="1:31" ht="15.75" x14ac:dyDescent="0.25">
      <c r="A167" s="56" t="s">
        <v>650</v>
      </c>
      <c r="B167" s="56">
        <v>9</v>
      </c>
      <c r="C167" s="56">
        <v>586</v>
      </c>
      <c r="D167" s="56" t="s">
        <v>633</v>
      </c>
      <c r="E167" s="56">
        <v>1</v>
      </c>
      <c r="F167" s="284">
        <v>45743.681250000001</v>
      </c>
      <c r="G167" s="56">
        <v>1</v>
      </c>
      <c r="H167" s="56">
        <v>51.380699999999997</v>
      </c>
      <c r="I167" s="56">
        <v>9.6600199999999994</v>
      </c>
      <c r="J167" s="56">
        <v>3.4115760000000002</v>
      </c>
      <c r="K167" s="56">
        <v>5.1525379999999998</v>
      </c>
      <c r="L167" s="56">
        <v>1015.23</v>
      </c>
      <c r="M167" s="56">
        <v>69.499759999999995</v>
      </c>
      <c r="N167" s="274">
        <v>10766.9</v>
      </c>
      <c r="O167" s="56">
        <v>10766.17</v>
      </c>
      <c r="P167" s="275">
        <v>2078.723</v>
      </c>
      <c r="Q167" s="275">
        <f t="shared" si="0"/>
        <v>2078.723</v>
      </c>
      <c r="R167" s="275" t="s">
        <v>570</v>
      </c>
      <c r="S167" s="275">
        <v>10</v>
      </c>
      <c r="T167" s="275">
        <v>5</v>
      </c>
      <c r="U167" s="275">
        <v>0.7</v>
      </c>
      <c r="V167" s="275">
        <v>0.7</v>
      </c>
      <c r="W167" s="275">
        <v>0.7</v>
      </c>
      <c r="X167" s="56">
        <v>2000</v>
      </c>
      <c r="Y167" s="56" t="s">
        <v>571</v>
      </c>
      <c r="Z167" s="56">
        <v>0.2</v>
      </c>
      <c r="AA167" s="56" t="s">
        <v>572</v>
      </c>
      <c r="AB167" s="56" t="s">
        <v>573</v>
      </c>
      <c r="AC167" s="56">
        <v>220</v>
      </c>
      <c r="AD167" s="277" t="s">
        <v>19</v>
      </c>
      <c r="AE167" s="277"/>
    </row>
    <row r="168" spans="1:31" ht="15.75" x14ac:dyDescent="0.25">
      <c r="A168" s="56" t="s">
        <v>651</v>
      </c>
      <c r="B168" s="56">
        <v>10</v>
      </c>
      <c r="C168" s="56">
        <v>587</v>
      </c>
      <c r="D168" s="56" t="s">
        <v>637</v>
      </c>
      <c r="E168" s="56">
        <v>1</v>
      </c>
      <c r="F168" s="284">
        <v>45743.68472222222</v>
      </c>
      <c r="G168" s="56">
        <v>1</v>
      </c>
      <c r="H168" s="56">
        <v>51.374099999999999</v>
      </c>
      <c r="I168" s="56">
        <v>9.3698499999999996</v>
      </c>
      <c r="J168" s="56">
        <v>3.4548390000000002</v>
      </c>
      <c r="K168" s="56">
        <v>4.9956449999999997</v>
      </c>
      <c r="L168" s="56">
        <v>1031.27</v>
      </c>
      <c r="M168" s="56">
        <v>72.50112</v>
      </c>
      <c r="N168" s="274">
        <v>10739.6</v>
      </c>
      <c r="O168" s="56">
        <v>10733.07</v>
      </c>
      <c r="P168" s="275">
        <v>2072.4279999999999</v>
      </c>
      <c r="Q168" s="275">
        <f t="shared" si="0"/>
        <v>2072.4279999999999</v>
      </c>
      <c r="R168" s="275" t="s">
        <v>570</v>
      </c>
      <c r="S168" s="275">
        <v>10</v>
      </c>
      <c r="T168" s="275">
        <v>5</v>
      </c>
      <c r="U168" s="275">
        <v>0.7</v>
      </c>
      <c r="V168" s="275">
        <v>0.7</v>
      </c>
      <c r="W168" s="275">
        <v>0.7</v>
      </c>
      <c r="X168" s="56">
        <v>2000</v>
      </c>
      <c r="Y168" s="56" t="s">
        <v>571</v>
      </c>
      <c r="Z168" s="56">
        <v>0.2</v>
      </c>
      <c r="AA168" s="56" t="s">
        <v>572</v>
      </c>
      <c r="AB168" s="56" t="s">
        <v>573</v>
      </c>
      <c r="AC168" s="56">
        <v>220</v>
      </c>
      <c r="AD168" s="277" t="s">
        <v>19</v>
      </c>
      <c r="AE168" s="277"/>
    </row>
    <row r="169" spans="1:31" ht="15.75" x14ac:dyDescent="0.25">
      <c r="A169" s="56" t="s">
        <v>652</v>
      </c>
      <c r="B169" s="56">
        <v>10</v>
      </c>
      <c r="C169" s="56">
        <v>587</v>
      </c>
      <c r="D169" s="56" t="s">
        <v>637</v>
      </c>
      <c r="E169" s="56">
        <v>1</v>
      </c>
      <c r="F169" s="284">
        <v>45743.6875</v>
      </c>
      <c r="G169" s="56">
        <v>1</v>
      </c>
      <c r="H169" s="56">
        <v>51.377400000000002</v>
      </c>
      <c r="I169" s="56">
        <v>9.4925499999999996</v>
      </c>
      <c r="J169" s="56">
        <v>3.6282640000000002</v>
      </c>
      <c r="K169" s="56">
        <v>4.8960470000000003</v>
      </c>
      <c r="L169" s="56">
        <v>1028.97</v>
      </c>
      <c r="M169" s="56">
        <v>69.500829999999993</v>
      </c>
      <c r="N169" s="274">
        <v>10726.54</v>
      </c>
      <c r="O169" s="56">
        <v>10733.07</v>
      </c>
      <c r="P169" s="275">
        <v>2072.4279999999999</v>
      </c>
      <c r="Q169" s="275">
        <f t="shared" si="0"/>
        <v>2072.4279999999999</v>
      </c>
      <c r="R169" s="275" t="s">
        <v>570</v>
      </c>
      <c r="S169" s="275">
        <v>10</v>
      </c>
      <c r="T169" s="275">
        <v>5</v>
      </c>
      <c r="U169" s="275">
        <v>0.7</v>
      </c>
      <c r="V169" s="275">
        <v>0.7</v>
      </c>
      <c r="W169" s="275">
        <v>0.7</v>
      </c>
      <c r="X169" s="56">
        <v>2000</v>
      </c>
      <c r="Y169" s="56" t="s">
        <v>571</v>
      </c>
      <c r="Z169" s="56">
        <v>0.2</v>
      </c>
      <c r="AA169" s="56" t="s">
        <v>572</v>
      </c>
      <c r="AB169" s="56" t="s">
        <v>573</v>
      </c>
      <c r="AC169" s="56">
        <v>220</v>
      </c>
      <c r="AD169" s="277" t="s">
        <v>19</v>
      </c>
      <c r="AE169" s="277"/>
    </row>
    <row r="170" spans="1:31" ht="15.75" x14ac:dyDescent="0.25">
      <c r="A170" s="56" t="s">
        <v>655</v>
      </c>
      <c r="B170" s="56">
        <v>11</v>
      </c>
      <c r="C170" s="56" t="s">
        <v>532</v>
      </c>
      <c r="D170" s="56" t="s">
        <v>569</v>
      </c>
      <c r="E170" s="56">
        <v>1</v>
      </c>
      <c r="F170" s="284">
        <v>45743.690972222219</v>
      </c>
      <c r="G170" s="56">
        <v>1</v>
      </c>
      <c r="H170" s="56">
        <v>51.377400000000002</v>
      </c>
      <c r="I170" s="56">
        <v>9.3966100000000008</v>
      </c>
      <c r="J170" s="56">
        <v>3.5184030000000002</v>
      </c>
      <c r="K170" s="56">
        <v>4.642334</v>
      </c>
      <c r="L170" s="56">
        <v>1043.51</v>
      </c>
      <c r="M170" s="56">
        <v>77.000370000000004</v>
      </c>
      <c r="N170" s="274">
        <v>10839.35</v>
      </c>
      <c r="O170" s="56">
        <v>10826.44</v>
      </c>
      <c r="P170" s="275">
        <v>2090.1869999999999</v>
      </c>
      <c r="Q170" s="275">
        <f t="shared" si="0"/>
        <v>2090.1869999999999</v>
      </c>
      <c r="R170" s="275" t="s">
        <v>584</v>
      </c>
      <c r="S170" s="275">
        <v>10</v>
      </c>
      <c r="T170" s="275">
        <v>5</v>
      </c>
      <c r="U170" s="275">
        <v>0.7</v>
      </c>
      <c r="V170" s="275">
        <v>0.7</v>
      </c>
      <c r="W170" s="275">
        <v>0.7</v>
      </c>
      <c r="X170" s="56">
        <v>2000</v>
      </c>
      <c r="Y170" s="56" t="s">
        <v>571</v>
      </c>
      <c r="Z170" s="56">
        <v>0.2</v>
      </c>
      <c r="AA170" s="56" t="s">
        <v>572</v>
      </c>
      <c r="AB170" s="56" t="s">
        <v>573</v>
      </c>
      <c r="AC170" s="56">
        <v>220</v>
      </c>
      <c r="AD170" s="277" t="s">
        <v>19</v>
      </c>
      <c r="AE170" s="277"/>
    </row>
    <row r="171" spans="1:31" ht="15.75" x14ac:dyDescent="0.25">
      <c r="A171" s="56" t="s">
        <v>656</v>
      </c>
      <c r="B171" s="56">
        <v>11</v>
      </c>
      <c r="C171" s="56" t="s">
        <v>532</v>
      </c>
      <c r="D171" s="56" t="s">
        <v>569</v>
      </c>
      <c r="E171" s="56">
        <v>1</v>
      </c>
      <c r="F171" s="284">
        <v>45743.693749999999</v>
      </c>
      <c r="G171" s="56">
        <v>1</v>
      </c>
      <c r="H171" s="56">
        <v>51.380699999999997</v>
      </c>
      <c r="I171" s="56">
        <v>9.5429399999999998</v>
      </c>
      <c r="J171" s="56">
        <v>3.7036820000000001</v>
      </c>
      <c r="K171" s="56">
        <v>5.2034180000000001</v>
      </c>
      <c r="L171" s="56">
        <v>1021.55</v>
      </c>
      <c r="M171" s="56">
        <v>65.999309999999994</v>
      </c>
      <c r="N171" s="274">
        <v>10797.62</v>
      </c>
      <c r="O171" s="56">
        <v>10826.44</v>
      </c>
      <c r="P171" s="275">
        <v>2090.1869999999999</v>
      </c>
      <c r="Q171" s="275">
        <f t="shared" si="0"/>
        <v>2090.1869999999999</v>
      </c>
      <c r="R171" s="275" t="s">
        <v>584</v>
      </c>
      <c r="S171" s="275">
        <v>10</v>
      </c>
      <c r="T171" s="275">
        <v>5</v>
      </c>
      <c r="U171" s="275">
        <v>0.7</v>
      </c>
      <c r="V171" s="275">
        <v>0.7</v>
      </c>
      <c r="W171" s="275">
        <v>0.7</v>
      </c>
      <c r="X171" s="56">
        <v>2000</v>
      </c>
      <c r="Y171" s="56" t="s">
        <v>571</v>
      </c>
      <c r="Z171" s="56">
        <v>0.2</v>
      </c>
      <c r="AA171" s="56" t="s">
        <v>572</v>
      </c>
      <c r="AB171" s="56" t="s">
        <v>573</v>
      </c>
      <c r="AC171" s="56">
        <v>220</v>
      </c>
      <c r="AD171" s="277" t="s">
        <v>19</v>
      </c>
      <c r="AE171" s="277"/>
    </row>
    <row r="172" spans="1:31" ht="15.75" x14ac:dyDescent="0.25">
      <c r="A172" s="280" t="s">
        <v>657</v>
      </c>
      <c r="B172" s="280">
        <v>11</v>
      </c>
      <c r="C172" s="280" t="s">
        <v>532</v>
      </c>
      <c r="D172" s="280" t="s">
        <v>569</v>
      </c>
      <c r="E172" s="280">
        <v>1</v>
      </c>
      <c r="F172" s="285">
        <v>45743.696527777778</v>
      </c>
      <c r="G172" s="280">
        <v>1</v>
      </c>
      <c r="H172" s="280">
        <v>51.374099999999999</v>
      </c>
      <c r="I172" s="280">
        <v>9.4167799999999993</v>
      </c>
      <c r="J172" s="280">
        <v>3.4737870000000002</v>
      </c>
      <c r="K172" s="280">
        <v>4.9038760000000003</v>
      </c>
      <c r="L172" s="280">
        <v>1043.75</v>
      </c>
      <c r="M172" s="280">
        <v>72.000559999999993</v>
      </c>
      <c r="N172" s="282">
        <v>10830.01</v>
      </c>
      <c r="O172" s="280">
        <v>10826.44</v>
      </c>
      <c r="P172" s="283">
        <v>2090.1869999999999</v>
      </c>
      <c r="Q172" s="275">
        <f t="shared" si="0"/>
        <v>2090.1869999999999</v>
      </c>
      <c r="R172" s="283" t="s">
        <v>570</v>
      </c>
      <c r="S172" s="275">
        <v>10</v>
      </c>
      <c r="T172" s="275">
        <v>5</v>
      </c>
      <c r="U172" s="275">
        <v>0.7</v>
      </c>
      <c r="V172" s="275">
        <v>0.7</v>
      </c>
      <c r="W172" s="275">
        <v>0.7</v>
      </c>
      <c r="X172" s="56">
        <v>2000</v>
      </c>
      <c r="Y172" s="56" t="s">
        <v>571</v>
      </c>
      <c r="Z172" s="56">
        <v>0.2</v>
      </c>
      <c r="AA172" s="56" t="s">
        <v>572</v>
      </c>
      <c r="AB172" s="56" t="s">
        <v>573</v>
      </c>
      <c r="AC172" s="56">
        <v>220</v>
      </c>
      <c r="AD172" s="277" t="s">
        <v>19</v>
      </c>
      <c r="AE172" s="277"/>
    </row>
    <row r="173" spans="1:31" ht="15.75" x14ac:dyDescent="0.25">
      <c r="A173" s="280" t="s">
        <v>658</v>
      </c>
      <c r="B173" s="280">
        <v>11</v>
      </c>
      <c r="C173" s="280" t="s">
        <v>532</v>
      </c>
      <c r="D173" s="280" t="s">
        <v>569</v>
      </c>
      <c r="E173" s="280">
        <v>1</v>
      </c>
      <c r="F173" s="285">
        <v>45743.699305555558</v>
      </c>
      <c r="G173" s="280">
        <v>1</v>
      </c>
      <c r="H173" s="280">
        <v>51.377400000000002</v>
      </c>
      <c r="I173" s="280">
        <v>9.4991900000000005</v>
      </c>
      <c r="J173" s="280">
        <v>3.4641030000000002</v>
      </c>
      <c r="K173" s="280">
        <v>5.3526400000000001</v>
      </c>
      <c r="L173" s="280">
        <v>1012.71</v>
      </c>
      <c r="M173" s="280">
        <v>67.999899999999997</v>
      </c>
      <c r="N173" s="282">
        <v>10822.87</v>
      </c>
      <c r="O173" s="280">
        <v>10826.44</v>
      </c>
      <c r="P173" s="283">
        <v>2090.1869999999999</v>
      </c>
      <c r="Q173" s="275">
        <f t="shared" si="0"/>
        <v>2090.1869999999999</v>
      </c>
      <c r="R173" s="283" t="s">
        <v>570</v>
      </c>
      <c r="S173" s="275">
        <v>10</v>
      </c>
      <c r="T173" s="275">
        <v>5</v>
      </c>
      <c r="U173" s="275">
        <v>0.7</v>
      </c>
      <c r="V173" s="275">
        <v>0.7</v>
      </c>
      <c r="W173" s="275">
        <v>0.7</v>
      </c>
      <c r="X173" s="56">
        <v>2000</v>
      </c>
      <c r="Y173" s="56" t="s">
        <v>571</v>
      </c>
      <c r="Z173" s="56">
        <v>0.2</v>
      </c>
      <c r="AA173" s="56" t="s">
        <v>572</v>
      </c>
      <c r="AB173" s="56" t="s">
        <v>573</v>
      </c>
      <c r="AC173" s="56">
        <v>220</v>
      </c>
      <c r="AD173" s="277" t="s">
        <v>19</v>
      </c>
      <c r="AE173" s="277"/>
    </row>
    <row r="174" spans="1:31" ht="15.75" x14ac:dyDescent="0.25">
      <c r="A174" s="56" t="s">
        <v>720</v>
      </c>
      <c r="B174" s="56" t="s">
        <v>583</v>
      </c>
      <c r="C174" s="56" t="s">
        <v>532</v>
      </c>
      <c r="D174" s="56" t="s">
        <v>569</v>
      </c>
      <c r="E174" s="56">
        <v>0.8</v>
      </c>
      <c r="F174" s="284">
        <v>45743.70208333333</v>
      </c>
      <c r="G174" s="56">
        <v>1</v>
      </c>
      <c r="H174" s="56">
        <v>51.380699999999997</v>
      </c>
      <c r="I174" s="56">
        <v>9.4642400000000002</v>
      </c>
      <c r="J174" s="56">
        <v>3.70011</v>
      </c>
      <c r="K174" s="56">
        <v>4.8219190000000003</v>
      </c>
      <c r="L174" s="56">
        <v>981.72900000000004</v>
      </c>
      <c r="M174" s="56">
        <v>76.000839999999997</v>
      </c>
      <c r="N174" s="274">
        <v>8645.4490000000005</v>
      </c>
      <c r="O174" s="56">
        <v>8643.1380000000008</v>
      </c>
      <c r="P174" s="275">
        <v>2091.86</v>
      </c>
      <c r="Q174" s="275">
        <f t="shared" si="0"/>
        <v>2091.86</v>
      </c>
      <c r="R174" s="275" t="s">
        <v>570</v>
      </c>
      <c r="S174" s="275">
        <v>10</v>
      </c>
      <c r="T174" s="275">
        <v>5</v>
      </c>
      <c r="U174" s="275">
        <v>0.7</v>
      </c>
      <c r="V174" s="275">
        <v>0.7</v>
      </c>
      <c r="W174" s="275">
        <v>0.7</v>
      </c>
      <c r="X174" s="56">
        <v>2000</v>
      </c>
      <c r="Y174" s="56" t="s">
        <v>571</v>
      </c>
      <c r="Z174" s="56">
        <v>0.2</v>
      </c>
      <c r="AA174" s="56" t="s">
        <v>572</v>
      </c>
      <c r="AB174" s="56" t="s">
        <v>573</v>
      </c>
      <c r="AC174" s="56">
        <v>220</v>
      </c>
      <c r="AD174" s="277" t="s">
        <v>19</v>
      </c>
      <c r="AE174" s="277"/>
    </row>
    <row r="175" spans="1:31" ht="15.75" x14ac:dyDescent="0.25">
      <c r="A175" s="56" t="s">
        <v>721</v>
      </c>
      <c r="B175" s="56" t="s">
        <v>583</v>
      </c>
      <c r="C175" s="56" t="s">
        <v>532</v>
      </c>
      <c r="D175" s="56" t="s">
        <v>569</v>
      </c>
      <c r="E175" s="56">
        <v>0.8</v>
      </c>
      <c r="F175" s="284">
        <v>45743.704861111109</v>
      </c>
      <c r="G175" s="56">
        <v>1</v>
      </c>
      <c r="H175" s="56">
        <v>51.377400000000002</v>
      </c>
      <c r="I175" s="56">
        <v>9.4670000000000005</v>
      </c>
      <c r="J175" s="56">
        <v>3.5154010000000002</v>
      </c>
      <c r="K175" s="56">
        <v>4.9289019999999999</v>
      </c>
      <c r="L175" s="56">
        <v>978.86199999999997</v>
      </c>
      <c r="M175" s="56">
        <v>67.49888</v>
      </c>
      <c r="N175" s="274">
        <v>8640.8269999999993</v>
      </c>
      <c r="O175" s="56">
        <v>8643.1380000000008</v>
      </c>
      <c r="P175" s="275">
        <v>2091.86</v>
      </c>
      <c r="Q175" s="275">
        <f t="shared" si="0"/>
        <v>2091.86</v>
      </c>
      <c r="R175" s="275" t="s">
        <v>570</v>
      </c>
      <c r="S175" s="275">
        <v>10</v>
      </c>
      <c r="T175" s="275">
        <v>5</v>
      </c>
      <c r="U175" s="275">
        <v>0.7</v>
      </c>
      <c r="V175" s="275">
        <v>0.7</v>
      </c>
      <c r="W175" s="275">
        <v>0.7</v>
      </c>
      <c r="X175" s="56">
        <v>2000</v>
      </c>
      <c r="Y175" s="56" t="s">
        <v>571</v>
      </c>
      <c r="Z175" s="56">
        <v>0.2</v>
      </c>
      <c r="AA175" s="56" t="s">
        <v>572</v>
      </c>
      <c r="AB175" s="56" t="s">
        <v>573</v>
      </c>
      <c r="AC175" s="56">
        <v>220</v>
      </c>
      <c r="AD175" s="277" t="s">
        <v>19</v>
      </c>
      <c r="AE175" s="277"/>
    </row>
    <row r="176" spans="1:31" ht="15.75" x14ac:dyDescent="0.25">
      <c r="A176" s="56" t="s">
        <v>722</v>
      </c>
      <c r="B176" s="56" t="s">
        <v>589</v>
      </c>
      <c r="C176" s="56" t="s">
        <v>532</v>
      </c>
      <c r="D176" s="56" t="s">
        <v>569</v>
      </c>
      <c r="E176" s="56">
        <v>1</v>
      </c>
      <c r="F176" s="284">
        <v>45743.707638888889</v>
      </c>
      <c r="G176" s="56">
        <v>1</v>
      </c>
      <c r="H176" s="56">
        <v>51.377400000000002</v>
      </c>
      <c r="I176" s="56">
        <v>9.3833500000000001</v>
      </c>
      <c r="J176" s="56">
        <v>3.7566380000000001</v>
      </c>
      <c r="K176" s="56">
        <v>5.1360029999999997</v>
      </c>
      <c r="L176" s="56">
        <v>1021.52</v>
      </c>
      <c r="M176" s="56">
        <v>70.001369999999994</v>
      </c>
      <c r="N176" s="274">
        <v>10808.72</v>
      </c>
      <c r="O176" s="56">
        <v>10816.58</v>
      </c>
      <c r="P176" s="275">
        <v>2091.86</v>
      </c>
      <c r="Q176" s="275">
        <f t="shared" si="0"/>
        <v>2091.86</v>
      </c>
      <c r="R176" s="275" t="s">
        <v>570</v>
      </c>
      <c r="S176" s="275">
        <v>10</v>
      </c>
      <c r="T176" s="275">
        <v>5</v>
      </c>
      <c r="U176" s="275">
        <v>0.7</v>
      </c>
      <c r="V176" s="275">
        <v>0.7</v>
      </c>
      <c r="W176" s="275">
        <v>0.7</v>
      </c>
      <c r="X176" s="56">
        <v>2000</v>
      </c>
      <c r="Y176" s="56" t="s">
        <v>571</v>
      </c>
      <c r="Z176" s="56">
        <v>0.2</v>
      </c>
      <c r="AA176" s="56" t="s">
        <v>572</v>
      </c>
      <c r="AB176" s="56" t="s">
        <v>573</v>
      </c>
      <c r="AC176" s="56">
        <v>220</v>
      </c>
      <c r="AD176" s="277" t="s">
        <v>19</v>
      </c>
      <c r="AE176" s="277"/>
    </row>
    <row r="177" spans="1:31" ht="15.75" x14ac:dyDescent="0.25">
      <c r="A177" s="56" t="s">
        <v>723</v>
      </c>
      <c r="B177" s="56" t="s">
        <v>589</v>
      </c>
      <c r="C177" s="56" t="s">
        <v>532</v>
      </c>
      <c r="D177" s="56" t="s">
        <v>569</v>
      </c>
      <c r="E177" s="56">
        <v>1</v>
      </c>
      <c r="F177" s="284">
        <v>45743.710416666669</v>
      </c>
      <c r="G177" s="56">
        <v>1</v>
      </c>
      <c r="H177" s="56">
        <v>51.380699999999997</v>
      </c>
      <c r="I177" s="56">
        <v>9.5039499999999997</v>
      </c>
      <c r="J177" s="56">
        <v>3.5857350000000001</v>
      </c>
      <c r="K177" s="56">
        <v>5.2994260000000004</v>
      </c>
      <c r="L177" s="56">
        <v>1024.0999999999999</v>
      </c>
      <c r="M177" s="56">
        <v>76.500489999999999</v>
      </c>
      <c r="N177" s="274">
        <v>10824.45</v>
      </c>
      <c r="O177" s="56">
        <v>10816.58</v>
      </c>
      <c r="P177" s="275">
        <v>2091.86</v>
      </c>
      <c r="Q177" s="275">
        <f t="shared" si="0"/>
        <v>2091.86</v>
      </c>
      <c r="R177" s="275" t="s">
        <v>570</v>
      </c>
      <c r="S177" s="275">
        <v>10</v>
      </c>
      <c r="T177" s="275">
        <v>5</v>
      </c>
      <c r="U177" s="275">
        <v>0.7</v>
      </c>
      <c r="V177" s="275">
        <v>0.7</v>
      </c>
      <c r="W177" s="275">
        <v>0.7</v>
      </c>
      <c r="X177" s="56">
        <v>2000</v>
      </c>
      <c r="Y177" s="56" t="s">
        <v>571</v>
      </c>
      <c r="Z177" s="56">
        <v>0.2</v>
      </c>
      <c r="AA177" s="56" t="s">
        <v>572</v>
      </c>
      <c r="AB177" s="56" t="s">
        <v>573</v>
      </c>
      <c r="AC177" s="56">
        <v>220</v>
      </c>
      <c r="AD177" s="277" t="s">
        <v>19</v>
      </c>
      <c r="AE177" s="277"/>
    </row>
    <row r="178" spans="1:31" ht="15.75" x14ac:dyDescent="0.25">
      <c r="A178" s="56" t="s">
        <v>724</v>
      </c>
      <c r="B178" s="56" t="s">
        <v>594</v>
      </c>
      <c r="C178" s="56" t="s">
        <v>532</v>
      </c>
      <c r="D178" s="56" t="s">
        <v>569</v>
      </c>
      <c r="E178" s="56">
        <v>1.2</v>
      </c>
      <c r="F178" s="284">
        <v>45743.713194444441</v>
      </c>
      <c r="G178" s="56">
        <v>1</v>
      </c>
      <c r="H178" s="56">
        <v>51.377400000000002</v>
      </c>
      <c r="I178" s="56">
        <v>9.3162800000000008</v>
      </c>
      <c r="J178" s="56">
        <v>3.605445</v>
      </c>
      <c r="K178" s="56">
        <v>5.0618100000000004</v>
      </c>
      <c r="L178" s="56">
        <v>1067.48</v>
      </c>
      <c r="M178" s="56">
        <v>72.498609999999999</v>
      </c>
      <c r="N178" s="274">
        <v>13042.05</v>
      </c>
      <c r="O178" s="56">
        <v>13052.69</v>
      </c>
      <c r="P178" s="275">
        <v>2091.86</v>
      </c>
      <c r="Q178" s="275">
        <f t="shared" si="0"/>
        <v>2091.86</v>
      </c>
      <c r="R178" s="275" t="s">
        <v>570</v>
      </c>
      <c r="S178" s="275">
        <v>10</v>
      </c>
      <c r="T178" s="275">
        <v>5</v>
      </c>
      <c r="U178" s="275">
        <v>0.7</v>
      </c>
      <c r="V178" s="275">
        <v>0.7</v>
      </c>
      <c r="W178" s="275">
        <v>0.7</v>
      </c>
      <c r="X178" s="56">
        <v>2000</v>
      </c>
      <c r="Y178" s="56" t="s">
        <v>571</v>
      </c>
      <c r="Z178" s="56">
        <v>0.2</v>
      </c>
      <c r="AA178" s="56" t="s">
        <v>572</v>
      </c>
      <c r="AB178" s="56" t="s">
        <v>573</v>
      </c>
      <c r="AC178" s="56">
        <v>220</v>
      </c>
      <c r="AD178" s="277" t="s">
        <v>19</v>
      </c>
      <c r="AE178" s="277"/>
    </row>
    <row r="179" spans="1:31" ht="15.75" x14ac:dyDescent="0.25">
      <c r="A179" s="56" t="s">
        <v>725</v>
      </c>
      <c r="B179" s="56" t="s">
        <v>594</v>
      </c>
      <c r="C179" s="56" t="s">
        <v>532</v>
      </c>
      <c r="D179" s="56" t="s">
        <v>569</v>
      </c>
      <c r="E179" s="56">
        <v>1.2</v>
      </c>
      <c r="F179" s="284">
        <v>45743.716666666667</v>
      </c>
      <c r="G179" s="56">
        <v>1</v>
      </c>
      <c r="H179" s="56">
        <v>51.370800000000003</v>
      </c>
      <c r="I179" s="56">
        <v>9.3734300000000008</v>
      </c>
      <c r="J179" s="56">
        <v>3.8172130000000002</v>
      </c>
      <c r="K179" s="56">
        <v>4.7180790000000004</v>
      </c>
      <c r="L179" s="56">
        <v>1057.83</v>
      </c>
      <c r="M179" s="56">
        <v>84.999520000000004</v>
      </c>
      <c r="N179" s="274">
        <v>13063.33</v>
      </c>
      <c r="O179" s="56">
        <v>13052.69</v>
      </c>
      <c r="P179" s="275">
        <v>2091.86</v>
      </c>
      <c r="Q179" s="275">
        <f t="shared" si="0"/>
        <v>2091.86</v>
      </c>
      <c r="R179" s="275" t="s">
        <v>570</v>
      </c>
      <c r="S179" s="275">
        <v>10</v>
      </c>
      <c r="T179" s="275">
        <v>5</v>
      </c>
      <c r="U179" s="275">
        <v>0.7</v>
      </c>
      <c r="V179" s="275">
        <v>0.7</v>
      </c>
      <c r="W179" s="275">
        <v>0.7</v>
      </c>
      <c r="X179" s="56">
        <v>2000</v>
      </c>
      <c r="Y179" s="56" t="s">
        <v>571</v>
      </c>
      <c r="Z179" s="56">
        <v>0.2</v>
      </c>
      <c r="AA179" s="56" t="s">
        <v>572</v>
      </c>
      <c r="AB179" s="56" t="s">
        <v>573</v>
      </c>
      <c r="AC179" s="56">
        <v>220</v>
      </c>
      <c r="AD179" s="277" t="s">
        <v>19</v>
      </c>
      <c r="AE179" s="277"/>
    </row>
    <row r="180" spans="1:31" ht="15.75" x14ac:dyDescent="0.25">
      <c r="A180" s="280" t="s">
        <v>661</v>
      </c>
      <c r="B180" s="280">
        <v>2</v>
      </c>
      <c r="C180" s="280" t="s">
        <v>532</v>
      </c>
      <c r="D180" s="280" t="s">
        <v>569</v>
      </c>
      <c r="E180" s="280">
        <v>1</v>
      </c>
      <c r="F180" s="285">
        <v>45743.719444444447</v>
      </c>
      <c r="G180" s="280">
        <v>1</v>
      </c>
      <c r="H180" s="280">
        <v>51.377400000000002</v>
      </c>
      <c r="I180" s="280">
        <v>9.4313900000000004</v>
      </c>
      <c r="J180" s="280">
        <v>3.7230690000000002</v>
      </c>
      <c r="K180" s="280">
        <v>5.5883599999999998</v>
      </c>
      <c r="L180" s="280">
        <v>1030.03</v>
      </c>
      <c r="M180" s="280">
        <v>65.000979999999998</v>
      </c>
      <c r="N180" s="282">
        <v>10818.28</v>
      </c>
      <c r="O180" s="280">
        <v>10825.4</v>
      </c>
      <c r="P180" s="283">
        <v>2089.569</v>
      </c>
      <c r="Q180" s="275">
        <f t="shared" si="0"/>
        <v>2089.569</v>
      </c>
      <c r="R180" s="283" t="s">
        <v>570</v>
      </c>
      <c r="S180" s="275">
        <v>10</v>
      </c>
      <c r="T180" s="275">
        <v>5</v>
      </c>
      <c r="U180" s="275">
        <v>0.7</v>
      </c>
      <c r="V180" s="275">
        <v>0.7</v>
      </c>
      <c r="W180" s="275">
        <v>0.7</v>
      </c>
      <c r="X180" s="56">
        <v>2000</v>
      </c>
      <c r="Y180" s="56" t="s">
        <v>571</v>
      </c>
      <c r="Z180" s="56">
        <v>0.2</v>
      </c>
      <c r="AA180" s="56" t="s">
        <v>572</v>
      </c>
      <c r="AB180" s="56" t="s">
        <v>573</v>
      </c>
      <c r="AC180" s="56">
        <v>220</v>
      </c>
      <c r="AD180" s="277" t="s">
        <v>19</v>
      </c>
      <c r="AE180" s="277"/>
    </row>
    <row r="181" spans="1:31" ht="15.75" x14ac:dyDescent="0.25">
      <c r="A181" s="280" t="s">
        <v>662</v>
      </c>
      <c r="B181" s="280">
        <v>2</v>
      </c>
      <c r="C181" s="280" t="s">
        <v>532</v>
      </c>
      <c r="D181" s="280" t="s">
        <v>569</v>
      </c>
      <c r="E181" s="280">
        <v>1</v>
      </c>
      <c r="F181" s="285">
        <v>45743.722222222219</v>
      </c>
      <c r="G181" s="280">
        <v>1</v>
      </c>
      <c r="H181" s="280">
        <v>51.377400000000002</v>
      </c>
      <c r="I181" s="280">
        <v>9.3720300000000005</v>
      </c>
      <c r="J181" s="280">
        <v>3.7589570000000001</v>
      </c>
      <c r="K181" s="280">
        <v>5.0435800000000004</v>
      </c>
      <c r="L181" s="280">
        <v>1033.26</v>
      </c>
      <c r="M181" s="280">
        <v>69.499470000000002</v>
      </c>
      <c r="N181" s="282">
        <v>10832.51</v>
      </c>
      <c r="O181" s="280">
        <v>10825.4</v>
      </c>
      <c r="P181" s="283">
        <v>2089.569</v>
      </c>
      <c r="Q181" s="275">
        <f t="shared" si="0"/>
        <v>2089.569</v>
      </c>
      <c r="R181" s="283" t="s">
        <v>570</v>
      </c>
      <c r="S181" s="275">
        <v>10</v>
      </c>
      <c r="T181" s="275">
        <v>5</v>
      </c>
      <c r="U181" s="275">
        <v>0.7</v>
      </c>
      <c r="V181" s="275">
        <v>0.7</v>
      </c>
      <c r="W181" s="275">
        <v>0.7</v>
      </c>
      <c r="X181" s="56">
        <v>2000</v>
      </c>
      <c r="Y181" s="56" t="s">
        <v>571</v>
      </c>
      <c r="Z181" s="56">
        <v>0.2</v>
      </c>
      <c r="AA181" s="56" t="s">
        <v>572</v>
      </c>
      <c r="AB181" s="56" t="s">
        <v>573</v>
      </c>
      <c r="AC181" s="56">
        <v>220</v>
      </c>
      <c r="AD181" s="277" t="s">
        <v>19</v>
      </c>
      <c r="AE181" s="277"/>
    </row>
    <row r="182" spans="1:31" ht="15.75" x14ac:dyDescent="0.25">
      <c r="A182" s="56" t="s">
        <v>663</v>
      </c>
      <c r="B182" s="56">
        <v>3</v>
      </c>
      <c r="C182" s="56">
        <v>170</v>
      </c>
      <c r="D182" s="56" t="s">
        <v>600</v>
      </c>
      <c r="E182" s="56">
        <v>1</v>
      </c>
      <c r="F182" s="284">
        <v>45743.725694444445</v>
      </c>
      <c r="G182" s="56">
        <v>1</v>
      </c>
      <c r="H182" s="56">
        <v>51.377400000000002</v>
      </c>
      <c r="I182" s="56">
        <v>9.4156600000000008</v>
      </c>
      <c r="J182" s="56">
        <v>3.7038890000000002</v>
      </c>
      <c r="K182" s="56">
        <v>5.1697860000000002</v>
      </c>
      <c r="L182" s="56">
        <v>1048.4100000000001</v>
      </c>
      <c r="M182" s="56">
        <v>67.000079999999997</v>
      </c>
      <c r="N182" s="274">
        <v>10836.03</v>
      </c>
      <c r="O182" s="56">
        <v>10840.16</v>
      </c>
      <c r="P182" s="275">
        <v>2092.3710000000001</v>
      </c>
      <c r="Q182" s="275">
        <f t="shared" si="0"/>
        <v>2092.3710000000001</v>
      </c>
      <c r="R182" s="275" t="s">
        <v>570</v>
      </c>
      <c r="S182" s="275">
        <v>10</v>
      </c>
      <c r="T182" s="275">
        <v>5</v>
      </c>
      <c r="U182" s="275">
        <v>0.7</v>
      </c>
      <c r="V182" s="275">
        <v>0.7</v>
      </c>
      <c r="W182" s="275">
        <v>0.7</v>
      </c>
      <c r="X182" s="56">
        <v>2000</v>
      </c>
      <c r="Y182" s="56" t="s">
        <v>571</v>
      </c>
      <c r="Z182" s="56">
        <v>0.2</v>
      </c>
      <c r="AA182" s="56" t="s">
        <v>572</v>
      </c>
      <c r="AB182" s="56" t="s">
        <v>573</v>
      </c>
      <c r="AC182" s="56">
        <v>220</v>
      </c>
      <c r="AD182" s="277" t="s">
        <v>19</v>
      </c>
      <c r="AE182" s="277"/>
    </row>
    <row r="183" spans="1:31" ht="15.75" x14ac:dyDescent="0.25">
      <c r="A183" s="56" t="s">
        <v>664</v>
      </c>
      <c r="B183" s="56">
        <v>3</v>
      </c>
      <c r="C183" s="56">
        <v>170</v>
      </c>
      <c r="D183" s="56" t="s">
        <v>600</v>
      </c>
      <c r="E183" s="56">
        <v>1</v>
      </c>
      <c r="F183" s="284">
        <v>45743.728472222225</v>
      </c>
      <c r="G183" s="56">
        <v>1</v>
      </c>
      <c r="H183" s="56">
        <v>51.380699999999997</v>
      </c>
      <c r="I183" s="56">
        <v>9.4377300000000002</v>
      </c>
      <c r="J183" s="56">
        <v>3.6734789999999999</v>
      </c>
      <c r="K183" s="56">
        <v>5.1660110000000001</v>
      </c>
      <c r="L183" s="56">
        <v>1027.56</v>
      </c>
      <c r="M183" s="56">
        <v>68.501599999999996</v>
      </c>
      <c r="N183" s="274">
        <v>10844.29</v>
      </c>
      <c r="O183" s="56">
        <v>10840.16</v>
      </c>
      <c r="P183" s="275">
        <v>2092.3710000000001</v>
      </c>
      <c r="Q183" s="275">
        <f t="shared" si="0"/>
        <v>2092.3710000000001</v>
      </c>
      <c r="R183" s="275" t="s">
        <v>570</v>
      </c>
      <c r="S183" s="275">
        <v>10</v>
      </c>
      <c r="T183" s="275">
        <v>5</v>
      </c>
      <c r="U183" s="275">
        <v>0.7</v>
      </c>
      <c r="V183" s="275">
        <v>0.7</v>
      </c>
      <c r="W183" s="275">
        <v>0.7</v>
      </c>
      <c r="X183" s="56">
        <v>2000</v>
      </c>
      <c r="Y183" s="56" t="s">
        <v>571</v>
      </c>
      <c r="Z183" s="56">
        <v>0.2</v>
      </c>
      <c r="AA183" s="56" t="s">
        <v>572</v>
      </c>
      <c r="AB183" s="56" t="s">
        <v>573</v>
      </c>
      <c r="AC183" s="56">
        <v>220</v>
      </c>
      <c r="AD183" s="277" t="s">
        <v>19</v>
      </c>
      <c r="AE183" s="277"/>
    </row>
    <row r="184" spans="1:31" ht="15.75" x14ac:dyDescent="0.25">
      <c r="A184" s="56" t="s">
        <v>665</v>
      </c>
      <c r="B184" s="56">
        <v>4</v>
      </c>
      <c r="C184" s="56">
        <v>171</v>
      </c>
      <c r="D184" s="56" t="s">
        <v>604</v>
      </c>
      <c r="E184" s="56">
        <v>1</v>
      </c>
      <c r="F184" s="284">
        <v>45743.731249999997</v>
      </c>
      <c r="G184" s="56">
        <v>1</v>
      </c>
      <c r="H184" s="56">
        <v>51.374099999999999</v>
      </c>
      <c r="I184" s="56">
        <v>9.4689300000000003</v>
      </c>
      <c r="J184" s="56">
        <v>3.7453479999999999</v>
      </c>
      <c r="K184" s="56">
        <v>5.624091</v>
      </c>
      <c r="L184" s="56">
        <v>1038.05</v>
      </c>
      <c r="M184" s="56">
        <v>65.000069999999994</v>
      </c>
      <c r="N184" s="274">
        <v>10833.43</v>
      </c>
      <c r="O184" s="56">
        <v>10838.18</v>
      </c>
      <c r="P184" s="275">
        <v>2091.9949999999999</v>
      </c>
      <c r="Q184" s="275">
        <f t="shared" si="0"/>
        <v>2091.9949999999999</v>
      </c>
      <c r="R184" s="275" t="s">
        <v>570</v>
      </c>
      <c r="S184" s="275">
        <v>10</v>
      </c>
      <c r="T184" s="275">
        <v>5</v>
      </c>
      <c r="U184" s="275">
        <v>0.7</v>
      </c>
      <c r="V184" s="275">
        <v>0.7</v>
      </c>
      <c r="W184" s="275">
        <v>0.7</v>
      </c>
      <c r="X184" s="56">
        <v>2000</v>
      </c>
      <c r="Y184" s="56" t="s">
        <v>571</v>
      </c>
      <c r="Z184" s="56">
        <v>0.2</v>
      </c>
      <c r="AA184" s="56" t="s">
        <v>572</v>
      </c>
      <c r="AB184" s="56" t="s">
        <v>573</v>
      </c>
      <c r="AC184" s="56">
        <v>220</v>
      </c>
      <c r="AD184" s="277" t="s">
        <v>19</v>
      </c>
      <c r="AE184" s="277"/>
    </row>
    <row r="185" spans="1:31" ht="15.75" x14ac:dyDescent="0.25">
      <c r="A185" s="56" t="s">
        <v>666</v>
      </c>
      <c r="B185" s="56">
        <v>4</v>
      </c>
      <c r="C185" s="56">
        <v>171</v>
      </c>
      <c r="D185" s="56" t="s">
        <v>604</v>
      </c>
      <c r="E185" s="56">
        <v>1</v>
      </c>
      <c r="F185" s="284">
        <v>45743.734027777777</v>
      </c>
      <c r="G185" s="56">
        <v>1</v>
      </c>
      <c r="H185" s="56">
        <v>51.374099999999999</v>
      </c>
      <c r="I185" s="56">
        <v>9.4452200000000008</v>
      </c>
      <c r="J185" s="56">
        <v>3.668771</v>
      </c>
      <c r="K185" s="56">
        <v>5.2038380000000002</v>
      </c>
      <c r="L185" s="56">
        <v>1053.21</v>
      </c>
      <c r="M185" s="56">
        <v>73.499529999999993</v>
      </c>
      <c r="N185" s="274">
        <v>10842.93</v>
      </c>
      <c r="O185" s="56">
        <v>10838.18</v>
      </c>
      <c r="P185" s="275">
        <v>2091.9949999999999</v>
      </c>
      <c r="Q185" s="275">
        <f t="shared" si="0"/>
        <v>2091.9949999999999</v>
      </c>
      <c r="R185" s="275" t="s">
        <v>570</v>
      </c>
      <c r="S185" s="275">
        <v>10</v>
      </c>
      <c r="T185" s="275">
        <v>5</v>
      </c>
      <c r="U185" s="275">
        <v>0.7</v>
      </c>
      <c r="V185" s="275">
        <v>0.7</v>
      </c>
      <c r="W185" s="275">
        <v>0.7</v>
      </c>
      <c r="X185" s="56">
        <v>2000</v>
      </c>
      <c r="Y185" s="56" t="s">
        <v>571</v>
      </c>
      <c r="Z185" s="56">
        <v>0.2</v>
      </c>
      <c r="AA185" s="56" t="s">
        <v>572</v>
      </c>
      <c r="AB185" s="56" t="s">
        <v>573</v>
      </c>
      <c r="AC185" s="56">
        <v>220</v>
      </c>
      <c r="AD185" s="277" t="s">
        <v>19</v>
      </c>
      <c r="AE185" s="277"/>
    </row>
    <row r="186" spans="1:31" ht="15.75" x14ac:dyDescent="0.25">
      <c r="A186" s="56" t="s">
        <v>670</v>
      </c>
      <c r="B186" s="56">
        <v>5</v>
      </c>
      <c r="C186" s="56">
        <v>248</v>
      </c>
      <c r="D186" s="56" t="s">
        <v>608</v>
      </c>
      <c r="E186" s="56">
        <v>1</v>
      </c>
      <c r="F186" s="284">
        <v>45743.737500000003</v>
      </c>
      <c r="G186" s="56">
        <v>1</v>
      </c>
      <c r="H186" s="56">
        <v>51.377400000000002</v>
      </c>
      <c r="I186" s="56">
        <v>9.4313000000000002</v>
      </c>
      <c r="J186" s="56">
        <v>3.6868569999999998</v>
      </c>
      <c r="K186" s="56">
        <v>4.9892880000000002</v>
      </c>
      <c r="L186" s="56">
        <v>1049.57</v>
      </c>
      <c r="M186" s="56">
        <v>68.999639999999999</v>
      </c>
      <c r="N186" s="274">
        <v>10866.77</v>
      </c>
      <c r="O186" s="56">
        <v>10860.26</v>
      </c>
      <c r="P186" s="275">
        <v>2096.1840000000002</v>
      </c>
      <c r="Q186" s="275">
        <f t="shared" si="0"/>
        <v>2096.1840000000002</v>
      </c>
      <c r="R186" s="275" t="s">
        <v>570</v>
      </c>
      <c r="S186" s="275">
        <v>10</v>
      </c>
      <c r="T186" s="275">
        <v>5</v>
      </c>
      <c r="U186" s="275">
        <v>0.7</v>
      </c>
      <c r="V186" s="275">
        <v>0.7</v>
      </c>
      <c r="W186" s="275">
        <v>0.7</v>
      </c>
      <c r="X186" s="56">
        <v>2000</v>
      </c>
      <c r="Y186" s="56" t="s">
        <v>571</v>
      </c>
      <c r="Z186" s="56">
        <v>0.2</v>
      </c>
      <c r="AA186" s="56" t="s">
        <v>572</v>
      </c>
      <c r="AB186" s="56" t="s">
        <v>573</v>
      </c>
      <c r="AC186" s="56">
        <v>220</v>
      </c>
      <c r="AD186" s="277" t="s">
        <v>19</v>
      </c>
      <c r="AE186" s="277"/>
    </row>
    <row r="187" spans="1:31" ht="15.75" x14ac:dyDescent="0.25">
      <c r="A187" s="56" t="s">
        <v>671</v>
      </c>
      <c r="B187" s="56">
        <v>5</v>
      </c>
      <c r="C187" s="56">
        <v>248</v>
      </c>
      <c r="D187" s="56" t="s">
        <v>608</v>
      </c>
      <c r="E187" s="56">
        <v>1</v>
      </c>
      <c r="F187" s="284">
        <v>45743.740277777775</v>
      </c>
      <c r="G187" s="56">
        <v>1</v>
      </c>
      <c r="H187" s="56">
        <v>51.384</v>
      </c>
      <c r="I187" s="56">
        <v>9.5622600000000002</v>
      </c>
      <c r="J187" s="56">
        <v>3.718944</v>
      </c>
      <c r="K187" s="56">
        <v>5.5575609999999998</v>
      </c>
      <c r="L187" s="56">
        <v>1028.8499999999999</v>
      </c>
      <c r="M187" s="56">
        <v>68.501130000000003</v>
      </c>
      <c r="N187" s="274">
        <v>10853.74</v>
      </c>
      <c r="O187" s="56">
        <v>10860.26</v>
      </c>
      <c r="P187" s="275">
        <v>2096.1840000000002</v>
      </c>
      <c r="Q187" s="275">
        <f t="shared" si="0"/>
        <v>2096.1840000000002</v>
      </c>
      <c r="R187" s="275" t="s">
        <v>570</v>
      </c>
      <c r="S187" s="275">
        <v>10</v>
      </c>
      <c r="T187" s="275">
        <v>5</v>
      </c>
      <c r="U187" s="275">
        <v>0.7</v>
      </c>
      <c r="V187" s="275">
        <v>0.7</v>
      </c>
      <c r="W187" s="275">
        <v>0.7</v>
      </c>
      <c r="X187" s="56">
        <v>2000</v>
      </c>
      <c r="Y187" s="56" t="s">
        <v>571</v>
      </c>
      <c r="Z187" s="56">
        <v>0.2</v>
      </c>
      <c r="AA187" s="56" t="s">
        <v>572</v>
      </c>
      <c r="AB187" s="56" t="s">
        <v>573</v>
      </c>
      <c r="AC187" s="56">
        <v>220</v>
      </c>
      <c r="AD187" s="277" t="s">
        <v>19</v>
      </c>
      <c r="AE187" s="277"/>
    </row>
    <row r="188" spans="1:31" ht="15.75" x14ac:dyDescent="0.25">
      <c r="A188" s="56" t="s">
        <v>672</v>
      </c>
      <c r="B188" s="56">
        <v>6</v>
      </c>
      <c r="C188" s="56">
        <v>249</v>
      </c>
      <c r="D188" s="56" t="s">
        <v>618</v>
      </c>
      <c r="E188" s="56">
        <v>1</v>
      </c>
      <c r="F188" s="284">
        <v>45743.743750000001</v>
      </c>
      <c r="G188" s="56">
        <v>1</v>
      </c>
      <c r="H188" s="56">
        <v>51.374099999999999</v>
      </c>
      <c r="I188" s="56">
        <v>9.5019100000000005</v>
      </c>
      <c r="J188" s="56">
        <v>3.8131840000000001</v>
      </c>
      <c r="K188" s="56">
        <v>5.239509</v>
      </c>
      <c r="L188" s="56">
        <v>1052.31</v>
      </c>
      <c r="M188" s="56">
        <v>67.499719999999996</v>
      </c>
      <c r="N188" s="274">
        <v>10855.48</v>
      </c>
      <c r="O188" s="56">
        <v>10905.46</v>
      </c>
      <c r="P188" s="275">
        <v>2104.761</v>
      </c>
      <c r="Q188" s="275">
        <f t="shared" si="0"/>
        <v>2104.761</v>
      </c>
      <c r="R188" s="275" t="s">
        <v>584</v>
      </c>
      <c r="S188" s="275">
        <v>10</v>
      </c>
      <c r="T188" s="275">
        <v>5</v>
      </c>
      <c r="U188" s="275">
        <v>0.7</v>
      </c>
      <c r="V188" s="275">
        <v>0.7</v>
      </c>
      <c r="W188" s="275">
        <v>0.7</v>
      </c>
      <c r="X188" s="56">
        <v>2000</v>
      </c>
      <c r="Y188" s="56" t="s">
        <v>571</v>
      </c>
      <c r="Z188" s="56">
        <v>0.2</v>
      </c>
      <c r="AA188" s="56" t="s">
        <v>572</v>
      </c>
      <c r="AB188" s="56" t="s">
        <v>573</v>
      </c>
      <c r="AC188" s="56">
        <v>220</v>
      </c>
      <c r="AD188" s="277" t="s">
        <v>19</v>
      </c>
      <c r="AE188" s="277"/>
    </row>
    <row r="189" spans="1:31" ht="15.75" x14ac:dyDescent="0.25">
      <c r="A189" s="56" t="s">
        <v>673</v>
      </c>
      <c r="B189" s="56">
        <v>6</v>
      </c>
      <c r="C189" s="56">
        <v>249</v>
      </c>
      <c r="D189" s="56" t="s">
        <v>618</v>
      </c>
      <c r="E189" s="56">
        <v>1</v>
      </c>
      <c r="F189" s="284">
        <v>45743.746527777781</v>
      </c>
      <c r="G189" s="56">
        <v>1</v>
      </c>
      <c r="H189" s="56">
        <v>51.380699999999997</v>
      </c>
      <c r="I189" s="56">
        <v>9.5383499999999994</v>
      </c>
      <c r="J189" s="56">
        <v>3.9447450000000002</v>
      </c>
      <c r="K189" s="56">
        <v>4.5701700000000001</v>
      </c>
      <c r="L189" s="56">
        <v>1040.8800000000001</v>
      </c>
      <c r="M189" s="56">
        <v>86.500309999999999</v>
      </c>
      <c r="N189" s="274">
        <v>10912.28</v>
      </c>
      <c r="O189" s="56">
        <v>10905.46</v>
      </c>
      <c r="P189" s="275">
        <v>2104.761</v>
      </c>
      <c r="Q189" s="275">
        <f t="shared" si="0"/>
        <v>2104.761</v>
      </c>
      <c r="R189" s="275" t="s">
        <v>570</v>
      </c>
      <c r="S189" s="275">
        <v>10</v>
      </c>
      <c r="T189" s="275">
        <v>5</v>
      </c>
      <c r="U189" s="275">
        <v>0.7</v>
      </c>
      <c r="V189" s="275">
        <v>0.7</v>
      </c>
      <c r="W189" s="275">
        <v>0.7</v>
      </c>
      <c r="X189" s="56">
        <v>2000</v>
      </c>
      <c r="Y189" s="56" t="s">
        <v>571</v>
      </c>
      <c r="Z189" s="56">
        <v>0.2</v>
      </c>
      <c r="AA189" s="56" t="s">
        <v>572</v>
      </c>
      <c r="AB189" s="56" t="s">
        <v>573</v>
      </c>
      <c r="AC189" s="56">
        <v>220</v>
      </c>
      <c r="AD189" s="277" t="s">
        <v>19</v>
      </c>
      <c r="AE189" s="277"/>
    </row>
    <row r="190" spans="1:31" ht="15.75" x14ac:dyDescent="0.25">
      <c r="A190" s="56" t="s">
        <v>674</v>
      </c>
      <c r="B190" s="56">
        <v>6</v>
      </c>
      <c r="C190" s="56">
        <v>249</v>
      </c>
      <c r="D190" s="56" t="s">
        <v>618</v>
      </c>
      <c r="E190" s="56">
        <v>1</v>
      </c>
      <c r="F190" s="284">
        <v>45743.75</v>
      </c>
      <c r="G190" s="56">
        <v>1</v>
      </c>
      <c r="H190" s="56">
        <v>51.377400000000002</v>
      </c>
      <c r="I190" s="56">
        <v>9.4730399999999992</v>
      </c>
      <c r="J190" s="56">
        <v>3.8195359999999998</v>
      </c>
      <c r="K190" s="56">
        <v>4.9078340000000003</v>
      </c>
      <c r="L190" s="56">
        <v>1031.52</v>
      </c>
      <c r="M190" s="56">
        <v>95.50121</v>
      </c>
      <c r="N190" s="274">
        <v>10898.63</v>
      </c>
      <c r="O190" s="56">
        <v>10905.46</v>
      </c>
      <c r="P190" s="275">
        <v>2104.761</v>
      </c>
      <c r="Q190" s="275">
        <f t="shared" si="0"/>
        <v>2104.761</v>
      </c>
      <c r="R190" s="275" t="s">
        <v>570</v>
      </c>
      <c r="S190" s="275">
        <v>10</v>
      </c>
      <c r="T190" s="275">
        <v>5</v>
      </c>
      <c r="U190" s="275">
        <v>0.7</v>
      </c>
      <c r="V190" s="275">
        <v>0.7</v>
      </c>
      <c r="W190" s="275">
        <v>0.7</v>
      </c>
      <c r="X190" s="56">
        <v>2000</v>
      </c>
      <c r="Y190" s="56" t="s">
        <v>571</v>
      </c>
      <c r="Z190" s="56">
        <v>0.2</v>
      </c>
      <c r="AA190" s="56" t="s">
        <v>572</v>
      </c>
      <c r="AB190" s="56" t="s">
        <v>573</v>
      </c>
      <c r="AC190" s="56">
        <v>220</v>
      </c>
      <c r="AD190" s="277" t="s">
        <v>19</v>
      </c>
      <c r="AE190" s="277"/>
    </row>
    <row r="191" spans="1:31" ht="15.75" x14ac:dyDescent="0.25">
      <c r="A191" s="56" t="s">
        <v>726</v>
      </c>
      <c r="B191" s="56">
        <v>7</v>
      </c>
      <c r="C191" s="56">
        <v>157</v>
      </c>
      <c r="D191" s="56" t="s">
        <v>623</v>
      </c>
      <c r="E191" s="56">
        <v>1</v>
      </c>
      <c r="F191" s="284">
        <v>45743.753472222219</v>
      </c>
      <c r="G191" s="56">
        <v>1</v>
      </c>
      <c r="H191" s="56">
        <v>51.377400000000002</v>
      </c>
      <c r="I191" s="56">
        <v>9.4717099999999999</v>
      </c>
      <c r="J191" s="56">
        <v>3.739741</v>
      </c>
      <c r="K191" s="56">
        <v>6.0703430000000003</v>
      </c>
      <c r="L191" s="56">
        <v>1026.08</v>
      </c>
      <c r="M191" s="56">
        <v>66.002219999999994</v>
      </c>
      <c r="N191" s="274">
        <v>10848.46</v>
      </c>
      <c r="O191" s="56">
        <v>10846.75</v>
      </c>
      <c r="P191" s="275">
        <v>2093.6219999999998</v>
      </c>
      <c r="Q191" s="275">
        <f t="shared" si="0"/>
        <v>2093.6219999999998</v>
      </c>
      <c r="R191" s="275" t="s">
        <v>570</v>
      </c>
      <c r="S191" s="275">
        <v>10</v>
      </c>
      <c r="T191" s="275">
        <v>5</v>
      </c>
      <c r="U191" s="275">
        <v>0.7</v>
      </c>
      <c r="V191" s="275">
        <v>0.7</v>
      </c>
      <c r="W191" s="275">
        <v>0.7</v>
      </c>
      <c r="X191" s="56">
        <v>2000</v>
      </c>
      <c r="Y191" s="56" t="s">
        <v>571</v>
      </c>
      <c r="Z191" s="56">
        <v>0.2</v>
      </c>
      <c r="AA191" s="56" t="s">
        <v>572</v>
      </c>
      <c r="AB191" s="56" t="s">
        <v>573</v>
      </c>
      <c r="AC191" s="56">
        <v>220</v>
      </c>
      <c r="AD191" s="277" t="s">
        <v>19</v>
      </c>
      <c r="AE191" s="277"/>
    </row>
    <row r="192" spans="1:31" ht="15.75" x14ac:dyDescent="0.25">
      <c r="A192" s="56" t="s">
        <v>727</v>
      </c>
      <c r="B192" s="56">
        <v>7</v>
      </c>
      <c r="C192" s="56">
        <v>157</v>
      </c>
      <c r="D192" s="56" t="s">
        <v>623</v>
      </c>
      <c r="E192" s="56">
        <v>1</v>
      </c>
      <c r="F192" s="284">
        <v>45743.756249999999</v>
      </c>
      <c r="G192" s="56">
        <v>1</v>
      </c>
      <c r="H192" s="56">
        <v>51.377400000000002</v>
      </c>
      <c r="I192" s="56">
        <v>9.5764099999999992</v>
      </c>
      <c r="J192" s="56">
        <v>3.918831</v>
      </c>
      <c r="K192" s="56">
        <v>5.9382070000000002</v>
      </c>
      <c r="L192" s="56">
        <v>1010.07</v>
      </c>
      <c r="M192" s="56">
        <v>64.499539999999996</v>
      </c>
      <c r="N192" s="274">
        <v>10845.04</v>
      </c>
      <c r="O192" s="56">
        <v>10846.75</v>
      </c>
      <c r="P192" s="275">
        <v>2093.6219999999998</v>
      </c>
      <c r="Q192" s="275">
        <f t="shared" si="0"/>
        <v>2093.6219999999998</v>
      </c>
      <c r="R192" s="275" t="s">
        <v>570</v>
      </c>
      <c r="S192" s="275">
        <v>10</v>
      </c>
      <c r="T192" s="275">
        <v>5</v>
      </c>
      <c r="U192" s="275">
        <v>0.7</v>
      </c>
      <c r="V192" s="275">
        <v>0.7</v>
      </c>
      <c r="W192" s="275">
        <v>0.7</v>
      </c>
      <c r="X192" s="56">
        <v>2000</v>
      </c>
      <c r="Y192" s="56" t="s">
        <v>571</v>
      </c>
      <c r="Z192" s="56">
        <v>0.2</v>
      </c>
      <c r="AA192" s="56" t="s">
        <v>572</v>
      </c>
      <c r="AB192" s="56" t="s">
        <v>573</v>
      </c>
      <c r="AC192" s="56">
        <v>220</v>
      </c>
      <c r="AD192" s="277" t="s">
        <v>19</v>
      </c>
      <c r="AE192" s="277"/>
    </row>
    <row r="193" spans="1:31" ht="15.75" x14ac:dyDescent="0.25">
      <c r="A193" s="56" t="s">
        <v>728</v>
      </c>
      <c r="B193" s="56">
        <v>8</v>
      </c>
      <c r="C193" s="56">
        <v>158</v>
      </c>
      <c r="D193" s="56" t="s">
        <v>629</v>
      </c>
      <c r="E193" s="56">
        <v>1</v>
      </c>
      <c r="F193" s="284">
        <v>45743.759722222225</v>
      </c>
      <c r="G193" s="56">
        <v>1</v>
      </c>
      <c r="H193" s="56">
        <v>51.377400000000002</v>
      </c>
      <c r="I193" s="56">
        <v>9.4324700000000004</v>
      </c>
      <c r="J193" s="56">
        <v>3.734664</v>
      </c>
      <c r="K193" s="56">
        <v>5.6342220000000003</v>
      </c>
      <c r="L193" s="56">
        <v>1043.93</v>
      </c>
      <c r="M193" s="56">
        <v>77.001220000000004</v>
      </c>
      <c r="N193" s="274">
        <v>10871.54</v>
      </c>
      <c r="O193" s="56">
        <v>10856.63</v>
      </c>
      <c r="P193" s="275">
        <v>2095.4949999999999</v>
      </c>
      <c r="Q193" s="275">
        <f t="shared" si="0"/>
        <v>2095.4949999999999</v>
      </c>
      <c r="R193" s="275" t="s">
        <v>584</v>
      </c>
      <c r="S193" s="275">
        <v>10</v>
      </c>
      <c r="T193" s="275">
        <v>5</v>
      </c>
      <c r="U193" s="275">
        <v>0.7</v>
      </c>
      <c r="V193" s="275">
        <v>0.7</v>
      </c>
      <c r="W193" s="275">
        <v>0.7</v>
      </c>
      <c r="X193" s="56">
        <v>2000</v>
      </c>
      <c r="Y193" s="56" t="s">
        <v>571</v>
      </c>
      <c r="Z193" s="56">
        <v>0.2</v>
      </c>
      <c r="AA193" s="56" t="s">
        <v>572</v>
      </c>
      <c r="AB193" s="56" t="s">
        <v>573</v>
      </c>
      <c r="AC193" s="56">
        <v>220</v>
      </c>
      <c r="AD193" s="277" t="s">
        <v>19</v>
      </c>
      <c r="AE193" s="277"/>
    </row>
    <row r="194" spans="1:31" ht="15.75" x14ac:dyDescent="0.25">
      <c r="A194" s="56" t="s">
        <v>729</v>
      </c>
      <c r="B194" s="56">
        <v>8</v>
      </c>
      <c r="C194" s="56">
        <v>158</v>
      </c>
      <c r="D194" s="56" t="s">
        <v>629</v>
      </c>
      <c r="E194" s="56">
        <v>1</v>
      </c>
      <c r="F194" s="284">
        <v>45743.762499999997</v>
      </c>
      <c r="G194" s="56">
        <v>1</v>
      </c>
      <c r="H194" s="56">
        <v>51.377400000000002</v>
      </c>
      <c r="I194" s="56">
        <v>9.6201299999999996</v>
      </c>
      <c r="J194" s="56">
        <v>3.8600829999999999</v>
      </c>
      <c r="K194" s="56">
        <v>5.7748249999999999</v>
      </c>
      <c r="L194" s="56">
        <v>1035.5</v>
      </c>
      <c r="M194" s="56">
        <v>65.00018</v>
      </c>
      <c r="N194" s="274">
        <v>10849.53</v>
      </c>
      <c r="O194" s="56">
        <v>10856.63</v>
      </c>
      <c r="P194" s="275">
        <v>2095.4949999999999</v>
      </c>
      <c r="Q194" s="275">
        <f t="shared" si="0"/>
        <v>2095.4949999999999</v>
      </c>
      <c r="R194" s="275" t="s">
        <v>570</v>
      </c>
      <c r="S194" s="275">
        <v>10</v>
      </c>
      <c r="T194" s="275">
        <v>5</v>
      </c>
      <c r="U194" s="275">
        <v>0.7</v>
      </c>
      <c r="V194" s="275">
        <v>0.7</v>
      </c>
      <c r="W194" s="275">
        <v>0.7</v>
      </c>
      <c r="X194" s="56">
        <v>2000</v>
      </c>
      <c r="Y194" s="56" t="s">
        <v>571</v>
      </c>
      <c r="Z194" s="56">
        <v>0.2</v>
      </c>
      <c r="AA194" s="56" t="s">
        <v>572</v>
      </c>
      <c r="AB194" s="56" t="s">
        <v>573</v>
      </c>
      <c r="AC194" s="56">
        <v>220</v>
      </c>
      <c r="AD194" s="277" t="s">
        <v>19</v>
      </c>
      <c r="AE194" s="277"/>
    </row>
    <row r="195" spans="1:31" ht="15.75" x14ac:dyDescent="0.25">
      <c r="A195" s="56" t="s">
        <v>730</v>
      </c>
      <c r="B195" s="56">
        <v>8</v>
      </c>
      <c r="C195" s="56">
        <v>158</v>
      </c>
      <c r="D195" s="56" t="s">
        <v>629</v>
      </c>
      <c r="E195" s="56">
        <v>1</v>
      </c>
      <c r="F195" s="284">
        <v>45743.765277777777</v>
      </c>
      <c r="G195" s="56">
        <v>1</v>
      </c>
      <c r="H195" s="56">
        <v>51.377400000000002</v>
      </c>
      <c r="I195" s="56">
        <v>9.5043199999999999</v>
      </c>
      <c r="J195" s="56">
        <v>3.835823</v>
      </c>
      <c r="K195" s="56">
        <v>5.1698380000000004</v>
      </c>
      <c r="L195" s="56">
        <v>1033.22</v>
      </c>
      <c r="M195" s="56">
        <v>71.499629999999996</v>
      </c>
      <c r="N195" s="274">
        <v>10863.72</v>
      </c>
      <c r="O195" s="56">
        <v>10856.63</v>
      </c>
      <c r="P195" s="275">
        <v>2095.4949999999999</v>
      </c>
      <c r="Q195" s="275">
        <f t="shared" si="0"/>
        <v>2095.4949999999999</v>
      </c>
      <c r="R195" s="275" t="s">
        <v>570</v>
      </c>
      <c r="S195" s="275">
        <v>10</v>
      </c>
      <c r="T195" s="275">
        <v>5</v>
      </c>
      <c r="U195" s="275">
        <v>0.7</v>
      </c>
      <c r="V195" s="275">
        <v>0.7</v>
      </c>
      <c r="W195" s="275">
        <v>0.7</v>
      </c>
      <c r="X195" s="56">
        <v>2000</v>
      </c>
      <c r="Y195" s="56" t="s">
        <v>571</v>
      </c>
      <c r="Z195" s="56">
        <v>0.2</v>
      </c>
      <c r="AA195" s="56" t="s">
        <v>572</v>
      </c>
      <c r="AB195" s="56" t="s">
        <v>573</v>
      </c>
      <c r="AC195" s="56">
        <v>220</v>
      </c>
      <c r="AD195" s="277" t="s">
        <v>19</v>
      </c>
      <c r="AE195" s="277"/>
    </row>
    <row r="196" spans="1:31" ht="15.75" x14ac:dyDescent="0.25">
      <c r="A196" s="56" t="s">
        <v>731</v>
      </c>
      <c r="B196" s="56">
        <v>9</v>
      </c>
      <c r="C196" s="56">
        <v>573</v>
      </c>
      <c r="D196" s="56" t="s">
        <v>633</v>
      </c>
      <c r="E196" s="56">
        <v>1</v>
      </c>
      <c r="F196" s="284">
        <v>45743.768750000003</v>
      </c>
      <c r="G196" s="56">
        <v>1</v>
      </c>
      <c r="H196" s="56">
        <v>51.374099999999999</v>
      </c>
      <c r="I196" s="56">
        <v>9.5148899999999994</v>
      </c>
      <c r="J196" s="56">
        <v>3.7559559999999999</v>
      </c>
      <c r="K196" s="56">
        <v>5.0649689999999996</v>
      </c>
      <c r="L196" s="56">
        <v>1035.97</v>
      </c>
      <c r="M196" s="56">
        <v>73.998589999999993</v>
      </c>
      <c r="N196" s="274">
        <v>10799.97</v>
      </c>
      <c r="O196" s="56">
        <v>10801.85</v>
      </c>
      <c r="P196" s="275">
        <v>2085.1019999999999</v>
      </c>
      <c r="Q196" s="275">
        <f t="shared" si="0"/>
        <v>2085.1019999999999</v>
      </c>
      <c r="R196" s="275" t="s">
        <v>570</v>
      </c>
      <c r="S196" s="275">
        <v>10</v>
      </c>
      <c r="T196" s="275">
        <v>5</v>
      </c>
      <c r="U196" s="275">
        <v>0.7</v>
      </c>
      <c r="V196" s="275">
        <v>0.7</v>
      </c>
      <c r="W196" s="275">
        <v>0.7</v>
      </c>
      <c r="X196" s="56">
        <v>2000</v>
      </c>
      <c r="Y196" s="56" t="s">
        <v>571</v>
      </c>
      <c r="Z196" s="56">
        <v>0.2</v>
      </c>
      <c r="AA196" s="56" t="s">
        <v>572</v>
      </c>
      <c r="AB196" s="56" t="s">
        <v>573</v>
      </c>
      <c r="AC196" s="56">
        <v>220</v>
      </c>
      <c r="AD196" s="277" t="s">
        <v>19</v>
      </c>
      <c r="AE196" s="277"/>
    </row>
    <row r="197" spans="1:31" ht="15.75" x14ac:dyDescent="0.25">
      <c r="A197" s="56" t="s">
        <v>732</v>
      </c>
      <c r="B197" s="56">
        <v>9</v>
      </c>
      <c r="C197" s="56">
        <v>573</v>
      </c>
      <c r="D197" s="56" t="s">
        <v>633</v>
      </c>
      <c r="E197" s="56">
        <v>1</v>
      </c>
      <c r="F197" s="284">
        <v>45743.771527777775</v>
      </c>
      <c r="G197" s="56">
        <v>1</v>
      </c>
      <c r="H197" s="56">
        <v>51.377400000000002</v>
      </c>
      <c r="I197" s="56">
        <v>9.3956199999999992</v>
      </c>
      <c r="J197" s="56">
        <v>3.8305310000000001</v>
      </c>
      <c r="K197" s="56">
        <v>5.028302</v>
      </c>
      <c r="L197" s="56">
        <v>1026.01</v>
      </c>
      <c r="M197" s="56">
        <v>76.99973</v>
      </c>
      <c r="N197" s="274">
        <v>10803.74</v>
      </c>
      <c r="O197" s="56">
        <v>10801.85</v>
      </c>
      <c r="P197" s="275">
        <v>2085.1019999999999</v>
      </c>
      <c r="Q197" s="275">
        <f t="shared" si="0"/>
        <v>2085.1019999999999</v>
      </c>
      <c r="R197" s="275" t="s">
        <v>570</v>
      </c>
      <c r="S197" s="275">
        <v>10</v>
      </c>
      <c r="T197" s="275">
        <v>5</v>
      </c>
      <c r="U197" s="275">
        <v>0.7</v>
      </c>
      <c r="V197" s="275">
        <v>0.7</v>
      </c>
      <c r="W197" s="275">
        <v>0.7</v>
      </c>
      <c r="X197" s="56">
        <v>2000</v>
      </c>
      <c r="Y197" s="56" t="s">
        <v>571</v>
      </c>
      <c r="Z197" s="56">
        <v>0.2</v>
      </c>
      <c r="AA197" s="56" t="s">
        <v>572</v>
      </c>
      <c r="AB197" s="56" t="s">
        <v>573</v>
      </c>
      <c r="AC197" s="56">
        <v>220</v>
      </c>
      <c r="AD197" s="277" t="s">
        <v>19</v>
      </c>
      <c r="AE197" s="277"/>
    </row>
    <row r="198" spans="1:31" ht="15.75" x14ac:dyDescent="0.25">
      <c r="A198" s="56" t="s">
        <v>733</v>
      </c>
      <c r="B198" s="56">
        <v>10</v>
      </c>
      <c r="C198" s="56">
        <v>574</v>
      </c>
      <c r="D198" s="56" t="s">
        <v>637</v>
      </c>
      <c r="E198" s="56">
        <v>1</v>
      </c>
      <c r="F198" s="284">
        <v>45743.775000000001</v>
      </c>
      <c r="G198" s="56">
        <v>1</v>
      </c>
      <c r="H198" s="56">
        <v>51.377400000000002</v>
      </c>
      <c r="I198" s="56">
        <v>9.5106999999999999</v>
      </c>
      <c r="J198" s="56">
        <v>3.7615980000000002</v>
      </c>
      <c r="K198" s="56">
        <v>4.5650409999999999</v>
      </c>
      <c r="L198" s="56">
        <v>1046.8</v>
      </c>
      <c r="M198" s="56">
        <v>97.499499999999998</v>
      </c>
      <c r="N198" s="274">
        <v>10802.78</v>
      </c>
      <c r="O198" s="56">
        <v>10810.48</v>
      </c>
      <c r="P198" s="275">
        <v>2086.7379999999998</v>
      </c>
      <c r="Q198" s="275">
        <f t="shared" si="0"/>
        <v>2086.7379999999998</v>
      </c>
      <c r="R198" s="275" t="s">
        <v>570</v>
      </c>
      <c r="S198" s="275">
        <v>10</v>
      </c>
      <c r="T198" s="275">
        <v>5</v>
      </c>
      <c r="U198" s="275">
        <v>0.7</v>
      </c>
      <c r="V198" s="275">
        <v>0.7</v>
      </c>
      <c r="W198" s="275">
        <v>0.7</v>
      </c>
      <c r="X198" s="56">
        <v>2000</v>
      </c>
      <c r="Y198" s="56" t="s">
        <v>571</v>
      </c>
      <c r="Z198" s="56">
        <v>0.2</v>
      </c>
      <c r="AA198" s="56" t="s">
        <v>572</v>
      </c>
      <c r="AB198" s="56" t="s">
        <v>573</v>
      </c>
      <c r="AC198" s="56">
        <v>220</v>
      </c>
      <c r="AD198" s="277" t="s">
        <v>19</v>
      </c>
      <c r="AE198" s="277"/>
    </row>
    <row r="199" spans="1:31" ht="15.75" x14ac:dyDescent="0.25">
      <c r="A199" s="56" t="s">
        <v>734</v>
      </c>
      <c r="B199" s="56">
        <v>10</v>
      </c>
      <c r="C199" s="56">
        <v>574</v>
      </c>
      <c r="D199" s="56" t="s">
        <v>637</v>
      </c>
      <c r="E199" s="56">
        <v>1</v>
      </c>
      <c r="F199" s="284">
        <v>45743.777777777781</v>
      </c>
      <c r="G199" s="56">
        <v>1</v>
      </c>
      <c r="H199" s="56">
        <v>51.377400000000002</v>
      </c>
      <c r="I199" s="56">
        <v>9.5138599999999993</v>
      </c>
      <c r="J199" s="56">
        <v>3.8834119999999999</v>
      </c>
      <c r="K199" s="56">
        <v>4.8126160000000002</v>
      </c>
      <c r="L199" s="56">
        <v>1018.54</v>
      </c>
      <c r="M199" s="56">
        <v>85.999849999999995</v>
      </c>
      <c r="N199" s="274">
        <v>10818.17</v>
      </c>
      <c r="O199" s="56">
        <v>10810.48</v>
      </c>
      <c r="P199" s="275">
        <v>2086.7379999999998</v>
      </c>
      <c r="Q199" s="275">
        <f t="shared" si="0"/>
        <v>2086.7379999999998</v>
      </c>
      <c r="R199" s="275" t="s">
        <v>570</v>
      </c>
      <c r="S199" s="275">
        <v>10</v>
      </c>
      <c r="T199" s="275">
        <v>5</v>
      </c>
      <c r="U199" s="275">
        <v>0.7</v>
      </c>
      <c r="V199" s="275">
        <v>0.7</v>
      </c>
      <c r="W199" s="275">
        <v>0.7</v>
      </c>
      <c r="X199" s="56">
        <v>2000</v>
      </c>
      <c r="Y199" s="56" t="s">
        <v>571</v>
      </c>
      <c r="Z199" s="56">
        <v>0.2</v>
      </c>
      <c r="AA199" s="56" t="s">
        <v>572</v>
      </c>
      <c r="AB199" s="56" t="s">
        <v>573</v>
      </c>
      <c r="AC199" s="56">
        <v>220</v>
      </c>
      <c r="AD199" s="277" t="s">
        <v>19</v>
      </c>
      <c r="AE199" s="277"/>
    </row>
    <row r="200" spans="1:31" ht="15.75" x14ac:dyDescent="0.25">
      <c r="A200" s="280" t="s">
        <v>735</v>
      </c>
      <c r="B200" s="280">
        <v>11</v>
      </c>
      <c r="C200" s="280" t="s">
        <v>532</v>
      </c>
      <c r="D200" s="280" t="s">
        <v>569</v>
      </c>
      <c r="E200" s="280">
        <v>1</v>
      </c>
      <c r="F200" s="285">
        <v>45743.78125</v>
      </c>
      <c r="G200" s="280">
        <v>1</v>
      </c>
      <c r="H200" s="280">
        <v>51.380699999999997</v>
      </c>
      <c r="I200" s="280">
        <v>9.4721299999999999</v>
      </c>
      <c r="J200" s="280">
        <v>3.8416950000000001</v>
      </c>
      <c r="K200" s="280">
        <v>5.2042169999999999</v>
      </c>
      <c r="L200" s="280">
        <v>1048.6400000000001</v>
      </c>
      <c r="M200" s="280">
        <v>71.500709999999998</v>
      </c>
      <c r="N200" s="282">
        <v>10856.87</v>
      </c>
      <c r="O200" s="280">
        <v>10857.98</v>
      </c>
      <c r="P200" s="283">
        <v>2095.752</v>
      </c>
      <c r="Q200" s="275">
        <f t="shared" si="0"/>
        <v>2095.752</v>
      </c>
      <c r="R200" s="283" t="s">
        <v>570</v>
      </c>
      <c r="S200" s="275">
        <v>10</v>
      </c>
      <c r="T200" s="275">
        <v>5</v>
      </c>
      <c r="U200" s="275">
        <v>0.7</v>
      </c>
      <c r="V200" s="275">
        <v>0.7</v>
      </c>
      <c r="W200" s="275">
        <v>0.7</v>
      </c>
      <c r="X200" s="56">
        <v>2000</v>
      </c>
      <c r="Y200" s="56" t="s">
        <v>571</v>
      </c>
      <c r="Z200" s="56">
        <v>0.2</v>
      </c>
      <c r="AA200" s="56" t="s">
        <v>572</v>
      </c>
      <c r="AB200" s="56" t="s">
        <v>573</v>
      </c>
      <c r="AC200" s="56">
        <v>220</v>
      </c>
      <c r="AD200" s="277" t="s">
        <v>19</v>
      </c>
      <c r="AE200" s="277"/>
    </row>
    <row r="201" spans="1:31" ht="15.75" x14ac:dyDescent="0.25">
      <c r="A201" s="280" t="s">
        <v>736</v>
      </c>
      <c r="B201" s="280">
        <v>11</v>
      </c>
      <c r="C201" s="280" t="s">
        <v>532</v>
      </c>
      <c r="D201" s="280" t="s">
        <v>569</v>
      </c>
      <c r="E201" s="280">
        <v>1</v>
      </c>
      <c r="F201" s="285">
        <v>45743.78402777778</v>
      </c>
      <c r="G201" s="280">
        <v>1</v>
      </c>
      <c r="H201" s="280">
        <v>51.374099999999999</v>
      </c>
      <c r="I201" s="280">
        <v>9.4580400000000004</v>
      </c>
      <c r="J201" s="280">
        <v>3.9122240000000001</v>
      </c>
      <c r="K201" s="280">
        <v>4.9736649999999996</v>
      </c>
      <c r="L201" s="280">
        <v>1014.83</v>
      </c>
      <c r="M201" s="280">
        <v>77.500060000000005</v>
      </c>
      <c r="N201" s="282">
        <v>10859.08</v>
      </c>
      <c r="O201" s="280">
        <v>10857.98</v>
      </c>
      <c r="P201" s="283">
        <v>2095.752</v>
      </c>
      <c r="Q201" s="275">
        <f t="shared" si="0"/>
        <v>2095.752</v>
      </c>
      <c r="R201" s="283" t="s">
        <v>570</v>
      </c>
      <c r="S201" s="275">
        <v>10</v>
      </c>
      <c r="T201" s="275">
        <v>5</v>
      </c>
      <c r="U201" s="275">
        <v>0.7</v>
      </c>
      <c r="V201" s="275">
        <v>0.7</v>
      </c>
      <c r="W201" s="275">
        <v>0.7</v>
      </c>
      <c r="X201" s="56">
        <v>2000</v>
      </c>
      <c r="Y201" s="56" t="s">
        <v>571</v>
      </c>
      <c r="Z201" s="56">
        <v>0.2</v>
      </c>
      <c r="AA201" s="56" t="s">
        <v>572</v>
      </c>
      <c r="AB201" s="56" t="s">
        <v>573</v>
      </c>
      <c r="AC201" s="56">
        <v>220</v>
      </c>
      <c r="AD201" s="277" t="s">
        <v>19</v>
      </c>
      <c r="AE201" s="277"/>
    </row>
    <row r="202" spans="1:31" ht="15.75" x14ac:dyDescent="0.25">
      <c r="A202" s="56" t="s">
        <v>566</v>
      </c>
      <c r="B202" s="56" t="s">
        <v>567</v>
      </c>
      <c r="C202" s="56" t="s">
        <v>568</v>
      </c>
      <c r="D202" s="56" t="s">
        <v>569</v>
      </c>
      <c r="E202" s="56">
        <v>1</v>
      </c>
      <c r="F202" s="284">
        <v>45747.453472222223</v>
      </c>
      <c r="G202" s="56">
        <v>1</v>
      </c>
      <c r="H202" s="56">
        <v>51.374099999999999</v>
      </c>
      <c r="I202" s="56">
        <v>14.5749</v>
      </c>
      <c r="J202" s="56">
        <v>7.4980120000000001</v>
      </c>
      <c r="K202" s="56">
        <v>8.9696180000000005</v>
      </c>
      <c r="L202" s="56">
        <v>973.94299999999998</v>
      </c>
      <c r="M202" s="56">
        <v>68.000060000000005</v>
      </c>
      <c r="N202" s="274">
        <v>10503.54</v>
      </c>
      <c r="O202" s="56">
        <v>10503.54</v>
      </c>
      <c r="P202" s="275">
        <v>2028.4939999999999</v>
      </c>
      <c r="Q202" s="275">
        <f t="shared" si="0"/>
        <v>2028.4939999999999</v>
      </c>
      <c r="R202" s="275" t="s">
        <v>570</v>
      </c>
      <c r="S202" s="275">
        <v>10</v>
      </c>
      <c r="T202" s="275">
        <v>5</v>
      </c>
      <c r="U202" s="275">
        <v>0.7</v>
      </c>
      <c r="V202" s="275">
        <v>0.7</v>
      </c>
      <c r="W202" s="275">
        <v>0.7</v>
      </c>
      <c r="X202" s="56">
        <v>2000</v>
      </c>
      <c r="Y202" s="56" t="s">
        <v>571</v>
      </c>
      <c r="Z202" s="56">
        <v>0.2</v>
      </c>
      <c r="AA202" s="56" t="s">
        <v>572</v>
      </c>
      <c r="AB202" s="56" t="s">
        <v>573</v>
      </c>
      <c r="AC202" s="56">
        <v>220</v>
      </c>
      <c r="AD202" s="277" t="s">
        <v>19</v>
      </c>
      <c r="AE202" s="277"/>
    </row>
    <row r="203" spans="1:31" ht="15.75" x14ac:dyDescent="0.25">
      <c r="A203" s="56" t="s">
        <v>574</v>
      </c>
      <c r="B203" s="56" t="s">
        <v>567</v>
      </c>
      <c r="C203" s="56" t="s">
        <v>568</v>
      </c>
      <c r="D203" s="56" t="s">
        <v>569</v>
      </c>
      <c r="E203" s="56">
        <v>1</v>
      </c>
      <c r="F203" s="284">
        <v>45747.456250000003</v>
      </c>
      <c r="G203" s="56">
        <v>1</v>
      </c>
      <c r="H203" s="56">
        <v>51.374099999999999</v>
      </c>
      <c r="I203" s="56">
        <v>11.389699999999999</v>
      </c>
      <c r="J203" s="56">
        <v>7.0460240000000001</v>
      </c>
      <c r="K203" s="56">
        <v>8.4525539999999992</v>
      </c>
      <c r="L203" s="56">
        <v>964.00300000000004</v>
      </c>
      <c r="M203" s="56">
        <v>80.999889999999994</v>
      </c>
      <c r="N203" s="274">
        <v>10516.63</v>
      </c>
      <c r="O203" s="56">
        <v>10516.63</v>
      </c>
      <c r="P203" s="275">
        <v>2030.9780000000001</v>
      </c>
      <c r="Q203" s="275">
        <f t="shared" si="0"/>
        <v>2030.9780000000001</v>
      </c>
      <c r="R203" s="275" t="s">
        <v>570</v>
      </c>
      <c r="S203" s="275">
        <v>10</v>
      </c>
      <c r="T203" s="275">
        <v>5</v>
      </c>
      <c r="U203" s="275">
        <v>0.7</v>
      </c>
      <c r="V203" s="275">
        <v>0.7</v>
      </c>
      <c r="W203" s="275">
        <v>0.7</v>
      </c>
      <c r="X203" s="56">
        <v>2000</v>
      </c>
      <c r="Y203" s="56" t="s">
        <v>571</v>
      </c>
      <c r="Z203" s="56">
        <v>0.2</v>
      </c>
      <c r="AA203" s="56" t="s">
        <v>572</v>
      </c>
      <c r="AB203" s="56" t="s">
        <v>573</v>
      </c>
      <c r="AC203" s="56">
        <v>220</v>
      </c>
      <c r="AD203" s="277" t="s">
        <v>19</v>
      </c>
      <c r="AE203" s="277"/>
    </row>
    <row r="204" spans="1:31" ht="15.75" x14ac:dyDescent="0.25">
      <c r="A204" s="56" t="s">
        <v>575</v>
      </c>
      <c r="B204" s="56" t="s">
        <v>567</v>
      </c>
      <c r="C204" s="56" t="s">
        <v>568</v>
      </c>
      <c r="D204" s="56" t="s">
        <v>569</v>
      </c>
      <c r="E204" s="56">
        <v>1</v>
      </c>
      <c r="F204" s="284">
        <v>45747.459027777775</v>
      </c>
      <c r="G204" s="56">
        <v>1</v>
      </c>
      <c r="H204" s="56">
        <v>51.374099999999999</v>
      </c>
      <c r="I204" s="56">
        <v>10.775</v>
      </c>
      <c r="J204" s="56">
        <v>7.1606379999999996</v>
      </c>
      <c r="K204" s="56">
        <v>8.5413730000000001</v>
      </c>
      <c r="L204" s="56">
        <v>964.24099999999999</v>
      </c>
      <c r="M204" s="56">
        <v>69.500399999999999</v>
      </c>
      <c r="N204" s="274">
        <v>10515.43</v>
      </c>
      <c r="O204" s="56">
        <v>10515.43</v>
      </c>
      <c r="P204" s="275">
        <v>2030.75</v>
      </c>
      <c r="Q204" s="275">
        <f t="shared" si="0"/>
        <v>2030.75</v>
      </c>
      <c r="R204" s="275" t="s">
        <v>570</v>
      </c>
      <c r="S204" s="275">
        <v>10</v>
      </c>
      <c r="T204" s="275">
        <v>5</v>
      </c>
      <c r="U204" s="275">
        <v>0.7</v>
      </c>
      <c r="V204" s="275">
        <v>0.7</v>
      </c>
      <c r="W204" s="275">
        <v>0.7</v>
      </c>
      <c r="X204" s="56">
        <v>2000</v>
      </c>
      <c r="Y204" s="56" t="s">
        <v>571</v>
      </c>
      <c r="Z204" s="56">
        <v>0.2</v>
      </c>
      <c r="AA204" s="56" t="s">
        <v>572</v>
      </c>
      <c r="AB204" s="56" t="s">
        <v>573</v>
      </c>
      <c r="AC204" s="56">
        <v>220</v>
      </c>
      <c r="AD204" s="277" t="s">
        <v>19</v>
      </c>
      <c r="AE204" s="277"/>
    </row>
    <row r="205" spans="1:31" ht="15.75" x14ac:dyDescent="0.25">
      <c r="A205" s="56" t="s">
        <v>677</v>
      </c>
      <c r="B205" s="56" t="s">
        <v>583</v>
      </c>
      <c r="C205" s="56" t="s">
        <v>534</v>
      </c>
      <c r="D205" s="56" t="s">
        <v>569</v>
      </c>
      <c r="E205" s="56">
        <v>0.8</v>
      </c>
      <c r="F205" s="286">
        <v>45747.46597222222</v>
      </c>
      <c r="G205" s="56">
        <v>1</v>
      </c>
      <c r="H205" s="56">
        <v>51.377400000000002</v>
      </c>
      <c r="I205" s="56">
        <v>10.3864</v>
      </c>
      <c r="J205" s="56">
        <v>7.0820759999999998</v>
      </c>
      <c r="K205" s="56">
        <v>7.8276089999999998</v>
      </c>
      <c r="L205" s="56">
        <v>960.846</v>
      </c>
      <c r="M205" s="56">
        <v>78.500079999999997</v>
      </c>
      <c r="N205" s="274">
        <v>8641.89</v>
      </c>
      <c r="O205" s="56">
        <v>8752.8829999999998</v>
      </c>
      <c r="P205" s="275">
        <v>2091.86</v>
      </c>
      <c r="Q205" s="275">
        <f t="shared" si="0"/>
        <v>2091.86</v>
      </c>
      <c r="R205" s="56" t="s">
        <v>584</v>
      </c>
      <c r="S205" s="275">
        <v>10</v>
      </c>
      <c r="T205" s="275">
        <v>5</v>
      </c>
      <c r="U205" s="275">
        <v>0.7</v>
      </c>
      <c r="V205" s="275">
        <v>0.7</v>
      </c>
      <c r="W205" s="275">
        <v>0.7</v>
      </c>
      <c r="X205" s="56">
        <v>2000</v>
      </c>
      <c r="Y205" s="56" t="s">
        <v>571</v>
      </c>
      <c r="Z205" s="56">
        <v>0.2</v>
      </c>
      <c r="AA205" s="56" t="s">
        <v>572</v>
      </c>
      <c r="AB205" s="56" t="s">
        <v>573</v>
      </c>
      <c r="AC205" s="56">
        <v>220</v>
      </c>
      <c r="AD205" s="277" t="s">
        <v>19</v>
      </c>
      <c r="AE205" s="277"/>
    </row>
    <row r="206" spans="1:31" ht="15.75" x14ac:dyDescent="0.25">
      <c r="A206" s="56" t="s">
        <v>678</v>
      </c>
      <c r="B206" s="56" t="s">
        <v>583</v>
      </c>
      <c r="C206" s="56" t="s">
        <v>534</v>
      </c>
      <c r="D206" s="56" t="s">
        <v>569</v>
      </c>
      <c r="E206" s="56">
        <v>0.8</v>
      </c>
      <c r="F206" s="284">
        <v>45747.46875</v>
      </c>
      <c r="G206" s="56">
        <v>1</v>
      </c>
      <c r="H206" s="56">
        <v>51.374099999999999</v>
      </c>
      <c r="I206" s="56">
        <v>10.216100000000001</v>
      </c>
      <c r="J206" s="56">
        <v>6.9842690000000003</v>
      </c>
      <c r="K206" s="56">
        <v>7.9143330000000001</v>
      </c>
      <c r="L206" s="56">
        <v>976.18899999999996</v>
      </c>
      <c r="M206" s="56">
        <v>76.498990000000006</v>
      </c>
      <c r="N206" s="274">
        <v>8754.0470000000005</v>
      </c>
      <c r="O206" s="56">
        <v>8752.8829999999998</v>
      </c>
      <c r="P206" s="275">
        <v>2091.86</v>
      </c>
      <c r="Q206" s="275">
        <f t="shared" si="0"/>
        <v>2091.86</v>
      </c>
      <c r="R206" s="275" t="s">
        <v>570</v>
      </c>
      <c r="S206" s="275">
        <v>10</v>
      </c>
      <c r="T206" s="275">
        <v>5</v>
      </c>
      <c r="U206" s="275">
        <v>0.7</v>
      </c>
      <c r="V206" s="275">
        <v>0.7</v>
      </c>
      <c r="W206" s="275">
        <v>0.7</v>
      </c>
      <c r="X206" s="56">
        <v>2000</v>
      </c>
      <c r="Y206" s="56" t="s">
        <v>571</v>
      </c>
      <c r="Z206" s="56">
        <v>0.2</v>
      </c>
      <c r="AA206" s="56" t="s">
        <v>572</v>
      </c>
      <c r="AB206" s="56" t="s">
        <v>573</v>
      </c>
      <c r="AC206" s="56">
        <v>220</v>
      </c>
      <c r="AD206" s="277" t="s">
        <v>19</v>
      </c>
      <c r="AE206" s="277"/>
    </row>
    <row r="207" spans="1:31" ht="15.75" x14ac:dyDescent="0.25">
      <c r="A207" s="56" t="s">
        <v>679</v>
      </c>
      <c r="B207" s="56" t="s">
        <v>583</v>
      </c>
      <c r="C207" s="56" t="s">
        <v>534</v>
      </c>
      <c r="D207" s="56" t="s">
        <v>569</v>
      </c>
      <c r="E207" s="56">
        <v>0.8</v>
      </c>
      <c r="F207" s="284">
        <v>45747.47152777778</v>
      </c>
      <c r="G207" s="56">
        <v>1</v>
      </c>
      <c r="H207" s="56">
        <v>51.377400000000002</v>
      </c>
      <c r="I207" s="56">
        <v>10.1882</v>
      </c>
      <c r="J207" s="56">
        <v>7.1329650000000004</v>
      </c>
      <c r="K207" s="56">
        <v>8.4171680000000002</v>
      </c>
      <c r="L207" s="56">
        <v>965.96400000000006</v>
      </c>
      <c r="M207" s="56">
        <v>72.000559999999993</v>
      </c>
      <c r="N207" s="274">
        <v>8751.7189999999991</v>
      </c>
      <c r="O207" s="56">
        <v>8752.8829999999998</v>
      </c>
      <c r="P207" s="275">
        <v>2091.86</v>
      </c>
      <c r="Q207" s="275">
        <f t="shared" si="0"/>
        <v>2091.86</v>
      </c>
      <c r="R207" s="275" t="s">
        <v>570</v>
      </c>
      <c r="S207" s="275">
        <v>10</v>
      </c>
      <c r="T207" s="275">
        <v>5</v>
      </c>
      <c r="U207" s="275">
        <v>0.7</v>
      </c>
      <c r="V207" s="275">
        <v>0.7</v>
      </c>
      <c r="W207" s="275">
        <v>0.7</v>
      </c>
      <c r="X207" s="56">
        <v>2000</v>
      </c>
      <c r="Y207" s="56" t="s">
        <v>571</v>
      </c>
      <c r="Z207" s="56">
        <v>0.2</v>
      </c>
      <c r="AA207" s="56" t="s">
        <v>572</v>
      </c>
      <c r="AB207" s="56" t="s">
        <v>573</v>
      </c>
      <c r="AC207" s="56">
        <v>220</v>
      </c>
      <c r="AD207" s="277" t="s">
        <v>19</v>
      </c>
      <c r="AE207" s="277"/>
    </row>
    <row r="208" spans="1:31" ht="15.75" x14ac:dyDescent="0.25">
      <c r="A208" s="56" t="s">
        <v>680</v>
      </c>
      <c r="B208" s="56" t="s">
        <v>589</v>
      </c>
      <c r="C208" s="56" t="s">
        <v>534</v>
      </c>
      <c r="D208" s="56" t="s">
        <v>569</v>
      </c>
      <c r="E208" s="56">
        <v>1</v>
      </c>
      <c r="F208" s="284">
        <v>45747.474305555559</v>
      </c>
      <c r="G208" s="56">
        <v>1</v>
      </c>
      <c r="H208" s="56">
        <v>51.374099999999999</v>
      </c>
      <c r="I208" s="56">
        <v>10.2437</v>
      </c>
      <c r="J208" s="56">
        <v>7.1402609999999997</v>
      </c>
      <c r="K208" s="56">
        <v>8.7392710000000005</v>
      </c>
      <c r="L208" s="56">
        <v>1046.8800000000001</v>
      </c>
      <c r="M208" s="56">
        <v>70.999780000000001</v>
      </c>
      <c r="N208" s="274">
        <v>10957.45</v>
      </c>
      <c r="O208" s="56">
        <v>10996.06</v>
      </c>
      <c r="P208" s="275">
        <v>2091.86</v>
      </c>
      <c r="Q208" s="275">
        <f t="shared" si="0"/>
        <v>2091.86</v>
      </c>
      <c r="R208" s="275" t="s">
        <v>584</v>
      </c>
      <c r="S208" s="275">
        <v>10</v>
      </c>
      <c r="T208" s="275">
        <v>5</v>
      </c>
      <c r="U208" s="275">
        <v>0.7</v>
      </c>
      <c r="V208" s="275">
        <v>0.7</v>
      </c>
      <c r="W208" s="275">
        <v>0.7</v>
      </c>
      <c r="X208" s="56">
        <v>2000</v>
      </c>
      <c r="Y208" s="56" t="s">
        <v>571</v>
      </c>
      <c r="Z208" s="56">
        <v>0.2</v>
      </c>
      <c r="AA208" s="56" t="s">
        <v>572</v>
      </c>
      <c r="AB208" s="56" t="s">
        <v>573</v>
      </c>
      <c r="AC208" s="56">
        <v>220</v>
      </c>
      <c r="AD208" s="277" t="s">
        <v>19</v>
      </c>
      <c r="AE208" s="277"/>
    </row>
    <row r="209" spans="1:31" ht="15.75" x14ac:dyDescent="0.25">
      <c r="A209" s="56" t="s">
        <v>681</v>
      </c>
      <c r="B209" s="56" t="s">
        <v>589</v>
      </c>
      <c r="C209" s="56" t="s">
        <v>534</v>
      </c>
      <c r="D209" s="56" t="s">
        <v>569</v>
      </c>
      <c r="E209" s="56">
        <v>1</v>
      </c>
      <c r="F209" s="284">
        <v>45747.477083333331</v>
      </c>
      <c r="G209" s="56">
        <v>1</v>
      </c>
      <c r="H209" s="56">
        <v>51.374099999999999</v>
      </c>
      <c r="I209" s="56">
        <v>10.188000000000001</v>
      </c>
      <c r="J209" s="56">
        <v>7.2117889999999996</v>
      </c>
      <c r="K209" s="56">
        <v>8.0732149999999994</v>
      </c>
      <c r="L209" s="56">
        <v>1051.46</v>
      </c>
      <c r="M209" s="56">
        <v>85.999539999999996</v>
      </c>
      <c r="N209" s="274">
        <v>10997.88</v>
      </c>
      <c r="O209" s="56">
        <v>10996.06</v>
      </c>
      <c r="P209" s="275">
        <v>2091.86</v>
      </c>
      <c r="Q209" s="275">
        <f t="shared" si="0"/>
        <v>2091.86</v>
      </c>
      <c r="R209" s="275" t="s">
        <v>570</v>
      </c>
      <c r="S209" s="275">
        <v>10</v>
      </c>
      <c r="T209" s="275">
        <v>5</v>
      </c>
      <c r="U209" s="275">
        <v>0.7</v>
      </c>
      <c r="V209" s="275">
        <v>0.7</v>
      </c>
      <c r="W209" s="275">
        <v>0.7</v>
      </c>
      <c r="X209" s="56">
        <v>2000</v>
      </c>
      <c r="Y209" s="56" t="s">
        <v>571</v>
      </c>
      <c r="Z209" s="56">
        <v>0.2</v>
      </c>
      <c r="AA209" s="56" t="s">
        <v>572</v>
      </c>
      <c r="AB209" s="56" t="s">
        <v>573</v>
      </c>
      <c r="AC209" s="56">
        <v>220</v>
      </c>
      <c r="AD209" s="277" t="s">
        <v>19</v>
      </c>
      <c r="AE209" s="277"/>
    </row>
    <row r="210" spans="1:31" ht="15.75" x14ac:dyDescent="0.25">
      <c r="A210" s="56" t="s">
        <v>682</v>
      </c>
      <c r="B210" s="56" t="s">
        <v>589</v>
      </c>
      <c r="C210" s="56" t="s">
        <v>534</v>
      </c>
      <c r="D210" s="56" t="s">
        <v>569</v>
      </c>
      <c r="E210" s="56">
        <v>1</v>
      </c>
      <c r="F210" s="278">
        <v>45747.479861111111</v>
      </c>
      <c r="G210" s="56">
        <v>1</v>
      </c>
      <c r="H210" s="56">
        <v>51.377400000000002</v>
      </c>
      <c r="I210" s="56">
        <v>9.9214800000000007</v>
      </c>
      <c r="J210" s="56">
        <v>7.2235459999999998</v>
      </c>
      <c r="K210" s="56">
        <v>8.3899640000000009</v>
      </c>
      <c r="L210" s="56">
        <v>1046.94</v>
      </c>
      <c r="M210" s="56">
        <v>83.499510000000001</v>
      </c>
      <c r="N210" s="274">
        <v>10994.24</v>
      </c>
      <c r="O210" s="56">
        <v>10996.06</v>
      </c>
      <c r="P210" s="275">
        <v>2091.86</v>
      </c>
      <c r="Q210" s="275">
        <f t="shared" si="0"/>
        <v>2091.86</v>
      </c>
      <c r="R210" s="275" t="s">
        <v>570</v>
      </c>
      <c r="S210" s="275">
        <v>10</v>
      </c>
      <c r="T210" s="275">
        <v>5</v>
      </c>
      <c r="U210" s="275">
        <v>0.7</v>
      </c>
      <c r="V210" s="275">
        <v>0.7</v>
      </c>
      <c r="W210" s="275">
        <v>0.7</v>
      </c>
      <c r="X210" s="56">
        <v>2000</v>
      </c>
      <c r="Y210" s="56" t="s">
        <v>571</v>
      </c>
      <c r="Z210" s="56">
        <v>0.2</v>
      </c>
      <c r="AA210" s="56" t="s">
        <v>572</v>
      </c>
      <c r="AB210" s="56" t="s">
        <v>573</v>
      </c>
      <c r="AC210" s="56">
        <v>220</v>
      </c>
      <c r="AD210" s="277" t="s">
        <v>19</v>
      </c>
      <c r="AE210" s="277"/>
    </row>
    <row r="211" spans="1:31" ht="15.75" x14ac:dyDescent="0.25">
      <c r="A211" s="56" t="s">
        <v>687</v>
      </c>
      <c r="B211" s="56" t="s">
        <v>594</v>
      </c>
      <c r="C211" s="56" t="s">
        <v>534</v>
      </c>
      <c r="D211" s="56" t="s">
        <v>569</v>
      </c>
      <c r="E211" s="56">
        <v>1.2</v>
      </c>
      <c r="F211" s="278">
        <v>45747.48333333333</v>
      </c>
      <c r="G211" s="56">
        <v>1</v>
      </c>
      <c r="H211" s="56">
        <v>51.374099999999999</v>
      </c>
      <c r="I211" s="56">
        <v>9.9487799999999993</v>
      </c>
      <c r="J211" s="56">
        <v>7.203989</v>
      </c>
      <c r="K211" s="56">
        <v>9.0683310000000006</v>
      </c>
      <c r="L211" s="56">
        <v>1084.06</v>
      </c>
      <c r="M211" s="56">
        <v>74.500380000000007</v>
      </c>
      <c r="N211" s="274">
        <v>13193.87</v>
      </c>
      <c r="O211" s="56">
        <v>13242.68</v>
      </c>
      <c r="P211" s="275">
        <v>2091.86</v>
      </c>
      <c r="Q211" s="275">
        <f t="shared" si="0"/>
        <v>2091.86</v>
      </c>
      <c r="R211" s="275" t="s">
        <v>584</v>
      </c>
      <c r="S211" s="275">
        <v>10</v>
      </c>
      <c r="T211" s="275">
        <v>5</v>
      </c>
      <c r="U211" s="275">
        <v>0.7</v>
      </c>
      <c r="V211" s="275">
        <v>0.7</v>
      </c>
      <c r="W211" s="275">
        <v>0.7</v>
      </c>
      <c r="X211" s="56">
        <v>2000</v>
      </c>
      <c r="Y211" s="56" t="s">
        <v>571</v>
      </c>
      <c r="Z211" s="56">
        <v>0.2</v>
      </c>
      <c r="AA211" s="56" t="s">
        <v>572</v>
      </c>
      <c r="AB211" s="56" t="s">
        <v>573</v>
      </c>
      <c r="AC211" s="56">
        <v>220</v>
      </c>
      <c r="AD211" s="277" t="s">
        <v>19</v>
      </c>
      <c r="AE211" s="277"/>
    </row>
    <row r="212" spans="1:31" ht="15.75" x14ac:dyDescent="0.25">
      <c r="A212" s="56" t="s">
        <v>688</v>
      </c>
      <c r="B212" s="56" t="s">
        <v>594</v>
      </c>
      <c r="C212" s="56" t="s">
        <v>534</v>
      </c>
      <c r="D212" s="56" t="s">
        <v>569</v>
      </c>
      <c r="E212" s="56">
        <v>1.2</v>
      </c>
      <c r="F212" s="278">
        <v>45747.486111111109</v>
      </c>
      <c r="G212" s="56">
        <v>1</v>
      </c>
      <c r="H212" s="56">
        <v>51.370800000000003</v>
      </c>
      <c r="I212" s="56">
        <v>9.7242599999999992</v>
      </c>
      <c r="J212" s="56">
        <v>7.2655630000000002</v>
      </c>
      <c r="K212" s="56">
        <v>8.116695</v>
      </c>
      <c r="L212" s="56">
        <v>1088.28</v>
      </c>
      <c r="M212" s="56">
        <v>88.999679999999998</v>
      </c>
      <c r="N212" s="274">
        <v>13244.88</v>
      </c>
      <c r="O212" s="56">
        <v>13242.68</v>
      </c>
      <c r="P212" s="275">
        <v>2091.86</v>
      </c>
      <c r="Q212" s="275">
        <f t="shared" si="0"/>
        <v>2091.86</v>
      </c>
      <c r="R212" s="275" t="s">
        <v>570</v>
      </c>
      <c r="S212" s="275">
        <v>10</v>
      </c>
      <c r="T212" s="275">
        <v>5</v>
      </c>
      <c r="U212" s="275">
        <v>0.7</v>
      </c>
      <c r="V212" s="275">
        <v>0.7</v>
      </c>
      <c r="W212" s="275">
        <v>0.7</v>
      </c>
      <c r="X212" s="56">
        <v>2000</v>
      </c>
      <c r="Y212" s="56" t="s">
        <v>571</v>
      </c>
      <c r="Z212" s="56">
        <v>0.2</v>
      </c>
      <c r="AA212" s="56" t="s">
        <v>572</v>
      </c>
      <c r="AB212" s="56" t="s">
        <v>573</v>
      </c>
      <c r="AC212" s="56">
        <v>220</v>
      </c>
      <c r="AD212" s="277" t="s">
        <v>19</v>
      </c>
      <c r="AE212" s="277"/>
    </row>
    <row r="213" spans="1:31" ht="15.75" x14ac:dyDescent="0.25">
      <c r="A213" s="18" t="s">
        <v>737</v>
      </c>
      <c r="B213" s="18" t="s">
        <v>594</v>
      </c>
      <c r="C213" s="18" t="s">
        <v>534</v>
      </c>
      <c r="D213" s="18" t="s">
        <v>569</v>
      </c>
      <c r="E213" s="18">
        <v>1.2</v>
      </c>
      <c r="F213" s="287">
        <v>45747.488888888889</v>
      </c>
      <c r="G213" s="18">
        <v>1</v>
      </c>
      <c r="H213" s="18">
        <v>51.374099999999999</v>
      </c>
      <c r="I213" s="18">
        <v>9.82789</v>
      </c>
      <c r="J213" s="18">
        <v>7.0898440000000003</v>
      </c>
      <c r="K213" s="18">
        <v>8.5534820000000007</v>
      </c>
      <c r="L213" s="18">
        <v>1088.3399999999999</v>
      </c>
      <c r="M213" s="18">
        <v>85.998459999999994</v>
      </c>
      <c r="N213" s="257">
        <v>13240.47</v>
      </c>
      <c r="O213" s="18">
        <v>13242.68</v>
      </c>
      <c r="P213" s="288">
        <v>2091.86</v>
      </c>
      <c r="Q213" s="275">
        <f t="shared" si="0"/>
        <v>2091.86</v>
      </c>
      <c r="R213" s="288" t="s">
        <v>570</v>
      </c>
      <c r="S213" s="275">
        <v>10</v>
      </c>
      <c r="T213" s="275">
        <v>5</v>
      </c>
      <c r="U213" s="275">
        <v>0.7</v>
      </c>
      <c r="V213" s="275">
        <v>0.7</v>
      </c>
      <c r="W213" s="275">
        <v>0.7</v>
      </c>
      <c r="X213" s="56">
        <v>2000</v>
      </c>
      <c r="Y213" s="56" t="s">
        <v>571</v>
      </c>
      <c r="Z213" s="56">
        <v>0.2</v>
      </c>
      <c r="AA213" s="56" t="s">
        <v>572</v>
      </c>
      <c r="AB213" s="56" t="s">
        <v>573</v>
      </c>
      <c r="AC213" s="56">
        <v>220</v>
      </c>
      <c r="AD213" s="277" t="s">
        <v>19</v>
      </c>
      <c r="AE213" s="277"/>
    </row>
    <row r="214" spans="1:31" ht="15.75" x14ac:dyDescent="0.25">
      <c r="A214" s="18" t="s">
        <v>577</v>
      </c>
      <c r="B214" s="18">
        <v>2</v>
      </c>
      <c r="C214" s="18" t="s">
        <v>534</v>
      </c>
      <c r="D214" s="18" t="s">
        <v>569</v>
      </c>
      <c r="E214" s="18">
        <v>1</v>
      </c>
      <c r="F214" s="287">
        <v>45747.492361111108</v>
      </c>
      <c r="G214" s="18">
        <v>1</v>
      </c>
      <c r="H214" s="18">
        <v>51.370800000000003</v>
      </c>
      <c r="I214" s="18">
        <v>9.9888999999999992</v>
      </c>
      <c r="J214" s="18">
        <v>7.3193570000000001</v>
      </c>
      <c r="K214" s="18">
        <v>8.6077370000000002</v>
      </c>
      <c r="L214" s="18">
        <v>1054.46</v>
      </c>
      <c r="M214" s="18">
        <v>79.499809999999997</v>
      </c>
      <c r="N214" s="257">
        <v>10974.79</v>
      </c>
      <c r="O214" s="18">
        <v>10990.1</v>
      </c>
      <c r="P214" s="288">
        <v>2090.5349999999999</v>
      </c>
      <c r="Q214" s="275">
        <f t="shared" si="0"/>
        <v>2090.5349999999999</v>
      </c>
      <c r="R214" s="288" t="s">
        <v>584</v>
      </c>
      <c r="S214" s="275">
        <v>10</v>
      </c>
      <c r="T214" s="275">
        <v>5</v>
      </c>
      <c r="U214" s="275">
        <v>0.7</v>
      </c>
      <c r="V214" s="275">
        <v>0.7</v>
      </c>
      <c r="W214" s="275">
        <v>0.7</v>
      </c>
      <c r="X214" s="56">
        <v>2000</v>
      </c>
      <c r="Y214" s="56" t="s">
        <v>571</v>
      </c>
      <c r="Z214" s="56">
        <v>0.2</v>
      </c>
      <c r="AA214" s="56" t="s">
        <v>572</v>
      </c>
      <c r="AB214" s="56" t="s">
        <v>573</v>
      </c>
      <c r="AC214" s="56">
        <v>220</v>
      </c>
      <c r="AD214" s="277" t="s">
        <v>19</v>
      </c>
      <c r="AE214" s="277"/>
    </row>
    <row r="215" spans="1:31" ht="15.75" x14ac:dyDescent="0.25">
      <c r="A215" s="280" t="s">
        <v>689</v>
      </c>
      <c r="B215" s="280">
        <v>2</v>
      </c>
      <c r="C215" s="280" t="s">
        <v>534</v>
      </c>
      <c r="D215" s="280" t="s">
        <v>569</v>
      </c>
      <c r="E215" s="280">
        <v>1</v>
      </c>
      <c r="F215" s="281">
        <v>45747.495138888888</v>
      </c>
      <c r="G215" s="280">
        <v>1</v>
      </c>
      <c r="H215" s="280">
        <v>51.377400000000002</v>
      </c>
      <c r="I215" s="280">
        <v>9.9081299999999999</v>
      </c>
      <c r="J215" s="280">
        <v>7.295782</v>
      </c>
      <c r="K215" s="280">
        <v>8.3019540000000003</v>
      </c>
      <c r="L215" s="280">
        <v>1064.33</v>
      </c>
      <c r="M215" s="280">
        <v>88.998949999999994</v>
      </c>
      <c r="N215" s="282">
        <v>11000.96</v>
      </c>
      <c r="O215" s="280">
        <v>10990.1</v>
      </c>
      <c r="P215" s="283">
        <v>2090.5349999999999</v>
      </c>
      <c r="Q215" s="275">
        <f t="shared" si="0"/>
        <v>2090.5349999999999</v>
      </c>
      <c r="R215" s="283" t="s">
        <v>570</v>
      </c>
      <c r="S215" s="275">
        <v>10</v>
      </c>
      <c r="T215" s="275">
        <v>5</v>
      </c>
      <c r="U215" s="275">
        <v>0.7</v>
      </c>
      <c r="V215" s="275">
        <v>0.7</v>
      </c>
      <c r="W215" s="275">
        <v>0.7</v>
      </c>
      <c r="X215" s="56">
        <v>2000</v>
      </c>
      <c r="Y215" s="56" t="s">
        <v>571</v>
      </c>
      <c r="Z215" s="56">
        <v>0.2</v>
      </c>
      <c r="AA215" s="56" t="s">
        <v>572</v>
      </c>
      <c r="AB215" s="56" t="s">
        <v>573</v>
      </c>
      <c r="AC215" s="56">
        <v>220</v>
      </c>
      <c r="AD215" s="277" t="s">
        <v>19</v>
      </c>
      <c r="AE215" s="277"/>
    </row>
    <row r="216" spans="1:31" ht="15.75" x14ac:dyDescent="0.25">
      <c r="A216" s="280" t="s">
        <v>738</v>
      </c>
      <c r="B216" s="280">
        <v>2</v>
      </c>
      <c r="C216" s="280" t="s">
        <v>534</v>
      </c>
      <c r="D216" s="280" t="s">
        <v>569</v>
      </c>
      <c r="E216" s="280">
        <v>1</v>
      </c>
      <c r="F216" s="281">
        <v>45747.497916666667</v>
      </c>
      <c r="G216" s="280">
        <v>1</v>
      </c>
      <c r="H216" s="280">
        <v>51.374099999999999</v>
      </c>
      <c r="I216" s="280">
        <v>9.9653200000000002</v>
      </c>
      <c r="J216" s="280">
        <v>7.1767320000000003</v>
      </c>
      <c r="K216" s="280">
        <v>8.7813140000000001</v>
      </c>
      <c r="L216" s="280">
        <v>1064.3900000000001</v>
      </c>
      <c r="M216" s="280">
        <v>70.501230000000007</v>
      </c>
      <c r="N216" s="282">
        <v>10979.24</v>
      </c>
      <c r="O216" s="280">
        <v>10990.1</v>
      </c>
      <c r="P216" s="283">
        <v>2090.5349999999999</v>
      </c>
      <c r="Q216" s="283">
        <f t="shared" si="0"/>
        <v>2090.5349999999999</v>
      </c>
      <c r="R216" s="283" t="s">
        <v>570</v>
      </c>
      <c r="S216" s="275">
        <v>10</v>
      </c>
      <c r="T216" s="275">
        <v>5</v>
      </c>
      <c r="U216" s="275">
        <v>0.7</v>
      </c>
      <c r="V216" s="275">
        <v>0.7</v>
      </c>
      <c r="W216" s="275">
        <v>0.7</v>
      </c>
      <c r="X216" s="56">
        <v>2000</v>
      </c>
      <c r="Y216" s="56" t="s">
        <v>571</v>
      </c>
      <c r="Z216" s="56">
        <v>0.2</v>
      </c>
      <c r="AA216" s="56" t="s">
        <v>572</v>
      </c>
      <c r="AB216" s="56" t="s">
        <v>573</v>
      </c>
      <c r="AC216" s="56">
        <v>220</v>
      </c>
      <c r="AD216" s="277" t="s">
        <v>19</v>
      </c>
      <c r="AE216" s="277"/>
    </row>
    <row r="217" spans="1:31" ht="15.75" x14ac:dyDescent="0.25">
      <c r="A217" s="56" t="s">
        <v>578</v>
      </c>
      <c r="B217" s="56">
        <v>3</v>
      </c>
      <c r="C217" s="56">
        <v>495</v>
      </c>
      <c r="D217" s="56" t="s">
        <v>600</v>
      </c>
      <c r="E217" s="56">
        <v>1</v>
      </c>
      <c r="F217" s="278">
        <v>45747.501388888886</v>
      </c>
      <c r="G217" s="56">
        <v>1</v>
      </c>
      <c r="H217" s="56">
        <v>51.377400000000002</v>
      </c>
      <c r="I217" s="56">
        <v>10.127800000000001</v>
      </c>
      <c r="J217" s="56">
        <v>7.2128569999999996</v>
      </c>
      <c r="K217" s="56">
        <v>7.4465669999999999</v>
      </c>
      <c r="L217" s="56">
        <v>29.880199999999999</v>
      </c>
      <c r="M217" s="56">
        <v>48.999760000000002</v>
      </c>
      <c r="N217" s="274">
        <v>264.4246</v>
      </c>
      <c r="O217" s="56">
        <v>0</v>
      </c>
      <c r="P217" s="275">
        <v>0</v>
      </c>
      <c r="Q217" s="275">
        <f t="shared" ref="Q217:Q243" si="1">((B217/B$244)*(Q$244-P$244))+P217</f>
        <v>-4.0568181818181817</v>
      </c>
      <c r="R217" s="275" t="s">
        <v>609</v>
      </c>
      <c r="S217" s="275">
        <v>10</v>
      </c>
      <c r="T217" s="275">
        <v>5</v>
      </c>
      <c r="U217" s="275">
        <v>0.7</v>
      </c>
      <c r="V217" s="275">
        <v>0.7</v>
      </c>
      <c r="W217" s="275">
        <v>0.7</v>
      </c>
      <c r="X217" s="56">
        <v>2000</v>
      </c>
      <c r="Y217" s="56" t="s">
        <v>571</v>
      </c>
      <c r="Z217" s="56">
        <v>0.2</v>
      </c>
      <c r="AA217" s="56" t="s">
        <v>572</v>
      </c>
      <c r="AB217" s="56" t="s">
        <v>573</v>
      </c>
      <c r="AC217" s="56">
        <v>220</v>
      </c>
      <c r="AD217" s="277" t="s">
        <v>610</v>
      </c>
      <c r="AE217" s="277"/>
    </row>
    <row r="218" spans="1:31" ht="15.75" x14ac:dyDescent="0.25">
      <c r="A218" s="56" t="s">
        <v>690</v>
      </c>
      <c r="B218" s="56">
        <v>3</v>
      </c>
      <c r="C218" s="56">
        <v>495</v>
      </c>
      <c r="D218" s="56" t="s">
        <v>600</v>
      </c>
      <c r="E218" s="56">
        <v>1</v>
      </c>
      <c r="F218" s="278">
        <v>45747.504166666666</v>
      </c>
      <c r="G218" s="56">
        <v>1</v>
      </c>
      <c r="H218" s="56">
        <v>51.374099999999999</v>
      </c>
      <c r="I218" s="56">
        <v>10.0749</v>
      </c>
      <c r="J218" s="56">
        <v>7.1299469999999996</v>
      </c>
      <c r="K218" s="56">
        <v>7.2414990000000001</v>
      </c>
      <c r="L218" s="56">
        <v>25.372299999999999</v>
      </c>
      <c r="M218" s="56">
        <v>57</v>
      </c>
      <c r="N218" s="274">
        <v>235.77459999999999</v>
      </c>
      <c r="O218" s="56">
        <v>0</v>
      </c>
      <c r="P218" s="275">
        <v>0</v>
      </c>
      <c r="Q218" s="275">
        <f t="shared" si="1"/>
        <v>-4.0568181818181817</v>
      </c>
      <c r="R218" s="275" t="s">
        <v>609</v>
      </c>
      <c r="S218" s="275">
        <v>10</v>
      </c>
      <c r="T218" s="275">
        <v>5</v>
      </c>
      <c r="U218" s="275">
        <v>0.7</v>
      </c>
      <c r="V218" s="275">
        <v>0.7</v>
      </c>
      <c r="W218" s="275">
        <v>0.7</v>
      </c>
      <c r="X218" s="56">
        <v>2000</v>
      </c>
      <c r="Y218" s="56" t="s">
        <v>571</v>
      </c>
      <c r="Z218" s="56">
        <v>0.2</v>
      </c>
      <c r="AA218" s="56" t="s">
        <v>572</v>
      </c>
      <c r="AB218" s="56" t="s">
        <v>573</v>
      </c>
      <c r="AC218" s="56">
        <v>220</v>
      </c>
      <c r="AD218" s="277" t="s">
        <v>610</v>
      </c>
      <c r="AE218" s="277"/>
    </row>
    <row r="219" spans="1:31" ht="15.75" x14ac:dyDescent="0.25">
      <c r="A219" s="56" t="s">
        <v>739</v>
      </c>
      <c r="B219" s="56">
        <v>3</v>
      </c>
      <c r="C219" s="56">
        <v>495</v>
      </c>
      <c r="D219" s="56" t="s">
        <v>600</v>
      </c>
      <c r="E219" s="56">
        <v>1</v>
      </c>
      <c r="F219" s="278">
        <v>45747.506944444445</v>
      </c>
      <c r="G219" s="56">
        <v>1</v>
      </c>
      <c r="H219" s="56">
        <v>51.377400000000002</v>
      </c>
      <c r="I219" s="56">
        <v>9.9168800000000008</v>
      </c>
      <c r="J219" s="56">
        <v>7.2769789999999999</v>
      </c>
      <c r="K219" s="56">
        <v>8.0534820000000007</v>
      </c>
      <c r="L219" s="56">
        <v>793.64499999999998</v>
      </c>
      <c r="M219" s="56">
        <v>77.000569999999996</v>
      </c>
      <c r="N219" s="274">
        <v>7568.1679999999997</v>
      </c>
      <c r="O219" s="56">
        <v>0</v>
      </c>
      <c r="P219" s="275">
        <v>0</v>
      </c>
      <c r="Q219" s="275">
        <f t="shared" si="1"/>
        <v>-4.0568181818181817</v>
      </c>
      <c r="R219" s="275" t="s">
        <v>609</v>
      </c>
      <c r="S219" s="275">
        <v>10</v>
      </c>
      <c r="T219" s="275">
        <v>5</v>
      </c>
      <c r="U219" s="275">
        <v>0.7</v>
      </c>
      <c r="V219" s="275">
        <v>0.7</v>
      </c>
      <c r="W219" s="275">
        <v>0.7</v>
      </c>
      <c r="X219" s="56">
        <v>2000</v>
      </c>
      <c r="Y219" s="56" t="s">
        <v>571</v>
      </c>
      <c r="Z219" s="56">
        <v>0.2</v>
      </c>
      <c r="AA219" s="56" t="s">
        <v>572</v>
      </c>
      <c r="AB219" s="56" t="s">
        <v>573</v>
      </c>
      <c r="AC219" s="56">
        <v>220</v>
      </c>
      <c r="AD219" s="277" t="s">
        <v>610</v>
      </c>
      <c r="AE219" s="277"/>
    </row>
    <row r="220" spans="1:31" ht="15.75" x14ac:dyDescent="0.25">
      <c r="A220" s="56" t="s">
        <v>740</v>
      </c>
      <c r="B220" s="56">
        <v>3</v>
      </c>
      <c r="C220" s="56">
        <v>495</v>
      </c>
      <c r="D220" s="56" t="s">
        <v>600</v>
      </c>
      <c r="E220" s="56">
        <v>1</v>
      </c>
      <c r="F220" s="278">
        <v>45747.509722222225</v>
      </c>
      <c r="G220" s="56">
        <v>1</v>
      </c>
      <c r="H220" s="56">
        <v>51.374099999999999</v>
      </c>
      <c r="I220" s="56">
        <v>9.8762100000000004</v>
      </c>
      <c r="J220" s="56">
        <v>7.4601119999999996</v>
      </c>
      <c r="K220" s="56">
        <v>8.693479</v>
      </c>
      <c r="L220" s="56">
        <v>1048.8800000000001</v>
      </c>
      <c r="M220" s="56">
        <v>86.000309999999999</v>
      </c>
      <c r="N220" s="274">
        <v>10899.47</v>
      </c>
      <c r="O220" s="56">
        <v>0</v>
      </c>
      <c r="P220" s="275">
        <v>0</v>
      </c>
      <c r="Q220" s="275">
        <f t="shared" si="1"/>
        <v>-4.0568181818181817</v>
      </c>
      <c r="R220" s="275" t="s">
        <v>609</v>
      </c>
      <c r="S220" s="275">
        <v>10</v>
      </c>
      <c r="T220" s="275">
        <v>5</v>
      </c>
      <c r="U220" s="275">
        <v>0.7</v>
      </c>
      <c r="V220" s="275">
        <v>0.7</v>
      </c>
      <c r="W220" s="275">
        <v>0.7</v>
      </c>
      <c r="X220" s="56">
        <v>2000</v>
      </c>
      <c r="Y220" s="56" t="s">
        <v>571</v>
      </c>
      <c r="Z220" s="56">
        <v>0.2</v>
      </c>
      <c r="AA220" s="56" t="s">
        <v>572</v>
      </c>
      <c r="AB220" s="56" t="s">
        <v>573</v>
      </c>
      <c r="AC220" s="56">
        <v>220</v>
      </c>
      <c r="AD220" s="277" t="s">
        <v>610</v>
      </c>
      <c r="AE220" s="277"/>
    </row>
    <row r="221" spans="1:31" ht="15.75" x14ac:dyDescent="0.25">
      <c r="A221" s="56" t="s">
        <v>741</v>
      </c>
      <c r="B221" s="56">
        <v>3</v>
      </c>
      <c r="C221" s="56">
        <v>495</v>
      </c>
      <c r="D221" s="56" t="s">
        <v>600</v>
      </c>
      <c r="E221" s="56">
        <v>1</v>
      </c>
      <c r="F221" s="278">
        <v>45747.512499999997</v>
      </c>
      <c r="G221" s="56">
        <v>1</v>
      </c>
      <c r="H221" s="56">
        <v>51.377400000000002</v>
      </c>
      <c r="I221" s="56">
        <v>9.9940899999999999</v>
      </c>
      <c r="J221" s="56">
        <v>7.303242</v>
      </c>
      <c r="K221" s="56">
        <v>9.0180620000000005</v>
      </c>
      <c r="L221" s="56">
        <v>1041.6199999999999</v>
      </c>
      <c r="M221" s="56">
        <v>72.500389999999996</v>
      </c>
      <c r="N221" s="274">
        <v>10872.78</v>
      </c>
      <c r="O221" s="56">
        <v>0</v>
      </c>
      <c r="P221" s="275">
        <v>0</v>
      </c>
      <c r="Q221" s="275">
        <f t="shared" si="1"/>
        <v>-4.0568181818181817</v>
      </c>
      <c r="R221" s="275" t="s">
        <v>609</v>
      </c>
      <c r="S221" s="275">
        <v>10</v>
      </c>
      <c r="T221" s="275">
        <v>5</v>
      </c>
      <c r="U221" s="275">
        <v>0.7</v>
      </c>
      <c r="V221" s="275">
        <v>0.7</v>
      </c>
      <c r="W221" s="275">
        <v>0.7</v>
      </c>
      <c r="X221" s="56">
        <v>2000</v>
      </c>
      <c r="Y221" s="56" t="s">
        <v>571</v>
      </c>
      <c r="Z221" s="56">
        <v>0.2</v>
      </c>
      <c r="AA221" s="56" t="s">
        <v>572</v>
      </c>
      <c r="AB221" s="56" t="s">
        <v>573</v>
      </c>
      <c r="AC221" s="56">
        <v>220</v>
      </c>
      <c r="AD221" s="277" t="s">
        <v>610</v>
      </c>
      <c r="AE221" s="277"/>
    </row>
    <row r="222" spans="1:31" ht="15.75" x14ac:dyDescent="0.25">
      <c r="A222" s="56" t="s">
        <v>742</v>
      </c>
      <c r="B222" s="56">
        <v>3</v>
      </c>
      <c r="C222" s="56">
        <v>495</v>
      </c>
      <c r="D222" s="56" t="s">
        <v>600</v>
      </c>
      <c r="E222" s="56">
        <v>1</v>
      </c>
      <c r="F222" s="278">
        <v>45747.515277777777</v>
      </c>
      <c r="G222" s="56">
        <v>2</v>
      </c>
      <c r="H222" s="56">
        <v>51.370800000000003</v>
      </c>
      <c r="I222" s="56">
        <v>10.015599999999999</v>
      </c>
      <c r="J222" s="56">
        <v>7.3460140000000003</v>
      </c>
      <c r="K222" s="56">
        <v>9.0653120000000005</v>
      </c>
      <c r="L222" s="56">
        <v>1036.3399999999999</v>
      </c>
      <c r="M222" s="56">
        <v>65.000249999999994</v>
      </c>
      <c r="N222" s="274">
        <v>10863.49</v>
      </c>
      <c r="O222" s="56">
        <v>10872.33</v>
      </c>
      <c r="P222" s="275">
        <v>2068.5859999999998</v>
      </c>
      <c r="Q222" s="275">
        <f t="shared" si="1"/>
        <v>2064.5291818181818</v>
      </c>
      <c r="R222" s="275" t="s">
        <v>570</v>
      </c>
      <c r="S222" s="275">
        <v>10</v>
      </c>
      <c r="T222" s="275">
        <v>5</v>
      </c>
      <c r="U222" s="275">
        <v>0.7</v>
      </c>
      <c r="V222" s="275">
        <v>0.7</v>
      </c>
      <c r="W222" s="275">
        <v>0.7</v>
      </c>
      <c r="X222" s="56">
        <v>2000</v>
      </c>
      <c r="Y222" s="56" t="s">
        <v>571</v>
      </c>
      <c r="Z222" s="56">
        <v>0.2</v>
      </c>
      <c r="AA222" s="56" t="s">
        <v>572</v>
      </c>
      <c r="AB222" s="56" t="s">
        <v>573</v>
      </c>
      <c r="AC222" s="56">
        <v>220</v>
      </c>
      <c r="AD222" s="277" t="s">
        <v>19</v>
      </c>
      <c r="AE222" s="277"/>
    </row>
    <row r="223" spans="1:31" ht="15.75" x14ac:dyDescent="0.25">
      <c r="A223" s="56" t="s">
        <v>743</v>
      </c>
      <c r="B223" s="56">
        <v>3</v>
      </c>
      <c r="C223" s="56">
        <v>495</v>
      </c>
      <c r="D223" s="56" t="s">
        <v>600</v>
      </c>
      <c r="E223" s="56">
        <v>1</v>
      </c>
      <c r="F223" s="278">
        <v>45747.518055555556</v>
      </c>
      <c r="G223" s="56">
        <v>2</v>
      </c>
      <c r="H223" s="56">
        <v>51.374099999999999</v>
      </c>
      <c r="I223" s="56">
        <v>9.8577300000000001</v>
      </c>
      <c r="J223" s="56">
        <v>7.2529979999999998</v>
      </c>
      <c r="K223" s="56">
        <v>8.5657960000000006</v>
      </c>
      <c r="L223" s="56">
        <v>1033.3399999999999</v>
      </c>
      <c r="M223" s="56">
        <v>76.498019999999997</v>
      </c>
      <c r="N223" s="274">
        <v>10881.16</v>
      </c>
      <c r="O223" s="56">
        <v>10872.33</v>
      </c>
      <c r="P223" s="275">
        <v>2068.5859999999998</v>
      </c>
      <c r="Q223" s="275">
        <f t="shared" si="1"/>
        <v>2064.5291818181818</v>
      </c>
      <c r="R223" s="275" t="s">
        <v>570</v>
      </c>
      <c r="S223" s="275">
        <v>10</v>
      </c>
      <c r="T223" s="275">
        <v>5</v>
      </c>
      <c r="U223" s="275">
        <v>0.7</v>
      </c>
      <c r="V223" s="275">
        <v>0.7</v>
      </c>
      <c r="W223" s="275">
        <v>0.7</v>
      </c>
      <c r="X223" s="56">
        <v>2000</v>
      </c>
      <c r="Y223" s="56" t="s">
        <v>571</v>
      </c>
      <c r="Z223" s="56">
        <v>0.2</v>
      </c>
      <c r="AA223" s="56" t="s">
        <v>572</v>
      </c>
      <c r="AB223" s="56" t="s">
        <v>573</v>
      </c>
      <c r="AC223" s="56">
        <v>220</v>
      </c>
      <c r="AD223" s="277" t="s">
        <v>19</v>
      </c>
      <c r="AE223" s="277"/>
    </row>
    <row r="224" spans="1:31" ht="15.75" x14ac:dyDescent="0.25">
      <c r="A224" s="56" t="s">
        <v>579</v>
      </c>
      <c r="B224" s="56">
        <v>4</v>
      </c>
      <c r="C224" s="56">
        <v>496</v>
      </c>
      <c r="D224" s="56" t="s">
        <v>604</v>
      </c>
      <c r="E224" s="56">
        <v>1</v>
      </c>
      <c r="F224" s="278">
        <v>45747.521527777775</v>
      </c>
      <c r="G224" s="56">
        <v>1</v>
      </c>
      <c r="H224" s="56">
        <v>51.377400000000002</v>
      </c>
      <c r="I224" s="56">
        <v>9.7888500000000001</v>
      </c>
      <c r="J224" s="56">
        <v>7.264373</v>
      </c>
      <c r="K224" s="56">
        <v>8.4245289999999997</v>
      </c>
      <c r="L224" s="56">
        <v>1035.22</v>
      </c>
      <c r="M224" s="56">
        <v>80.000900000000001</v>
      </c>
      <c r="N224" s="274">
        <v>10888.3</v>
      </c>
      <c r="O224" s="56">
        <v>10880.86</v>
      </c>
      <c r="P224" s="275">
        <v>2070.1770000000001</v>
      </c>
      <c r="Q224" s="275">
        <f t="shared" si="1"/>
        <v>2064.7679090909091</v>
      </c>
      <c r="R224" s="275" t="s">
        <v>570</v>
      </c>
      <c r="S224" s="275">
        <v>10</v>
      </c>
      <c r="T224" s="275">
        <v>5</v>
      </c>
      <c r="U224" s="275">
        <v>0.7</v>
      </c>
      <c r="V224" s="275">
        <v>0.7</v>
      </c>
      <c r="W224" s="275">
        <v>0.7</v>
      </c>
      <c r="X224" s="56">
        <v>2000</v>
      </c>
      <c r="Y224" s="56" t="s">
        <v>571</v>
      </c>
      <c r="Z224" s="56">
        <v>0.2</v>
      </c>
      <c r="AA224" s="56" t="s">
        <v>572</v>
      </c>
      <c r="AB224" s="56" t="s">
        <v>573</v>
      </c>
      <c r="AC224" s="56">
        <v>220</v>
      </c>
      <c r="AD224" s="277" t="s">
        <v>19</v>
      </c>
      <c r="AE224" s="277"/>
    </row>
    <row r="225" spans="1:31" ht="15.75" x14ac:dyDescent="0.25">
      <c r="A225" s="56" t="s">
        <v>691</v>
      </c>
      <c r="B225" s="56">
        <v>4</v>
      </c>
      <c r="C225" s="56">
        <v>496</v>
      </c>
      <c r="D225" s="56" t="s">
        <v>604</v>
      </c>
      <c r="E225" s="56">
        <v>1</v>
      </c>
      <c r="F225" s="278">
        <v>45747.524305555555</v>
      </c>
      <c r="G225" s="56">
        <v>1</v>
      </c>
      <c r="H225" s="56">
        <v>51.377400000000002</v>
      </c>
      <c r="I225" s="56">
        <v>9.8668200000000006</v>
      </c>
      <c r="J225" s="56">
        <v>7.2450060000000001</v>
      </c>
      <c r="K225" s="56">
        <v>9.0702540000000003</v>
      </c>
      <c r="L225" s="56">
        <v>1028.6400000000001</v>
      </c>
      <c r="M225" s="56">
        <v>69.000110000000006</v>
      </c>
      <c r="N225" s="274">
        <v>10873.43</v>
      </c>
      <c r="O225" s="56">
        <v>10880.86</v>
      </c>
      <c r="P225" s="275">
        <v>2070.1770000000001</v>
      </c>
      <c r="Q225" s="275">
        <f t="shared" si="1"/>
        <v>2064.7679090909091</v>
      </c>
      <c r="R225" s="275" t="s">
        <v>570</v>
      </c>
      <c r="S225" s="275">
        <v>10</v>
      </c>
      <c r="T225" s="275">
        <v>5</v>
      </c>
      <c r="U225" s="275">
        <v>0.7</v>
      </c>
      <c r="V225" s="275">
        <v>0.7</v>
      </c>
      <c r="W225" s="275">
        <v>0.7</v>
      </c>
      <c r="X225" s="56">
        <v>2000</v>
      </c>
      <c r="Y225" s="56" t="s">
        <v>571</v>
      </c>
      <c r="Z225" s="56">
        <v>0.2</v>
      </c>
      <c r="AA225" s="56" t="s">
        <v>572</v>
      </c>
      <c r="AB225" s="56" t="s">
        <v>573</v>
      </c>
      <c r="AC225" s="56">
        <v>220</v>
      </c>
      <c r="AD225" s="277" t="s">
        <v>19</v>
      </c>
      <c r="AE225" s="277"/>
    </row>
    <row r="226" spans="1:31" ht="15.75" x14ac:dyDescent="0.25">
      <c r="A226" s="56" t="s">
        <v>580</v>
      </c>
      <c r="B226" s="56">
        <v>5</v>
      </c>
      <c r="C226" s="56">
        <v>183</v>
      </c>
      <c r="D226" s="56" t="s">
        <v>608</v>
      </c>
      <c r="E226" s="56">
        <v>1</v>
      </c>
      <c r="F226" s="278">
        <v>45747.527777777781</v>
      </c>
      <c r="G226" s="56">
        <v>1</v>
      </c>
      <c r="H226" s="56">
        <v>51.374099999999999</v>
      </c>
      <c r="I226" s="56">
        <v>9.6425699999999992</v>
      </c>
      <c r="J226" s="56">
        <v>7.3326880000000001</v>
      </c>
      <c r="K226" s="56">
        <v>7.8669989999999999</v>
      </c>
      <c r="L226" s="56">
        <v>1034.8599999999999</v>
      </c>
      <c r="M226" s="56">
        <v>101.9996</v>
      </c>
      <c r="N226" s="274">
        <v>10784.69</v>
      </c>
      <c r="O226" s="56">
        <v>10758.15</v>
      </c>
      <c r="P226" s="275">
        <v>2047.308</v>
      </c>
      <c r="Q226" s="275">
        <f t="shared" si="1"/>
        <v>2040.5466363636363</v>
      </c>
      <c r="R226" s="275" t="s">
        <v>584</v>
      </c>
      <c r="S226" s="275">
        <v>10</v>
      </c>
      <c r="T226" s="275">
        <v>5</v>
      </c>
      <c r="U226" s="275">
        <v>0.7</v>
      </c>
      <c r="V226" s="275">
        <v>0.7</v>
      </c>
      <c r="W226" s="275">
        <v>0.7</v>
      </c>
      <c r="X226" s="56">
        <v>2000</v>
      </c>
      <c r="Y226" s="56" t="s">
        <v>571</v>
      </c>
      <c r="Z226" s="56">
        <v>0.2</v>
      </c>
      <c r="AA226" s="56" t="s">
        <v>572</v>
      </c>
      <c r="AB226" s="56" t="s">
        <v>573</v>
      </c>
      <c r="AC226" s="56">
        <v>220</v>
      </c>
      <c r="AD226" s="277" t="s">
        <v>19</v>
      </c>
      <c r="AE226" s="277"/>
    </row>
    <row r="227" spans="1:31" ht="15.75" x14ac:dyDescent="0.25">
      <c r="A227" s="56" t="s">
        <v>694</v>
      </c>
      <c r="B227" s="56">
        <v>5</v>
      </c>
      <c r="C227" s="56">
        <v>183</v>
      </c>
      <c r="D227" s="56" t="s">
        <v>608</v>
      </c>
      <c r="E227" s="56">
        <v>1</v>
      </c>
      <c r="F227" s="278">
        <v>45747.53125</v>
      </c>
      <c r="G227" s="56">
        <v>1</v>
      </c>
      <c r="H227" s="56">
        <v>51.374099999999999</v>
      </c>
      <c r="I227" s="56">
        <v>9.9260199999999994</v>
      </c>
      <c r="J227" s="56">
        <v>7.2558769999999999</v>
      </c>
      <c r="K227" s="56">
        <v>8.6575380000000006</v>
      </c>
      <c r="L227" s="56">
        <v>1011.74</v>
      </c>
      <c r="M227" s="56">
        <v>75.499899999999997</v>
      </c>
      <c r="N227" s="274">
        <v>10737.52</v>
      </c>
      <c r="O227" s="56">
        <v>10758.15</v>
      </c>
      <c r="P227" s="275">
        <v>2047.308</v>
      </c>
      <c r="Q227" s="275">
        <f t="shared" si="1"/>
        <v>2040.5466363636363</v>
      </c>
      <c r="R227" s="275" t="s">
        <v>584</v>
      </c>
      <c r="S227" s="275">
        <v>10</v>
      </c>
      <c r="T227" s="275">
        <v>5</v>
      </c>
      <c r="U227" s="275">
        <v>0.7</v>
      </c>
      <c r="V227" s="275">
        <v>0.7</v>
      </c>
      <c r="W227" s="275">
        <v>0.7</v>
      </c>
      <c r="X227" s="56">
        <v>2000</v>
      </c>
      <c r="Y227" s="56" t="s">
        <v>571</v>
      </c>
      <c r="Z227" s="56">
        <v>0.2</v>
      </c>
      <c r="AA227" s="56" t="s">
        <v>572</v>
      </c>
      <c r="AB227" s="56" t="s">
        <v>573</v>
      </c>
      <c r="AC227" s="56">
        <v>220</v>
      </c>
      <c r="AD227" s="277" t="s">
        <v>19</v>
      </c>
      <c r="AE227" s="277"/>
    </row>
    <row r="228" spans="1:31" ht="15.75" x14ac:dyDescent="0.25">
      <c r="A228" s="56" t="s">
        <v>744</v>
      </c>
      <c r="B228" s="56">
        <v>5</v>
      </c>
      <c r="C228" s="56">
        <v>183</v>
      </c>
      <c r="D228" s="56" t="s">
        <v>608</v>
      </c>
      <c r="E228" s="56">
        <v>1</v>
      </c>
      <c r="F228" s="278">
        <v>45747.53402777778</v>
      </c>
      <c r="G228" s="56">
        <v>1</v>
      </c>
      <c r="H228" s="56">
        <v>51.370800000000003</v>
      </c>
      <c r="I228" s="56">
        <v>9.7842000000000002</v>
      </c>
      <c r="J228" s="56">
        <v>7.1899470000000001</v>
      </c>
      <c r="K228" s="56">
        <v>8.2487460000000006</v>
      </c>
      <c r="L228" s="56">
        <v>1015.52</v>
      </c>
      <c r="M228" s="56">
        <v>86.50076</v>
      </c>
      <c r="N228" s="274">
        <v>10764.89</v>
      </c>
      <c r="O228" s="56">
        <v>10758.15</v>
      </c>
      <c r="P228" s="275">
        <v>2047.308</v>
      </c>
      <c r="Q228" s="275">
        <f t="shared" si="1"/>
        <v>2040.5466363636363</v>
      </c>
      <c r="R228" s="275" t="s">
        <v>570</v>
      </c>
      <c r="S228" s="275">
        <v>10</v>
      </c>
      <c r="T228" s="275">
        <v>5</v>
      </c>
      <c r="U228" s="275">
        <v>0.7</v>
      </c>
      <c r="V228" s="275">
        <v>0.7</v>
      </c>
      <c r="W228" s="275">
        <v>0.7</v>
      </c>
      <c r="X228" s="56">
        <v>2000</v>
      </c>
      <c r="Y228" s="56" t="s">
        <v>571</v>
      </c>
      <c r="Z228" s="56">
        <v>0.2</v>
      </c>
      <c r="AA228" s="56" t="s">
        <v>572</v>
      </c>
      <c r="AB228" s="56" t="s">
        <v>573</v>
      </c>
      <c r="AC228" s="56">
        <v>220</v>
      </c>
      <c r="AD228" s="277" t="s">
        <v>19</v>
      </c>
      <c r="AE228" s="277"/>
    </row>
    <row r="229" spans="1:31" ht="15.75" x14ac:dyDescent="0.25">
      <c r="A229" s="56" t="s">
        <v>745</v>
      </c>
      <c r="B229" s="56">
        <v>5</v>
      </c>
      <c r="C229" s="56">
        <v>183</v>
      </c>
      <c r="D229" s="56" t="s">
        <v>608</v>
      </c>
      <c r="E229" s="56">
        <v>1</v>
      </c>
      <c r="F229" s="278">
        <v>45747.536805555559</v>
      </c>
      <c r="G229" s="56">
        <v>1</v>
      </c>
      <c r="H229" s="56">
        <v>51.374099999999999</v>
      </c>
      <c r="I229" s="56">
        <v>10.013299999999999</v>
      </c>
      <c r="J229" s="56">
        <v>7.1769939999999997</v>
      </c>
      <c r="K229" s="56">
        <v>8.5760330000000007</v>
      </c>
      <c r="L229" s="56">
        <v>1035.3399999999999</v>
      </c>
      <c r="M229" s="56">
        <v>70.500370000000004</v>
      </c>
      <c r="N229" s="274">
        <v>10751.42</v>
      </c>
      <c r="O229" s="56">
        <v>10758.15</v>
      </c>
      <c r="P229" s="275">
        <v>2047.308</v>
      </c>
      <c r="Q229" s="275">
        <f t="shared" si="1"/>
        <v>2040.5466363636363</v>
      </c>
      <c r="R229" s="275" t="s">
        <v>570</v>
      </c>
      <c r="S229" s="275">
        <v>10</v>
      </c>
      <c r="T229" s="275">
        <v>5</v>
      </c>
      <c r="U229" s="275">
        <v>0.7</v>
      </c>
      <c r="V229" s="275">
        <v>0.7</v>
      </c>
      <c r="W229" s="275">
        <v>0.7</v>
      </c>
      <c r="X229" s="56">
        <v>2000</v>
      </c>
      <c r="Y229" s="56" t="s">
        <v>571</v>
      </c>
      <c r="Z229" s="56">
        <v>0.2</v>
      </c>
      <c r="AA229" s="56" t="s">
        <v>572</v>
      </c>
      <c r="AB229" s="56" t="s">
        <v>573</v>
      </c>
      <c r="AC229" s="56">
        <v>220</v>
      </c>
      <c r="AD229" s="277" t="s">
        <v>19</v>
      </c>
      <c r="AE229" s="277"/>
    </row>
    <row r="230" spans="1:31" ht="15.75" x14ac:dyDescent="0.25">
      <c r="A230" s="56" t="s">
        <v>581</v>
      </c>
      <c r="B230" s="56">
        <v>6</v>
      </c>
      <c r="C230" s="56">
        <v>184</v>
      </c>
      <c r="D230" s="56" t="s">
        <v>618</v>
      </c>
      <c r="E230" s="56">
        <v>1</v>
      </c>
      <c r="F230" s="278">
        <v>45747.540277777778</v>
      </c>
      <c r="G230" s="56">
        <v>1</v>
      </c>
      <c r="H230" s="56">
        <v>51.374099999999999</v>
      </c>
      <c r="I230" s="56">
        <v>10.001899999999999</v>
      </c>
      <c r="J230" s="56">
        <v>7.1718460000000004</v>
      </c>
      <c r="K230" s="56">
        <v>9.201981</v>
      </c>
      <c r="L230" s="56">
        <v>1027.8399999999999</v>
      </c>
      <c r="M230" s="56">
        <v>64.500720000000001</v>
      </c>
      <c r="N230" s="274">
        <v>10706.21</v>
      </c>
      <c r="O230" s="56">
        <v>10727.44</v>
      </c>
      <c r="P230" s="275">
        <v>2041.5840000000001</v>
      </c>
      <c r="Q230" s="275">
        <f t="shared" si="1"/>
        <v>2033.4703636363638</v>
      </c>
      <c r="R230" s="275" t="s">
        <v>584</v>
      </c>
      <c r="S230" s="275">
        <v>10</v>
      </c>
      <c r="T230" s="275">
        <v>5</v>
      </c>
      <c r="U230" s="275">
        <v>0.7</v>
      </c>
      <c r="V230" s="275">
        <v>0.7</v>
      </c>
      <c r="W230" s="275">
        <v>0.7</v>
      </c>
      <c r="X230" s="56">
        <v>2000</v>
      </c>
      <c r="Y230" s="56" t="s">
        <v>571</v>
      </c>
      <c r="Z230" s="56">
        <v>0.2</v>
      </c>
      <c r="AA230" s="56" t="s">
        <v>572</v>
      </c>
      <c r="AB230" s="56" t="s">
        <v>573</v>
      </c>
      <c r="AC230" s="56">
        <v>220</v>
      </c>
      <c r="AD230" s="277" t="s">
        <v>19</v>
      </c>
      <c r="AE230" s="277"/>
    </row>
    <row r="231" spans="1:31" ht="15.75" x14ac:dyDescent="0.25">
      <c r="A231" s="56" t="s">
        <v>695</v>
      </c>
      <c r="B231" s="56">
        <v>6</v>
      </c>
      <c r="C231" s="56">
        <v>184</v>
      </c>
      <c r="D231" s="56" t="s">
        <v>618</v>
      </c>
      <c r="E231" s="56">
        <v>1</v>
      </c>
      <c r="F231" s="278">
        <v>45747.543055555558</v>
      </c>
      <c r="G231" s="56">
        <v>1</v>
      </c>
      <c r="H231" s="56">
        <v>51.374099999999999</v>
      </c>
      <c r="I231" s="56">
        <v>9.8483000000000001</v>
      </c>
      <c r="J231" s="56">
        <v>7.1722400000000004</v>
      </c>
      <c r="K231" s="56">
        <v>8.4873750000000001</v>
      </c>
      <c r="L231" s="56">
        <v>1023.44</v>
      </c>
      <c r="M231" s="56">
        <v>70.500749999999996</v>
      </c>
      <c r="N231" s="274">
        <v>10738.12</v>
      </c>
      <c r="O231" s="56">
        <v>10727.44</v>
      </c>
      <c r="P231" s="275">
        <v>2041.5840000000001</v>
      </c>
      <c r="Q231" s="275">
        <f t="shared" si="1"/>
        <v>2033.4703636363638</v>
      </c>
      <c r="R231" s="275" t="s">
        <v>570</v>
      </c>
      <c r="S231" s="275">
        <v>10</v>
      </c>
      <c r="T231" s="275">
        <v>5</v>
      </c>
      <c r="U231" s="275">
        <v>0.7</v>
      </c>
      <c r="V231" s="275">
        <v>0.7</v>
      </c>
      <c r="W231" s="275">
        <v>0.7</v>
      </c>
      <c r="X231" s="56">
        <v>2000</v>
      </c>
      <c r="Y231" s="56" t="s">
        <v>571</v>
      </c>
      <c r="Z231" s="56">
        <v>0.2</v>
      </c>
      <c r="AA231" s="56" t="s">
        <v>572</v>
      </c>
      <c r="AB231" s="56" t="s">
        <v>573</v>
      </c>
      <c r="AC231" s="56">
        <v>220</v>
      </c>
      <c r="AD231" s="277" t="s">
        <v>19</v>
      </c>
      <c r="AE231" s="277"/>
    </row>
    <row r="232" spans="1:31" ht="15.75" x14ac:dyDescent="0.25">
      <c r="A232" s="56" t="s">
        <v>696</v>
      </c>
      <c r="B232" s="56">
        <v>6</v>
      </c>
      <c r="C232" s="56">
        <v>184</v>
      </c>
      <c r="D232" s="56" t="s">
        <v>618</v>
      </c>
      <c r="E232" s="56">
        <v>1</v>
      </c>
      <c r="F232" s="278">
        <v>45747.54583333333</v>
      </c>
      <c r="G232" s="56">
        <v>1</v>
      </c>
      <c r="H232" s="56">
        <v>51.370800000000003</v>
      </c>
      <c r="I232" s="56">
        <v>9.9423700000000004</v>
      </c>
      <c r="J232" s="56">
        <v>7.0905110000000002</v>
      </c>
      <c r="K232" s="56">
        <v>9.0777140000000003</v>
      </c>
      <c r="L232" s="56">
        <v>1022.68</v>
      </c>
      <c r="M232" s="56">
        <v>65.49933</v>
      </c>
      <c r="N232" s="274">
        <v>10716.75</v>
      </c>
      <c r="O232" s="56">
        <v>10727.44</v>
      </c>
      <c r="P232" s="275">
        <v>2041.5840000000001</v>
      </c>
      <c r="Q232" s="275">
        <f t="shared" si="1"/>
        <v>2033.4703636363638</v>
      </c>
      <c r="R232" s="275" t="s">
        <v>570</v>
      </c>
      <c r="S232" s="275">
        <v>10</v>
      </c>
      <c r="T232" s="275">
        <v>5</v>
      </c>
      <c r="U232" s="275">
        <v>0.7</v>
      </c>
      <c r="V232" s="275">
        <v>0.7</v>
      </c>
      <c r="W232" s="275">
        <v>0.7</v>
      </c>
      <c r="X232" s="56">
        <v>2000</v>
      </c>
      <c r="Y232" s="56" t="s">
        <v>571</v>
      </c>
      <c r="Z232" s="56">
        <v>0.2</v>
      </c>
      <c r="AA232" s="56" t="s">
        <v>572</v>
      </c>
      <c r="AB232" s="56" t="s">
        <v>573</v>
      </c>
      <c r="AC232" s="56">
        <v>220</v>
      </c>
      <c r="AD232" s="277" t="s">
        <v>19</v>
      </c>
      <c r="AE232" s="277"/>
    </row>
    <row r="233" spans="1:31" ht="15.75" x14ac:dyDescent="0.25">
      <c r="A233" s="56" t="s">
        <v>697</v>
      </c>
      <c r="B233" s="56">
        <v>7</v>
      </c>
      <c r="C233" s="56">
        <v>456</v>
      </c>
      <c r="D233" s="56" t="s">
        <v>623</v>
      </c>
      <c r="E233" s="56">
        <v>1</v>
      </c>
      <c r="F233" s="278">
        <v>45747.549305555556</v>
      </c>
      <c r="G233" s="56">
        <v>1</v>
      </c>
      <c r="H233" s="56">
        <v>51.374099999999999</v>
      </c>
      <c r="I233" s="56">
        <v>9.72424</v>
      </c>
      <c r="J233" s="56">
        <v>6.9857040000000001</v>
      </c>
      <c r="K233" s="56">
        <v>8.0089070000000007</v>
      </c>
      <c r="L233" s="56">
        <v>1037.4000000000001</v>
      </c>
      <c r="M233" s="56">
        <v>81.999409999999997</v>
      </c>
      <c r="N233" s="274">
        <v>10853.95</v>
      </c>
      <c r="O233" s="56">
        <v>10887.69</v>
      </c>
      <c r="P233" s="275">
        <v>2071.4490000000001</v>
      </c>
      <c r="Q233" s="275">
        <f t="shared" si="1"/>
        <v>2061.9830909090911</v>
      </c>
      <c r="R233" s="275" t="s">
        <v>584</v>
      </c>
      <c r="S233" s="275">
        <v>10</v>
      </c>
      <c r="T233" s="275">
        <v>5</v>
      </c>
      <c r="U233" s="275">
        <v>0.7</v>
      </c>
      <c r="V233" s="275">
        <v>0.7</v>
      </c>
      <c r="W233" s="275">
        <v>0.7</v>
      </c>
      <c r="X233" s="56">
        <v>2000</v>
      </c>
      <c r="Y233" s="56" t="s">
        <v>571</v>
      </c>
      <c r="Z233" s="56">
        <v>0.2</v>
      </c>
      <c r="AA233" s="56" t="s">
        <v>572</v>
      </c>
      <c r="AB233" s="56" t="s">
        <v>573</v>
      </c>
      <c r="AC233" s="56">
        <v>220</v>
      </c>
      <c r="AD233" s="277" t="s">
        <v>19</v>
      </c>
      <c r="AE233" s="277"/>
    </row>
    <row r="234" spans="1:31" ht="15.75" x14ac:dyDescent="0.25">
      <c r="A234" s="56" t="s">
        <v>698</v>
      </c>
      <c r="B234" s="56">
        <v>7</v>
      </c>
      <c r="C234" s="56">
        <v>456</v>
      </c>
      <c r="D234" s="56" t="s">
        <v>623</v>
      </c>
      <c r="E234" s="56">
        <v>1</v>
      </c>
      <c r="F234" s="278">
        <v>45747.552083333336</v>
      </c>
      <c r="G234" s="56">
        <v>1</v>
      </c>
      <c r="H234" s="56">
        <v>51.380699999999997</v>
      </c>
      <c r="I234" s="56">
        <v>9.7700300000000002</v>
      </c>
      <c r="J234" s="56">
        <v>7.1514480000000002</v>
      </c>
      <c r="K234" s="56">
        <v>8.8104130000000005</v>
      </c>
      <c r="L234" s="56">
        <v>1024.0999999999999</v>
      </c>
      <c r="M234" s="56">
        <v>67.499570000000006</v>
      </c>
      <c r="N234" s="274">
        <v>10795.16</v>
      </c>
      <c r="O234" s="56">
        <v>10887.69</v>
      </c>
      <c r="P234" s="275">
        <v>2071.4490000000001</v>
      </c>
      <c r="Q234" s="275">
        <f t="shared" si="1"/>
        <v>2061.9830909090911</v>
      </c>
      <c r="R234" s="275" t="s">
        <v>584</v>
      </c>
      <c r="S234" s="275">
        <v>10</v>
      </c>
      <c r="T234" s="275">
        <v>5</v>
      </c>
      <c r="U234" s="275">
        <v>0.7</v>
      </c>
      <c r="V234" s="275">
        <v>0.7</v>
      </c>
      <c r="W234" s="275">
        <v>0.7</v>
      </c>
      <c r="X234" s="56">
        <v>2000</v>
      </c>
      <c r="Y234" s="56" t="s">
        <v>571</v>
      </c>
      <c r="Z234" s="56">
        <v>0.2</v>
      </c>
      <c r="AA234" s="56" t="s">
        <v>572</v>
      </c>
      <c r="AB234" s="56" t="s">
        <v>573</v>
      </c>
      <c r="AC234" s="56">
        <v>220</v>
      </c>
      <c r="AD234" s="277" t="s">
        <v>19</v>
      </c>
      <c r="AE234" s="277"/>
    </row>
    <row r="235" spans="1:31" ht="15.75" x14ac:dyDescent="0.25">
      <c r="A235" s="56" t="s">
        <v>699</v>
      </c>
      <c r="B235" s="56">
        <v>7</v>
      </c>
      <c r="C235" s="56">
        <v>456</v>
      </c>
      <c r="D235" s="56" t="s">
        <v>623</v>
      </c>
      <c r="E235" s="56">
        <v>1</v>
      </c>
      <c r="F235" s="278">
        <v>45747.554861111108</v>
      </c>
      <c r="G235" s="56">
        <v>1</v>
      </c>
      <c r="H235" s="56">
        <v>51.377400000000002</v>
      </c>
      <c r="I235" s="56">
        <v>9.8221799999999995</v>
      </c>
      <c r="J235" s="56">
        <v>7.1655199999999999</v>
      </c>
      <c r="K235" s="56">
        <v>8.5671289999999996</v>
      </c>
      <c r="L235" s="56">
        <v>1026.55</v>
      </c>
      <c r="M235" s="56">
        <v>74.499970000000005</v>
      </c>
      <c r="N235" s="274">
        <v>10819.98</v>
      </c>
      <c r="O235" s="56">
        <v>10887.69</v>
      </c>
      <c r="P235" s="275">
        <v>2071.4490000000001</v>
      </c>
      <c r="Q235" s="275">
        <f t="shared" si="1"/>
        <v>2061.9830909090911</v>
      </c>
      <c r="R235" s="275" t="s">
        <v>584</v>
      </c>
      <c r="S235" s="275">
        <v>10</v>
      </c>
      <c r="T235" s="275">
        <v>5</v>
      </c>
      <c r="U235" s="275">
        <v>0.7</v>
      </c>
      <c r="V235" s="275">
        <v>0.7</v>
      </c>
      <c r="W235" s="275">
        <v>0.7</v>
      </c>
      <c r="X235" s="56">
        <v>2000</v>
      </c>
      <c r="Y235" s="56" t="s">
        <v>571</v>
      </c>
      <c r="Z235" s="56">
        <v>0.2</v>
      </c>
      <c r="AA235" s="56" t="s">
        <v>572</v>
      </c>
      <c r="AB235" s="56" t="s">
        <v>573</v>
      </c>
      <c r="AC235" s="56">
        <v>220</v>
      </c>
      <c r="AD235" s="277" t="s">
        <v>19</v>
      </c>
      <c r="AE235" s="277"/>
    </row>
    <row r="236" spans="1:31" ht="15.75" x14ac:dyDescent="0.25">
      <c r="A236" s="56" t="s">
        <v>700</v>
      </c>
      <c r="B236" s="56">
        <v>7</v>
      </c>
      <c r="C236" s="56">
        <v>456</v>
      </c>
      <c r="D236" s="56" t="s">
        <v>623</v>
      </c>
      <c r="E236" s="56">
        <v>1</v>
      </c>
      <c r="F236" s="278">
        <v>45747.557638888888</v>
      </c>
      <c r="G236" s="56">
        <v>1</v>
      </c>
      <c r="H236" s="56">
        <v>51.377400000000002</v>
      </c>
      <c r="I236" s="56">
        <v>9.7631399999999999</v>
      </c>
      <c r="J236" s="56">
        <v>9.2995260000000002</v>
      </c>
      <c r="K236" s="56">
        <v>10.418659999999999</v>
      </c>
      <c r="L236" s="56">
        <v>1036.5899999999999</v>
      </c>
      <c r="M236" s="56">
        <v>76.500749999999996</v>
      </c>
      <c r="N236" s="274">
        <v>10880.08</v>
      </c>
      <c r="O236" s="56">
        <v>10887.69</v>
      </c>
      <c r="P236" s="275">
        <v>2071.4490000000001</v>
      </c>
      <c r="Q236" s="275">
        <f t="shared" si="1"/>
        <v>2061.9830909090911</v>
      </c>
      <c r="R236" s="275" t="s">
        <v>570</v>
      </c>
      <c r="S236" s="275">
        <v>10</v>
      </c>
      <c r="T236" s="275">
        <v>5</v>
      </c>
      <c r="U236" s="275">
        <v>0.7</v>
      </c>
      <c r="V236" s="275">
        <v>0.7</v>
      </c>
      <c r="W236" s="275">
        <v>0.7</v>
      </c>
      <c r="X236" s="56">
        <v>2000</v>
      </c>
      <c r="Y236" s="56" t="s">
        <v>571</v>
      </c>
      <c r="Z236" s="56">
        <v>0.2</v>
      </c>
      <c r="AA236" s="56" t="s">
        <v>572</v>
      </c>
      <c r="AB236" s="56" t="s">
        <v>573</v>
      </c>
      <c r="AC236" s="56">
        <v>220</v>
      </c>
      <c r="AD236" s="277" t="s">
        <v>19</v>
      </c>
      <c r="AE236" s="277"/>
    </row>
    <row r="237" spans="1:31" ht="15.75" x14ac:dyDescent="0.25">
      <c r="A237" s="56" t="s">
        <v>701</v>
      </c>
      <c r="B237" s="56">
        <v>7</v>
      </c>
      <c r="C237" s="56">
        <v>456</v>
      </c>
      <c r="D237" s="56" t="s">
        <v>623</v>
      </c>
      <c r="E237" s="56">
        <v>1</v>
      </c>
      <c r="F237" s="278">
        <v>45747.560416666667</v>
      </c>
      <c r="G237" s="56">
        <v>1</v>
      </c>
      <c r="H237" s="56">
        <v>51.377400000000002</v>
      </c>
      <c r="I237" s="56">
        <v>9.7306699999999999</v>
      </c>
      <c r="J237" s="56">
        <v>9.3275819999999996</v>
      </c>
      <c r="K237" s="56">
        <v>9.8588129999999996</v>
      </c>
      <c r="L237" s="56">
        <v>1030.82</v>
      </c>
      <c r="M237" s="56">
        <v>101.9992</v>
      </c>
      <c r="N237" s="274">
        <v>10895.29</v>
      </c>
      <c r="O237" s="56">
        <v>10887.69</v>
      </c>
      <c r="P237" s="275">
        <v>2071.4490000000001</v>
      </c>
      <c r="Q237" s="275">
        <f t="shared" si="1"/>
        <v>2061.9830909090911</v>
      </c>
      <c r="R237" s="275" t="s">
        <v>570</v>
      </c>
      <c r="S237" s="275">
        <v>10</v>
      </c>
      <c r="T237" s="275">
        <v>5</v>
      </c>
      <c r="U237" s="275">
        <v>0.7</v>
      </c>
      <c r="V237" s="275">
        <v>0.7</v>
      </c>
      <c r="W237" s="275">
        <v>0.7</v>
      </c>
      <c r="X237" s="56">
        <v>2000</v>
      </c>
      <c r="Y237" s="56" t="s">
        <v>571</v>
      </c>
      <c r="Z237" s="56">
        <v>0.2</v>
      </c>
      <c r="AA237" s="56" t="s">
        <v>572</v>
      </c>
      <c r="AB237" s="56" t="s">
        <v>573</v>
      </c>
      <c r="AC237" s="56">
        <v>220</v>
      </c>
      <c r="AD237" s="277" t="s">
        <v>19</v>
      </c>
      <c r="AE237" s="277"/>
    </row>
    <row r="238" spans="1:31" ht="15.75" x14ac:dyDescent="0.25">
      <c r="A238" s="56" t="s">
        <v>596</v>
      </c>
      <c r="B238" s="56">
        <v>8</v>
      </c>
      <c r="C238" s="56">
        <v>457</v>
      </c>
      <c r="D238" s="56" t="s">
        <v>629</v>
      </c>
      <c r="E238" s="56">
        <v>1</v>
      </c>
      <c r="F238" s="278">
        <v>45747.564583333333</v>
      </c>
      <c r="G238" s="56">
        <v>1</v>
      </c>
      <c r="H238" s="56">
        <v>51.377400000000002</v>
      </c>
      <c r="I238" s="56">
        <v>9.7980800000000006</v>
      </c>
      <c r="J238" s="56">
        <v>9.2113569999999996</v>
      </c>
      <c r="K238" s="56">
        <v>10.747590000000001</v>
      </c>
      <c r="L238" s="56">
        <v>1023.94</v>
      </c>
      <c r="M238" s="56">
        <v>70.501800000000003</v>
      </c>
      <c r="N238" s="274">
        <v>10890.53</v>
      </c>
      <c r="O238" s="56">
        <v>10898.3</v>
      </c>
      <c r="P238" s="275">
        <v>2073.4259999999999</v>
      </c>
      <c r="Q238" s="275">
        <f t="shared" si="1"/>
        <v>2062.6078181818179</v>
      </c>
      <c r="R238" s="275" t="s">
        <v>570</v>
      </c>
      <c r="S238" s="275">
        <v>10</v>
      </c>
      <c r="T238" s="275">
        <v>5</v>
      </c>
      <c r="U238" s="275">
        <v>0.7</v>
      </c>
      <c r="V238" s="275">
        <v>0.7</v>
      </c>
      <c r="W238" s="275">
        <v>0.7</v>
      </c>
      <c r="X238" s="56">
        <v>2000</v>
      </c>
      <c r="Y238" s="56" t="s">
        <v>571</v>
      </c>
      <c r="Z238" s="56">
        <v>0.2</v>
      </c>
      <c r="AA238" s="56" t="s">
        <v>572</v>
      </c>
      <c r="AB238" s="56" t="s">
        <v>573</v>
      </c>
      <c r="AC238" s="56">
        <v>220</v>
      </c>
      <c r="AD238" s="277" t="s">
        <v>19</v>
      </c>
      <c r="AE238" s="277"/>
    </row>
    <row r="239" spans="1:31" ht="15.75" x14ac:dyDescent="0.25">
      <c r="A239" s="56" t="s">
        <v>597</v>
      </c>
      <c r="B239" s="56">
        <v>8</v>
      </c>
      <c r="C239" s="56">
        <v>457</v>
      </c>
      <c r="D239" s="56" t="s">
        <v>629</v>
      </c>
      <c r="E239" s="56">
        <v>1</v>
      </c>
      <c r="F239" s="278">
        <v>45747.567361111112</v>
      </c>
      <c r="G239" s="56">
        <v>1</v>
      </c>
      <c r="H239" s="56">
        <v>51.374099999999999</v>
      </c>
      <c r="I239" s="56">
        <v>9.8340300000000003</v>
      </c>
      <c r="J239" s="56">
        <v>9.1537190000000006</v>
      </c>
      <c r="K239" s="56">
        <v>10.37157</v>
      </c>
      <c r="L239" s="56">
        <v>1039.9100000000001</v>
      </c>
      <c r="M239" s="56">
        <v>78</v>
      </c>
      <c r="N239" s="274">
        <v>10906.06</v>
      </c>
      <c r="O239" s="56">
        <v>10898.3</v>
      </c>
      <c r="P239" s="275">
        <v>2073.4259999999999</v>
      </c>
      <c r="Q239" s="275">
        <f t="shared" si="1"/>
        <v>2062.6078181818179</v>
      </c>
      <c r="R239" s="275" t="s">
        <v>570</v>
      </c>
      <c r="S239" s="275">
        <v>10</v>
      </c>
      <c r="T239" s="275">
        <v>5</v>
      </c>
      <c r="U239" s="275">
        <v>0.7</v>
      </c>
      <c r="V239" s="275">
        <v>0.7</v>
      </c>
      <c r="W239" s="275">
        <v>0.7</v>
      </c>
      <c r="X239" s="56">
        <v>2000</v>
      </c>
      <c r="Y239" s="56" t="s">
        <v>571</v>
      </c>
      <c r="Z239" s="56">
        <v>0.2</v>
      </c>
      <c r="AA239" s="56" t="s">
        <v>572</v>
      </c>
      <c r="AB239" s="56" t="s">
        <v>573</v>
      </c>
      <c r="AC239" s="56">
        <v>220</v>
      </c>
      <c r="AD239" s="277" t="s">
        <v>19</v>
      </c>
      <c r="AE239" s="277"/>
    </row>
    <row r="240" spans="1:31" ht="15.75" x14ac:dyDescent="0.25">
      <c r="A240" s="56" t="s">
        <v>599</v>
      </c>
      <c r="B240" s="56">
        <v>9</v>
      </c>
      <c r="C240" s="56">
        <v>547</v>
      </c>
      <c r="D240" s="56" t="s">
        <v>633</v>
      </c>
      <c r="E240" s="56">
        <v>1</v>
      </c>
      <c r="F240" s="278">
        <v>45747.570833333331</v>
      </c>
      <c r="G240" s="56">
        <v>1</v>
      </c>
      <c r="H240" s="56">
        <v>51.380699999999997</v>
      </c>
      <c r="I240" s="56">
        <v>9.8773499999999999</v>
      </c>
      <c r="J240" s="56">
        <v>9.2575880000000002</v>
      </c>
      <c r="K240" s="56">
        <v>10.33217</v>
      </c>
      <c r="L240" s="56">
        <v>1067.94</v>
      </c>
      <c r="M240" s="56">
        <v>77.499709999999993</v>
      </c>
      <c r="N240" s="274">
        <v>10871.68</v>
      </c>
      <c r="O240" s="56">
        <v>10865.27</v>
      </c>
      <c r="P240" s="275">
        <v>2067.2719999999999</v>
      </c>
      <c r="Q240" s="275">
        <f t="shared" si="1"/>
        <v>2055.1015454545454</v>
      </c>
      <c r="R240" s="275" t="s">
        <v>570</v>
      </c>
      <c r="S240" s="275">
        <v>10</v>
      </c>
      <c r="T240" s="275">
        <v>5</v>
      </c>
      <c r="U240" s="275">
        <v>0.7</v>
      </c>
      <c r="V240" s="275">
        <v>0.7</v>
      </c>
      <c r="W240" s="275">
        <v>0.7</v>
      </c>
      <c r="X240" s="56">
        <v>2000</v>
      </c>
      <c r="Y240" s="56" t="s">
        <v>571</v>
      </c>
      <c r="Z240" s="56">
        <v>0.2</v>
      </c>
      <c r="AA240" s="56" t="s">
        <v>572</v>
      </c>
      <c r="AB240" s="56" t="s">
        <v>573</v>
      </c>
      <c r="AC240" s="56">
        <v>220</v>
      </c>
      <c r="AD240" s="277" t="s">
        <v>19</v>
      </c>
      <c r="AE240" s="277"/>
    </row>
    <row r="241" spans="1:31" ht="15.75" x14ac:dyDescent="0.25">
      <c r="A241" s="56" t="s">
        <v>601</v>
      </c>
      <c r="B241" s="56">
        <v>9</v>
      </c>
      <c r="C241" s="56">
        <v>547</v>
      </c>
      <c r="D241" s="56" t="s">
        <v>633</v>
      </c>
      <c r="E241" s="56">
        <v>1</v>
      </c>
      <c r="F241" s="278">
        <v>45747.573611111111</v>
      </c>
      <c r="G241" s="56">
        <v>1</v>
      </c>
      <c r="H241" s="56">
        <v>51.377400000000002</v>
      </c>
      <c r="I241" s="56">
        <v>9.9607799999999997</v>
      </c>
      <c r="J241" s="56">
        <v>9.2616490000000002</v>
      </c>
      <c r="K241" s="56">
        <v>10.725199999999999</v>
      </c>
      <c r="L241" s="56">
        <v>1027.05</v>
      </c>
      <c r="M241" s="56">
        <v>69.00085</v>
      </c>
      <c r="N241" s="274">
        <v>10858.87</v>
      </c>
      <c r="O241" s="56">
        <v>10865.27</v>
      </c>
      <c r="P241" s="275">
        <v>2067.2719999999999</v>
      </c>
      <c r="Q241" s="275">
        <f t="shared" si="1"/>
        <v>2055.1015454545454</v>
      </c>
      <c r="R241" s="275" t="s">
        <v>570</v>
      </c>
      <c r="S241" s="275">
        <v>10</v>
      </c>
      <c r="T241" s="275">
        <v>5</v>
      </c>
      <c r="U241" s="275">
        <v>0.7</v>
      </c>
      <c r="V241" s="275">
        <v>0.7</v>
      </c>
      <c r="W241" s="275">
        <v>0.7</v>
      </c>
      <c r="X241" s="56">
        <v>2000</v>
      </c>
      <c r="Y241" s="56" t="s">
        <v>571</v>
      </c>
      <c r="Z241" s="56">
        <v>0.2</v>
      </c>
      <c r="AA241" s="56" t="s">
        <v>572</v>
      </c>
      <c r="AB241" s="56" t="s">
        <v>573</v>
      </c>
      <c r="AC241" s="56">
        <v>220</v>
      </c>
      <c r="AD241" s="277" t="s">
        <v>19</v>
      </c>
      <c r="AE241" s="277"/>
    </row>
    <row r="242" spans="1:31" ht="15.75" x14ac:dyDescent="0.25">
      <c r="A242" s="56" t="s">
        <v>603</v>
      </c>
      <c r="B242" s="56">
        <v>10</v>
      </c>
      <c r="C242" s="56">
        <v>548</v>
      </c>
      <c r="D242" s="56" t="s">
        <v>637</v>
      </c>
      <c r="E242" s="56">
        <v>1</v>
      </c>
      <c r="F242" s="278">
        <v>45747.57708333333</v>
      </c>
      <c r="G242" s="56">
        <v>1</v>
      </c>
      <c r="H242" s="56">
        <v>51.374099999999999</v>
      </c>
      <c r="I242" s="56">
        <v>9.9249700000000001</v>
      </c>
      <c r="J242" s="56">
        <v>9.3352550000000001</v>
      </c>
      <c r="K242" s="56">
        <v>10.865740000000001</v>
      </c>
      <c r="L242" s="56">
        <v>1069.72</v>
      </c>
      <c r="M242" s="56">
        <v>69.000569999999996</v>
      </c>
      <c r="N242" s="274">
        <v>10929.64</v>
      </c>
      <c r="O242" s="56">
        <v>10932.26</v>
      </c>
      <c r="P242" s="275">
        <v>2079.7570000000001</v>
      </c>
      <c r="Q242" s="275">
        <f t="shared" si="1"/>
        <v>2066.2342727272726</v>
      </c>
      <c r="R242" s="275" t="s">
        <v>570</v>
      </c>
      <c r="S242" s="275">
        <v>10</v>
      </c>
      <c r="T242" s="275">
        <v>5</v>
      </c>
      <c r="U242" s="275">
        <v>0.7</v>
      </c>
      <c r="V242" s="275">
        <v>0.7</v>
      </c>
      <c r="W242" s="275">
        <v>0.7</v>
      </c>
      <c r="X242" s="56">
        <v>2000</v>
      </c>
      <c r="Y242" s="56" t="s">
        <v>571</v>
      </c>
      <c r="Z242" s="56">
        <v>0.2</v>
      </c>
      <c r="AA242" s="56" t="s">
        <v>572</v>
      </c>
      <c r="AB242" s="56" t="s">
        <v>573</v>
      </c>
      <c r="AC242" s="56">
        <v>220</v>
      </c>
      <c r="AD242" s="277" t="s">
        <v>19</v>
      </c>
      <c r="AE242" s="277"/>
    </row>
    <row r="243" spans="1:31" ht="15.75" x14ac:dyDescent="0.25">
      <c r="A243" s="56" t="s">
        <v>605</v>
      </c>
      <c r="B243" s="56">
        <v>10</v>
      </c>
      <c r="C243" s="56">
        <v>548</v>
      </c>
      <c r="D243" s="56" t="s">
        <v>637</v>
      </c>
      <c r="E243" s="56">
        <v>1</v>
      </c>
      <c r="F243" s="278">
        <v>45747.579861111109</v>
      </c>
      <c r="G243" s="56">
        <v>1</v>
      </c>
      <c r="H243" s="56">
        <v>51.374099999999999</v>
      </c>
      <c r="I243" s="56">
        <v>9.8527400000000007</v>
      </c>
      <c r="J243" s="56">
        <v>9.3297609999999995</v>
      </c>
      <c r="K243" s="56">
        <v>10.621829999999999</v>
      </c>
      <c r="L243" s="56">
        <v>1031.56</v>
      </c>
      <c r="M243" s="56">
        <v>71.999979999999994</v>
      </c>
      <c r="N243" s="274">
        <v>10934.89</v>
      </c>
      <c r="O243" s="56">
        <v>10932.26</v>
      </c>
      <c r="P243" s="275">
        <v>2079.7570000000001</v>
      </c>
      <c r="Q243" s="275">
        <f t="shared" si="1"/>
        <v>2066.2342727272726</v>
      </c>
      <c r="R243" s="275" t="s">
        <v>570</v>
      </c>
      <c r="S243" s="275">
        <v>10</v>
      </c>
      <c r="T243" s="275">
        <v>5</v>
      </c>
      <c r="U243" s="275">
        <v>0.7</v>
      </c>
      <c r="V243" s="275">
        <v>0.7</v>
      </c>
      <c r="W243" s="275">
        <v>0.7</v>
      </c>
      <c r="X243" s="56">
        <v>2000</v>
      </c>
      <c r="Y243" s="56" t="s">
        <v>571</v>
      </c>
      <c r="Z243" s="56">
        <v>0.2</v>
      </c>
      <c r="AA243" s="56" t="s">
        <v>572</v>
      </c>
      <c r="AB243" s="56" t="s">
        <v>573</v>
      </c>
      <c r="AC243" s="56">
        <v>220</v>
      </c>
      <c r="AD243" s="277" t="s">
        <v>19</v>
      </c>
      <c r="AE243" s="277"/>
    </row>
    <row r="244" spans="1:31" ht="15.75" x14ac:dyDescent="0.25">
      <c r="A244" s="289" t="s">
        <v>607</v>
      </c>
      <c r="B244" s="289">
        <v>11</v>
      </c>
      <c r="C244" s="289" t="s">
        <v>534</v>
      </c>
      <c r="D244" s="289" t="s">
        <v>569</v>
      </c>
      <c r="E244" s="289">
        <v>1</v>
      </c>
      <c r="F244" s="290">
        <v>45747.583333333336</v>
      </c>
      <c r="G244" s="289">
        <v>1</v>
      </c>
      <c r="H244" s="289">
        <v>51.377400000000002</v>
      </c>
      <c r="I244" s="289">
        <v>9.8920700000000004</v>
      </c>
      <c r="J244" s="289">
        <v>9.2858359999999998</v>
      </c>
      <c r="K244" s="289">
        <v>11.59304</v>
      </c>
      <c r="L244" s="289">
        <v>1067.6300000000001</v>
      </c>
      <c r="M244" s="289">
        <v>62.99926</v>
      </c>
      <c r="N244" s="291">
        <v>11027.57</v>
      </c>
      <c r="O244" s="289">
        <v>11069.91</v>
      </c>
      <c r="P244" s="292">
        <v>2105.41</v>
      </c>
      <c r="Q244" s="292">
        <f>(P216/P244)*P244</f>
        <v>2090.5349999999999</v>
      </c>
      <c r="R244" s="292" t="s">
        <v>584</v>
      </c>
      <c r="S244" s="292">
        <v>10</v>
      </c>
      <c r="T244" s="292">
        <v>5</v>
      </c>
      <c r="U244" s="292">
        <v>0.7</v>
      </c>
      <c r="V244" s="292">
        <v>0.7</v>
      </c>
      <c r="W244" s="292">
        <v>0.7</v>
      </c>
      <c r="X244" s="289">
        <v>2000</v>
      </c>
      <c r="Y244" s="289" t="s">
        <v>571</v>
      </c>
      <c r="Z244" s="289">
        <v>0.2</v>
      </c>
      <c r="AA244" s="289" t="s">
        <v>572</v>
      </c>
      <c r="AB244" s="289" t="s">
        <v>573</v>
      </c>
      <c r="AC244" s="289">
        <v>220</v>
      </c>
      <c r="AD244" s="277" t="s">
        <v>19</v>
      </c>
      <c r="AE244" s="293"/>
    </row>
    <row r="245" spans="1:31" ht="15.75" x14ac:dyDescent="0.25">
      <c r="A245" s="289" t="s">
        <v>611</v>
      </c>
      <c r="B245" s="289">
        <v>11</v>
      </c>
      <c r="C245" s="289" t="s">
        <v>534</v>
      </c>
      <c r="D245" s="289" t="s">
        <v>569</v>
      </c>
      <c r="E245" s="289">
        <v>1</v>
      </c>
      <c r="F245" s="290">
        <v>45747.586111111108</v>
      </c>
      <c r="G245" s="289">
        <v>1</v>
      </c>
      <c r="H245" s="289">
        <v>51.374099999999999</v>
      </c>
      <c r="I245" s="289">
        <v>9.8321400000000008</v>
      </c>
      <c r="J245" s="289">
        <v>9.3158270000000005</v>
      </c>
      <c r="K245" s="289">
        <v>10.97059</v>
      </c>
      <c r="L245" s="289">
        <v>1060.02</v>
      </c>
      <c r="M245" s="289">
        <v>72.499849999999995</v>
      </c>
      <c r="N245" s="291">
        <v>11067.91</v>
      </c>
      <c r="O245" s="289">
        <v>11069.91</v>
      </c>
      <c r="P245" s="292">
        <v>2105.41</v>
      </c>
      <c r="Q245" s="292">
        <f>(P216/P245)*P245</f>
        <v>2090.5349999999999</v>
      </c>
      <c r="R245" s="292" t="s">
        <v>570</v>
      </c>
      <c r="S245" s="292">
        <v>10</v>
      </c>
      <c r="T245" s="292">
        <v>5</v>
      </c>
      <c r="U245" s="292">
        <v>0.7</v>
      </c>
      <c r="V245" s="292">
        <v>0.7</v>
      </c>
      <c r="W245" s="292">
        <v>0.7</v>
      </c>
      <c r="X245" s="289">
        <v>2000</v>
      </c>
      <c r="Y245" s="289" t="s">
        <v>571</v>
      </c>
      <c r="Z245" s="289">
        <v>0.2</v>
      </c>
      <c r="AA245" s="289" t="s">
        <v>572</v>
      </c>
      <c r="AB245" s="289" t="s">
        <v>573</v>
      </c>
      <c r="AC245" s="289">
        <v>220</v>
      </c>
      <c r="AD245" s="277" t="s">
        <v>19</v>
      </c>
      <c r="AE245" s="293"/>
    </row>
    <row r="246" spans="1:31" ht="15.75" x14ac:dyDescent="0.25">
      <c r="A246" s="289" t="s">
        <v>612</v>
      </c>
      <c r="B246" s="289">
        <v>11</v>
      </c>
      <c r="C246" s="289" t="s">
        <v>534</v>
      </c>
      <c r="D246" s="289" t="s">
        <v>569</v>
      </c>
      <c r="E246" s="289">
        <v>1</v>
      </c>
      <c r="F246" s="290">
        <v>45747.588888888888</v>
      </c>
      <c r="G246" s="289">
        <v>1</v>
      </c>
      <c r="H246" s="289">
        <v>51.374099999999999</v>
      </c>
      <c r="I246" s="289">
        <v>9.8486700000000003</v>
      </c>
      <c r="J246" s="289">
        <v>9.216761</v>
      </c>
      <c r="K246" s="289">
        <v>10.985519999999999</v>
      </c>
      <c r="L246" s="289">
        <v>1055.58</v>
      </c>
      <c r="M246" s="289">
        <v>67.999340000000004</v>
      </c>
      <c r="N246" s="291">
        <v>11071.92</v>
      </c>
      <c r="O246" s="289">
        <v>11069.91</v>
      </c>
      <c r="P246" s="292">
        <v>2105.41</v>
      </c>
      <c r="Q246" s="292">
        <f>(P216/P246)*P246</f>
        <v>2090.5349999999999</v>
      </c>
      <c r="R246" s="292" t="s">
        <v>570</v>
      </c>
      <c r="S246" s="292">
        <v>10</v>
      </c>
      <c r="T246" s="292">
        <v>5</v>
      </c>
      <c r="U246" s="292">
        <v>0.7</v>
      </c>
      <c r="V246" s="292">
        <v>0.7</v>
      </c>
      <c r="W246" s="292">
        <v>0.7</v>
      </c>
      <c r="X246" s="289">
        <v>2000</v>
      </c>
      <c r="Y246" s="289" t="s">
        <v>571</v>
      </c>
      <c r="Z246" s="289">
        <v>0.2</v>
      </c>
      <c r="AA246" s="289" t="s">
        <v>572</v>
      </c>
      <c r="AB246" s="289" t="s">
        <v>573</v>
      </c>
      <c r="AC246" s="289">
        <v>220</v>
      </c>
      <c r="AD246" s="277" t="s">
        <v>19</v>
      </c>
      <c r="AE246" s="293"/>
    </row>
    <row r="247" spans="1:31" ht="15.75" x14ac:dyDescent="0.25">
      <c r="A247" s="56" t="s">
        <v>702</v>
      </c>
      <c r="B247" s="56" t="s">
        <v>583</v>
      </c>
      <c r="C247" s="56" t="s">
        <v>534</v>
      </c>
      <c r="D247" s="56" t="s">
        <v>569</v>
      </c>
      <c r="E247" s="56">
        <v>0.8</v>
      </c>
      <c r="F247" s="278">
        <v>45747.591666666667</v>
      </c>
      <c r="G247" s="56">
        <v>1</v>
      </c>
      <c r="H247" s="56">
        <v>51.377400000000002</v>
      </c>
      <c r="I247" s="56">
        <v>9.8507300000000004</v>
      </c>
      <c r="J247" s="56">
        <v>9.3324459999999991</v>
      </c>
      <c r="K247" s="56">
        <v>10.44651</v>
      </c>
      <c r="L247" s="56">
        <v>977.05600000000004</v>
      </c>
      <c r="M247" s="56">
        <v>80.001199999999997</v>
      </c>
      <c r="N247" s="274">
        <v>8845.5499999999993</v>
      </c>
      <c r="O247" s="56">
        <v>0</v>
      </c>
      <c r="P247" s="275">
        <v>2091.86</v>
      </c>
      <c r="Q247" s="275">
        <f t="shared" ref="Q247:Q299" si="2">P247</f>
        <v>2091.86</v>
      </c>
      <c r="R247" s="275" t="s">
        <v>609</v>
      </c>
      <c r="S247" s="275">
        <v>10</v>
      </c>
      <c r="T247" s="275">
        <v>5</v>
      </c>
      <c r="U247" s="275">
        <v>0.7</v>
      </c>
      <c r="V247" s="275">
        <v>0.7</v>
      </c>
      <c r="W247" s="275">
        <v>0.7</v>
      </c>
      <c r="X247" s="56">
        <v>2000</v>
      </c>
      <c r="Y247" s="56" t="s">
        <v>571</v>
      </c>
      <c r="Z247" s="56">
        <v>0.2</v>
      </c>
      <c r="AA247" s="56" t="s">
        <v>572</v>
      </c>
      <c r="AB247" s="56" t="s">
        <v>573</v>
      </c>
      <c r="AC247" s="56">
        <v>220</v>
      </c>
      <c r="AD247" s="277" t="s">
        <v>610</v>
      </c>
      <c r="AE247" s="277"/>
    </row>
    <row r="248" spans="1:31" ht="15.75" x14ac:dyDescent="0.25">
      <c r="A248" s="56" t="s">
        <v>703</v>
      </c>
      <c r="B248" s="56" t="s">
        <v>583</v>
      </c>
      <c r="C248" s="56" t="s">
        <v>534</v>
      </c>
      <c r="D248" s="56" t="s">
        <v>569</v>
      </c>
      <c r="E248" s="56">
        <v>0.8</v>
      </c>
      <c r="F248" s="278">
        <v>45747.594444444447</v>
      </c>
      <c r="G248" s="56">
        <v>1</v>
      </c>
      <c r="H248" s="56">
        <v>51.377400000000002</v>
      </c>
      <c r="I248" s="56">
        <v>9.8119599999999991</v>
      </c>
      <c r="J248" s="56">
        <v>9.3478340000000006</v>
      </c>
      <c r="K248" s="56">
        <v>10.72513</v>
      </c>
      <c r="L248" s="56">
        <v>983.56600000000003</v>
      </c>
      <c r="M248" s="56">
        <v>68.498509999999996</v>
      </c>
      <c r="N248" s="274">
        <v>8782.723</v>
      </c>
      <c r="O248" s="56">
        <v>0</v>
      </c>
      <c r="P248" s="275">
        <v>2091.86</v>
      </c>
      <c r="Q248" s="275">
        <f t="shared" si="2"/>
        <v>2091.86</v>
      </c>
      <c r="R248" s="275" t="s">
        <v>609</v>
      </c>
      <c r="S248" s="275">
        <v>10</v>
      </c>
      <c r="T248" s="275">
        <v>5</v>
      </c>
      <c r="U248" s="275">
        <v>0.7</v>
      </c>
      <c r="V248" s="275">
        <v>0.7</v>
      </c>
      <c r="W248" s="275">
        <v>0.7</v>
      </c>
      <c r="X248" s="56">
        <v>2000</v>
      </c>
      <c r="Y248" s="56" t="s">
        <v>571</v>
      </c>
      <c r="Z248" s="56">
        <v>0.2</v>
      </c>
      <c r="AA248" s="56" t="s">
        <v>572</v>
      </c>
      <c r="AB248" s="56" t="s">
        <v>573</v>
      </c>
      <c r="AC248" s="56">
        <v>220</v>
      </c>
      <c r="AD248" s="277" t="s">
        <v>610</v>
      </c>
      <c r="AE248" s="277"/>
    </row>
    <row r="249" spans="1:31" ht="15.75" x14ac:dyDescent="0.25">
      <c r="A249" s="56" t="s">
        <v>746</v>
      </c>
      <c r="B249" s="56" t="s">
        <v>583</v>
      </c>
      <c r="C249" s="56" t="s">
        <v>534</v>
      </c>
      <c r="D249" s="56" t="s">
        <v>569</v>
      </c>
      <c r="E249" s="56">
        <v>0.8</v>
      </c>
      <c r="F249" s="278">
        <v>45747.597222222219</v>
      </c>
      <c r="G249" s="56">
        <v>1</v>
      </c>
      <c r="H249" s="56">
        <v>51.377400000000002</v>
      </c>
      <c r="I249" s="56">
        <v>9.6354000000000006</v>
      </c>
      <c r="J249" s="56">
        <v>9.2873809999999999</v>
      </c>
      <c r="K249" s="56">
        <v>10.14345</v>
      </c>
      <c r="L249" s="56">
        <v>991.30200000000002</v>
      </c>
      <c r="M249" s="56">
        <v>79.999529999999993</v>
      </c>
      <c r="N249" s="274">
        <v>8833.0930000000008</v>
      </c>
      <c r="O249" s="56">
        <v>0</v>
      </c>
      <c r="P249" s="275">
        <v>2091.86</v>
      </c>
      <c r="Q249" s="275">
        <f t="shared" si="2"/>
        <v>2091.86</v>
      </c>
      <c r="R249" s="275" t="s">
        <v>609</v>
      </c>
      <c r="S249" s="275">
        <v>10</v>
      </c>
      <c r="T249" s="275">
        <v>5</v>
      </c>
      <c r="U249" s="275">
        <v>0.7</v>
      </c>
      <c r="V249" s="275">
        <v>0.7</v>
      </c>
      <c r="W249" s="275">
        <v>0.7</v>
      </c>
      <c r="X249" s="56">
        <v>2000</v>
      </c>
      <c r="Y249" s="56" t="s">
        <v>571</v>
      </c>
      <c r="Z249" s="56">
        <v>0.2</v>
      </c>
      <c r="AA249" s="56" t="s">
        <v>572</v>
      </c>
      <c r="AB249" s="56" t="s">
        <v>573</v>
      </c>
      <c r="AC249" s="56">
        <v>220</v>
      </c>
      <c r="AD249" s="277" t="s">
        <v>610</v>
      </c>
      <c r="AE249" s="277"/>
    </row>
    <row r="250" spans="1:31" ht="15.75" x14ac:dyDescent="0.25">
      <c r="A250" s="56" t="s">
        <v>747</v>
      </c>
      <c r="B250" s="56" t="s">
        <v>583</v>
      </c>
      <c r="C250" s="56" t="s">
        <v>534</v>
      </c>
      <c r="D250" s="56" t="s">
        <v>569</v>
      </c>
      <c r="E250" s="56">
        <v>0.8</v>
      </c>
      <c r="F250" s="278">
        <v>45747.6</v>
      </c>
      <c r="G250" s="56">
        <v>1</v>
      </c>
      <c r="H250" s="56">
        <v>51.377400000000002</v>
      </c>
      <c r="I250" s="56">
        <v>9.7764199999999999</v>
      </c>
      <c r="J250" s="56">
        <v>9.3702349999999992</v>
      </c>
      <c r="K250" s="56">
        <v>10.330399999999999</v>
      </c>
      <c r="L250" s="56">
        <v>978.36099999999999</v>
      </c>
      <c r="M250" s="56">
        <v>72.999960000000002</v>
      </c>
      <c r="N250" s="274">
        <v>8802.7639999999992</v>
      </c>
      <c r="O250" s="56">
        <v>0</v>
      </c>
      <c r="P250" s="275">
        <v>2091.86</v>
      </c>
      <c r="Q250" s="275">
        <f t="shared" si="2"/>
        <v>2091.86</v>
      </c>
      <c r="R250" s="275" t="s">
        <v>609</v>
      </c>
      <c r="S250" s="275">
        <v>10</v>
      </c>
      <c r="T250" s="275">
        <v>5</v>
      </c>
      <c r="U250" s="275">
        <v>0.7</v>
      </c>
      <c r="V250" s="275">
        <v>0.7</v>
      </c>
      <c r="W250" s="275">
        <v>0.7</v>
      </c>
      <c r="X250" s="56">
        <v>2000</v>
      </c>
      <c r="Y250" s="56" t="s">
        <v>571</v>
      </c>
      <c r="Z250" s="56">
        <v>0.2</v>
      </c>
      <c r="AA250" s="56" t="s">
        <v>572</v>
      </c>
      <c r="AB250" s="56" t="s">
        <v>573</v>
      </c>
      <c r="AC250" s="56">
        <v>220</v>
      </c>
      <c r="AD250" s="277" t="s">
        <v>610</v>
      </c>
      <c r="AE250" s="277"/>
    </row>
    <row r="251" spans="1:31" ht="15.75" x14ac:dyDescent="0.25">
      <c r="A251" s="56" t="s">
        <v>748</v>
      </c>
      <c r="B251" s="56" t="s">
        <v>583</v>
      </c>
      <c r="C251" s="56" t="s">
        <v>534</v>
      </c>
      <c r="D251" s="56" t="s">
        <v>569</v>
      </c>
      <c r="E251" s="56">
        <v>0.8</v>
      </c>
      <c r="F251" s="278">
        <v>45747.602777777778</v>
      </c>
      <c r="G251" s="56">
        <v>1</v>
      </c>
      <c r="H251" s="56">
        <v>51.374099999999999</v>
      </c>
      <c r="I251" s="56">
        <v>9.8035599999999992</v>
      </c>
      <c r="J251" s="56">
        <v>9.3395930000000007</v>
      </c>
      <c r="K251" s="56">
        <v>10.290139999999999</v>
      </c>
      <c r="L251" s="56">
        <v>1001.24</v>
      </c>
      <c r="M251" s="56">
        <v>72.998570000000001</v>
      </c>
      <c r="N251" s="274">
        <v>8821.4950000000008</v>
      </c>
      <c r="O251" s="56">
        <v>0</v>
      </c>
      <c r="P251" s="275">
        <v>2091.86</v>
      </c>
      <c r="Q251" s="275">
        <f t="shared" si="2"/>
        <v>2091.86</v>
      </c>
      <c r="R251" s="275" t="s">
        <v>609</v>
      </c>
      <c r="S251" s="275">
        <v>10</v>
      </c>
      <c r="T251" s="275">
        <v>5</v>
      </c>
      <c r="U251" s="275">
        <v>0.7</v>
      </c>
      <c r="V251" s="275">
        <v>0.7</v>
      </c>
      <c r="W251" s="275">
        <v>0.7</v>
      </c>
      <c r="X251" s="56">
        <v>2000</v>
      </c>
      <c r="Y251" s="56" t="s">
        <v>571</v>
      </c>
      <c r="Z251" s="56">
        <v>0.2</v>
      </c>
      <c r="AA251" s="56" t="s">
        <v>572</v>
      </c>
      <c r="AB251" s="56" t="s">
        <v>573</v>
      </c>
      <c r="AC251" s="56">
        <v>220</v>
      </c>
      <c r="AD251" s="277" t="s">
        <v>610</v>
      </c>
      <c r="AE251" s="277"/>
    </row>
    <row r="252" spans="1:31" ht="15.75" x14ac:dyDescent="0.25">
      <c r="A252" s="56" t="s">
        <v>749</v>
      </c>
      <c r="B252" s="56" t="s">
        <v>583</v>
      </c>
      <c r="C252" s="56" t="s">
        <v>534</v>
      </c>
      <c r="D252" s="56" t="s">
        <v>569</v>
      </c>
      <c r="E252" s="56">
        <v>0.8</v>
      </c>
      <c r="F252" s="278">
        <v>45747.605555555558</v>
      </c>
      <c r="G252" s="56">
        <v>2</v>
      </c>
      <c r="H252" s="56">
        <v>51.370800000000003</v>
      </c>
      <c r="I252" s="56">
        <v>9.9329400000000003</v>
      </c>
      <c r="J252" s="56">
        <v>9.4812999999999992</v>
      </c>
      <c r="K252" s="56">
        <v>11.126609999999999</v>
      </c>
      <c r="L252" s="56">
        <v>984.04100000000005</v>
      </c>
      <c r="M252" s="56">
        <v>63.499600000000001</v>
      </c>
      <c r="N252" s="274">
        <v>8780.91</v>
      </c>
      <c r="O252" s="56">
        <v>8820.8140000000003</v>
      </c>
      <c r="P252" s="275">
        <v>2091.86</v>
      </c>
      <c r="Q252" s="275">
        <f t="shared" si="2"/>
        <v>2091.86</v>
      </c>
      <c r="R252" s="275" t="s">
        <v>584</v>
      </c>
      <c r="S252" s="275">
        <v>10</v>
      </c>
      <c r="T252" s="275">
        <v>5</v>
      </c>
      <c r="U252" s="275">
        <v>0.7</v>
      </c>
      <c r="V252" s="275">
        <v>0.7</v>
      </c>
      <c r="W252" s="275">
        <v>0.7</v>
      </c>
      <c r="X252" s="56">
        <v>2000</v>
      </c>
      <c r="Y252" s="56" t="s">
        <v>571</v>
      </c>
      <c r="Z252" s="56">
        <v>0.2</v>
      </c>
      <c r="AA252" s="56" t="s">
        <v>572</v>
      </c>
      <c r="AB252" s="56" t="s">
        <v>573</v>
      </c>
      <c r="AC252" s="56">
        <v>220</v>
      </c>
      <c r="AD252" s="277" t="s">
        <v>19</v>
      </c>
      <c r="AE252" s="277"/>
    </row>
    <row r="253" spans="1:31" ht="15.75" x14ac:dyDescent="0.25">
      <c r="A253" s="56" t="s">
        <v>750</v>
      </c>
      <c r="B253" s="56" t="s">
        <v>583</v>
      </c>
      <c r="C253" s="56" t="s">
        <v>534</v>
      </c>
      <c r="D253" s="56" t="s">
        <v>569</v>
      </c>
      <c r="E253" s="56">
        <v>0.8</v>
      </c>
      <c r="F253" s="278">
        <v>45747.60833333333</v>
      </c>
      <c r="G253" s="56">
        <v>2</v>
      </c>
      <c r="H253" s="56">
        <v>51.377400000000002</v>
      </c>
      <c r="I253" s="56">
        <v>9.7904800000000005</v>
      </c>
      <c r="J253" s="56">
        <v>9.4400510000000004</v>
      </c>
      <c r="K253" s="56">
        <v>10.41366</v>
      </c>
      <c r="L253" s="56">
        <v>1002.61</v>
      </c>
      <c r="M253" s="56">
        <v>70.999390000000005</v>
      </c>
      <c r="N253" s="274">
        <v>8814.8970000000008</v>
      </c>
      <c r="O253" s="56">
        <v>8820.8140000000003</v>
      </c>
      <c r="P253" s="275">
        <v>2091.86</v>
      </c>
      <c r="Q253" s="275">
        <f t="shared" si="2"/>
        <v>2091.86</v>
      </c>
      <c r="R253" s="275" t="s">
        <v>570</v>
      </c>
      <c r="S253" s="275">
        <v>10</v>
      </c>
      <c r="T253" s="275">
        <v>5</v>
      </c>
      <c r="U253" s="275">
        <v>0.7</v>
      </c>
      <c r="V253" s="275">
        <v>0.7</v>
      </c>
      <c r="W253" s="275">
        <v>0.7</v>
      </c>
      <c r="X253" s="56">
        <v>2000</v>
      </c>
      <c r="Y253" s="56" t="s">
        <v>571</v>
      </c>
      <c r="Z253" s="56">
        <v>0.2</v>
      </c>
      <c r="AA253" s="56" t="s">
        <v>572</v>
      </c>
      <c r="AB253" s="56" t="s">
        <v>573</v>
      </c>
      <c r="AC253" s="56">
        <v>220</v>
      </c>
      <c r="AD253" s="277" t="s">
        <v>19</v>
      </c>
      <c r="AE253" s="277"/>
    </row>
    <row r="254" spans="1:31" ht="15.75" x14ac:dyDescent="0.25">
      <c r="A254" s="56" t="s">
        <v>751</v>
      </c>
      <c r="B254" s="56" t="s">
        <v>583</v>
      </c>
      <c r="C254" s="56" t="s">
        <v>534</v>
      </c>
      <c r="D254" s="56" t="s">
        <v>569</v>
      </c>
      <c r="E254" s="56">
        <v>0.8</v>
      </c>
      <c r="F254" s="278">
        <v>45747.611111111109</v>
      </c>
      <c r="G254" s="56">
        <v>2</v>
      </c>
      <c r="H254" s="56">
        <v>51.377400000000002</v>
      </c>
      <c r="I254" s="56">
        <v>9.8034999999999997</v>
      </c>
      <c r="J254" s="56">
        <v>9.4231219999999993</v>
      </c>
      <c r="K254" s="56">
        <v>10.44143</v>
      </c>
      <c r="L254" s="56">
        <v>985.53800000000001</v>
      </c>
      <c r="M254" s="56">
        <v>71.500079999999997</v>
      </c>
      <c r="N254" s="274">
        <v>8826.7309999999998</v>
      </c>
      <c r="O254" s="56">
        <v>8820.8140000000003</v>
      </c>
      <c r="P254" s="275">
        <v>2091.86</v>
      </c>
      <c r="Q254" s="275">
        <f t="shared" si="2"/>
        <v>2091.86</v>
      </c>
      <c r="R254" s="275" t="s">
        <v>570</v>
      </c>
      <c r="S254" s="275">
        <v>10</v>
      </c>
      <c r="T254" s="275">
        <v>5</v>
      </c>
      <c r="U254" s="275">
        <v>0.7</v>
      </c>
      <c r="V254" s="275">
        <v>0.7</v>
      </c>
      <c r="W254" s="275">
        <v>0.7</v>
      </c>
      <c r="X254" s="56">
        <v>2000</v>
      </c>
      <c r="Y254" s="56" t="s">
        <v>571</v>
      </c>
      <c r="Z254" s="56">
        <v>0.2</v>
      </c>
      <c r="AA254" s="56" t="s">
        <v>572</v>
      </c>
      <c r="AB254" s="56" t="s">
        <v>573</v>
      </c>
      <c r="AC254" s="56">
        <v>220</v>
      </c>
      <c r="AD254" s="277" t="s">
        <v>19</v>
      </c>
      <c r="AE254" s="277"/>
    </row>
    <row r="255" spans="1:31" ht="15.75" x14ac:dyDescent="0.25">
      <c r="A255" s="56" t="s">
        <v>704</v>
      </c>
      <c r="B255" s="56" t="s">
        <v>589</v>
      </c>
      <c r="C255" s="56" t="s">
        <v>534</v>
      </c>
      <c r="D255" s="56" t="s">
        <v>569</v>
      </c>
      <c r="E255" s="56">
        <v>1</v>
      </c>
      <c r="F255" s="278">
        <v>45747.613888888889</v>
      </c>
      <c r="G255" s="56">
        <v>1</v>
      </c>
      <c r="H255" s="56">
        <v>51.377400000000002</v>
      </c>
      <c r="I255" s="56">
        <v>9.6234400000000004</v>
      </c>
      <c r="J255" s="56">
        <v>9.3216319999999993</v>
      </c>
      <c r="K255" s="56">
        <v>11.148149999999999</v>
      </c>
      <c r="L255" s="56">
        <v>1079.6600000000001</v>
      </c>
      <c r="M255" s="56">
        <v>68.999510000000001</v>
      </c>
      <c r="N255" s="274">
        <v>11040.54</v>
      </c>
      <c r="O255" s="56">
        <v>11061.04</v>
      </c>
      <c r="P255" s="275">
        <v>2091.86</v>
      </c>
      <c r="Q255" s="275">
        <f t="shared" si="2"/>
        <v>2091.86</v>
      </c>
      <c r="R255" s="275" t="s">
        <v>584</v>
      </c>
      <c r="S255" s="275">
        <v>10</v>
      </c>
      <c r="T255" s="275">
        <v>5</v>
      </c>
      <c r="U255" s="275">
        <v>0.7</v>
      </c>
      <c r="V255" s="275">
        <v>0.7</v>
      </c>
      <c r="W255" s="275">
        <v>0.7</v>
      </c>
      <c r="X255" s="56">
        <v>2000</v>
      </c>
      <c r="Y255" s="56" t="s">
        <v>571</v>
      </c>
      <c r="Z255" s="56">
        <v>0.2</v>
      </c>
      <c r="AA255" s="56" t="s">
        <v>572</v>
      </c>
      <c r="AB255" s="56" t="s">
        <v>573</v>
      </c>
      <c r="AC255" s="56">
        <v>220</v>
      </c>
      <c r="AD255" s="277" t="s">
        <v>19</v>
      </c>
      <c r="AE255" s="277"/>
    </row>
    <row r="256" spans="1:31" ht="15.75" x14ac:dyDescent="0.25">
      <c r="A256" s="56" t="s">
        <v>705</v>
      </c>
      <c r="B256" s="56" t="s">
        <v>589</v>
      </c>
      <c r="C256" s="56" t="s">
        <v>534</v>
      </c>
      <c r="D256" s="56" t="s">
        <v>569</v>
      </c>
      <c r="E256" s="56">
        <v>1</v>
      </c>
      <c r="F256" s="278">
        <v>45747.616666666669</v>
      </c>
      <c r="G256" s="56">
        <v>1</v>
      </c>
      <c r="H256" s="56">
        <v>51.374099999999999</v>
      </c>
      <c r="I256" s="56">
        <v>9.6867900000000002</v>
      </c>
      <c r="J256" s="56">
        <v>9.4099869999999992</v>
      </c>
      <c r="K256" s="56">
        <v>10.66056</v>
      </c>
      <c r="L256" s="56">
        <v>1076.8800000000001</v>
      </c>
      <c r="M256" s="56">
        <v>79.000069999999994</v>
      </c>
      <c r="N256" s="274">
        <v>11068.14</v>
      </c>
      <c r="O256" s="56">
        <v>11061.04</v>
      </c>
      <c r="P256" s="275">
        <v>2091.86</v>
      </c>
      <c r="Q256" s="275">
        <f t="shared" si="2"/>
        <v>2091.86</v>
      </c>
      <c r="R256" s="275" t="s">
        <v>570</v>
      </c>
      <c r="S256" s="275">
        <v>10</v>
      </c>
      <c r="T256" s="275">
        <v>5</v>
      </c>
      <c r="U256" s="275">
        <v>0.7</v>
      </c>
      <c r="V256" s="275">
        <v>0.7</v>
      </c>
      <c r="W256" s="275">
        <v>0.7</v>
      </c>
      <c r="X256" s="56">
        <v>2000</v>
      </c>
      <c r="Y256" s="56" t="s">
        <v>571</v>
      </c>
      <c r="Z256" s="56">
        <v>0.2</v>
      </c>
      <c r="AA256" s="56" t="s">
        <v>572</v>
      </c>
      <c r="AB256" s="56" t="s">
        <v>573</v>
      </c>
      <c r="AC256" s="56">
        <v>220</v>
      </c>
      <c r="AD256" s="277" t="s">
        <v>19</v>
      </c>
      <c r="AE256" s="277"/>
    </row>
    <row r="257" spans="1:31" ht="15.75" x14ac:dyDescent="0.25">
      <c r="A257" s="56" t="s">
        <v>752</v>
      </c>
      <c r="B257" s="56" t="s">
        <v>589</v>
      </c>
      <c r="C257" s="56" t="s">
        <v>534</v>
      </c>
      <c r="D257" s="56" t="s">
        <v>569</v>
      </c>
      <c r="E257" s="56">
        <v>1</v>
      </c>
      <c r="F257" s="278">
        <v>45747.619444444441</v>
      </c>
      <c r="G257" s="56">
        <v>1</v>
      </c>
      <c r="H257" s="56">
        <v>51.370800000000003</v>
      </c>
      <c r="I257" s="56">
        <v>9.7299900000000008</v>
      </c>
      <c r="J257" s="56">
        <v>9.2527729999999995</v>
      </c>
      <c r="K257" s="56">
        <v>10.43843</v>
      </c>
      <c r="L257" s="56">
        <v>1056.72</v>
      </c>
      <c r="M257" s="56">
        <v>79.000029999999995</v>
      </c>
      <c r="N257" s="274">
        <v>11053.95</v>
      </c>
      <c r="O257" s="56">
        <v>11061.04</v>
      </c>
      <c r="P257" s="275">
        <v>2091.86</v>
      </c>
      <c r="Q257" s="275">
        <f t="shared" si="2"/>
        <v>2091.86</v>
      </c>
      <c r="R257" s="275" t="s">
        <v>570</v>
      </c>
      <c r="S257" s="275">
        <v>10</v>
      </c>
      <c r="T257" s="275">
        <v>5</v>
      </c>
      <c r="U257" s="275">
        <v>0.7</v>
      </c>
      <c r="V257" s="275">
        <v>0.7</v>
      </c>
      <c r="W257" s="275">
        <v>0.7</v>
      </c>
      <c r="X257" s="56">
        <v>2000</v>
      </c>
      <c r="Y257" s="56" t="s">
        <v>571</v>
      </c>
      <c r="Z257" s="56">
        <v>0.2</v>
      </c>
      <c r="AA257" s="56" t="s">
        <v>572</v>
      </c>
      <c r="AB257" s="56" t="s">
        <v>573</v>
      </c>
      <c r="AC257" s="56">
        <v>220</v>
      </c>
      <c r="AD257" s="277" t="s">
        <v>19</v>
      </c>
      <c r="AE257" s="277"/>
    </row>
    <row r="258" spans="1:31" ht="15.75" x14ac:dyDescent="0.25">
      <c r="A258" s="56" t="s">
        <v>706</v>
      </c>
      <c r="B258" s="56" t="s">
        <v>594</v>
      </c>
      <c r="C258" s="56" t="s">
        <v>534</v>
      </c>
      <c r="D258" s="56" t="s">
        <v>569</v>
      </c>
      <c r="E258" s="56">
        <v>1.2</v>
      </c>
      <c r="F258" s="278">
        <v>45747.62222222222</v>
      </c>
      <c r="G258" s="56">
        <v>1</v>
      </c>
      <c r="H258" s="56">
        <v>51.374099999999999</v>
      </c>
      <c r="I258" s="56">
        <v>9.8097399999999997</v>
      </c>
      <c r="J258" s="56">
        <v>9.3977310000000003</v>
      </c>
      <c r="K258" s="56">
        <v>10.95754</v>
      </c>
      <c r="L258" s="56">
        <v>1090.77</v>
      </c>
      <c r="M258" s="56">
        <v>78.49924</v>
      </c>
      <c r="N258" s="274">
        <v>13272.55</v>
      </c>
      <c r="O258" s="56">
        <v>13271.11</v>
      </c>
      <c r="P258" s="275">
        <v>2091.86</v>
      </c>
      <c r="Q258" s="275">
        <f t="shared" si="2"/>
        <v>2091.86</v>
      </c>
      <c r="R258" s="275" t="s">
        <v>570</v>
      </c>
      <c r="S258" s="275">
        <v>10</v>
      </c>
      <c r="T258" s="275">
        <v>5</v>
      </c>
      <c r="U258" s="275">
        <v>0.7</v>
      </c>
      <c r="V258" s="275">
        <v>0.7</v>
      </c>
      <c r="W258" s="275">
        <v>0.7</v>
      </c>
      <c r="X258" s="56">
        <v>2000</v>
      </c>
      <c r="Y258" s="56" t="s">
        <v>571</v>
      </c>
      <c r="Z258" s="56">
        <v>0.2</v>
      </c>
      <c r="AA258" s="56" t="s">
        <v>572</v>
      </c>
      <c r="AB258" s="56" t="s">
        <v>573</v>
      </c>
      <c r="AC258" s="56">
        <v>220</v>
      </c>
      <c r="AD258" s="277" t="s">
        <v>19</v>
      </c>
      <c r="AE258" s="277"/>
    </row>
    <row r="259" spans="1:31" ht="15.75" x14ac:dyDescent="0.25">
      <c r="A259" s="56" t="s">
        <v>707</v>
      </c>
      <c r="B259" s="56" t="s">
        <v>594</v>
      </c>
      <c r="C259" s="56" t="s">
        <v>534</v>
      </c>
      <c r="D259" s="56" t="s">
        <v>569</v>
      </c>
      <c r="E259" s="56">
        <v>1.2</v>
      </c>
      <c r="F259" s="278">
        <v>45747.625</v>
      </c>
      <c r="G259" s="56">
        <v>1</v>
      </c>
      <c r="H259" s="56">
        <v>51.377400000000002</v>
      </c>
      <c r="I259" s="56">
        <v>9.71739</v>
      </c>
      <c r="J259" s="56">
        <v>9.4289749999999994</v>
      </c>
      <c r="K259" s="56">
        <v>10.76484</v>
      </c>
      <c r="L259" s="56">
        <v>1098.8499999999999</v>
      </c>
      <c r="M259" s="56">
        <v>83.500060000000005</v>
      </c>
      <c r="N259" s="274">
        <v>13269.66</v>
      </c>
      <c r="O259" s="56">
        <v>13271.11</v>
      </c>
      <c r="P259" s="275">
        <v>2091.86</v>
      </c>
      <c r="Q259" s="275">
        <f t="shared" si="2"/>
        <v>2091.86</v>
      </c>
      <c r="R259" s="275" t="s">
        <v>570</v>
      </c>
      <c r="S259" s="275">
        <v>10</v>
      </c>
      <c r="T259" s="275">
        <v>5</v>
      </c>
      <c r="U259" s="275">
        <v>0.7</v>
      </c>
      <c r="V259" s="275">
        <v>0.7</v>
      </c>
      <c r="W259" s="275">
        <v>0.7</v>
      </c>
      <c r="X259" s="56">
        <v>2000</v>
      </c>
      <c r="Y259" s="56" t="s">
        <v>571</v>
      </c>
      <c r="Z259" s="56">
        <v>0.2</v>
      </c>
      <c r="AA259" s="56" t="s">
        <v>572</v>
      </c>
      <c r="AB259" s="56" t="s">
        <v>573</v>
      </c>
      <c r="AC259" s="56">
        <v>220</v>
      </c>
      <c r="AD259" s="277" t="s">
        <v>19</v>
      </c>
      <c r="AE259" s="277"/>
    </row>
    <row r="260" spans="1:31" ht="15.75" x14ac:dyDescent="0.25">
      <c r="A260" s="56" t="s">
        <v>622</v>
      </c>
      <c r="B260" s="56">
        <v>2</v>
      </c>
      <c r="C260" s="56" t="s">
        <v>534</v>
      </c>
      <c r="D260" s="56" t="s">
        <v>569</v>
      </c>
      <c r="E260" s="56">
        <v>1</v>
      </c>
      <c r="F260" s="278">
        <v>45747.628472222219</v>
      </c>
      <c r="G260" s="56">
        <v>1</v>
      </c>
      <c r="H260" s="56">
        <v>51.377400000000002</v>
      </c>
      <c r="I260" s="56">
        <v>9.7836999999999996</v>
      </c>
      <c r="J260" s="56">
        <v>9.4399189999999997</v>
      </c>
      <c r="K260" s="56">
        <v>11.38317</v>
      </c>
      <c r="L260" s="56">
        <v>1060.43</v>
      </c>
      <c r="M260" s="56">
        <v>65.000680000000003</v>
      </c>
      <c r="N260" s="274">
        <v>11009.54</v>
      </c>
      <c r="O260" s="56">
        <v>11042.6</v>
      </c>
      <c r="P260" s="275">
        <v>2090.2840000000001</v>
      </c>
      <c r="Q260" s="275">
        <f t="shared" si="2"/>
        <v>2090.2840000000001</v>
      </c>
      <c r="R260" s="275" t="s">
        <v>584</v>
      </c>
      <c r="S260" s="275">
        <v>10</v>
      </c>
      <c r="T260" s="275">
        <v>5</v>
      </c>
      <c r="U260" s="275">
        <v>0.7</v>
      </c>
      <c r="V260" s="275">
        <v>0.7</v>
      </c>
      <c r="W260" s="275">
        <v>0.7</v>
      </c>
      <c r="X260" s="56">
        <v>2000</v>
      </c>
      <c r="Y260" s="56" t="s">
        <v>571</v>
      </c>
      <c r="Z260" s="56">
        <v>0.2</v>
      </c>
      <c r="AA260" s="56" t="s">
        <v>572</v>
      </c>
      <c r="AB260" s="56" t="s">
        <v>573</v>
      </c>
      <c r="AC260" s="56">
        <v>220</v>
      </c>
      <c r="AD260" s="277" t="s">
        <v>19</v>
      </c>
      <c r="AE260" s="277"/>
    </row>
    <row r="261" spans="1:31" ht="15.75" x14ac:dyDescent="0.25">
      <c r="A261" s="280" t="s">
        <v>624</v>
      </c>
      <c r="B261" s="280">
        <v>2</v>
      </c>
      <c r="C261" s="280" t="s">
        <v>534</v>
      </c>
      <c r="D261" s="280" t="s">
        <v>569</v>
      </c>
      <c r="E261" s="280">
        <v>1</v>
      </c>
      <c r="F261" s="281">
        <v>45747.631249999999</v>
      </c>
      <c r="G261" s="280">
        <v>1</v>
      </c>
      <c r="H261" s="280">
        <v>51.374099999999999</v>
      </c>
      <c r="I261" s="280">
        <v>9.8071099999999998</v>
      </c>
      <c r="J261" s="280">
        <v>9.4191929999999999</v>
      </c>
      <c r="K261" s="280">
        <v>10.77636</v>
      </c>
      <c r="L261" s="280">
        <v>1052.5899999999999</v>
      </c>
      <c r="M261" s="280">
        <v>75.000219999999999</v>
      </c>
      <c r="N261" s="282">
        <v>11041.98</v>
      </c>
      <c r="O261" s="280">
        <v>11042.6</v>
      </c>
      <c r="P261" s="283">
        <v>2090.2840000000001</v>
      </c>
      <c r="Q261" s="275">
        <f t="shared" si="2"/>
        <v>2090.2840000000001</v>
      </c>
      <c r="R261" s="283" t="s">
        <v>570</v>
      </c>
      <c r="S261" s="275">
        <v>10</v>
      </c>
      <c r="T261" s="275">
        <v>5</v>
      </c>
      <c r="U261" s="275">
        <v>0.7</v>
      </c>
      <c r="V261" s="275">
        <v>0.7</v>
      </c>
      <c r="W261" s="275">
        <v>0.7</v>
      </c>
      <c r="X261" s="56">
        <v>2000</v>
      </c>
      <c r="Y261" s="56" t="s">
        <v>571</v>
      </c>
      <c r="Z261" s="56">
        <v>0.2</v>
      </c>
      <c r="AA261" s="56" t="s">
        <v>572</v>
      </c>
      <c r="AB261" s="56" t="s">
        <v>573</v>
      </c>
      <c r="AC261" s="56">
        <v>220</v>
      </c>
      <c r="AD261" s="277" t="s">
        <v>19</v>
      </c>
      <c r="AE261" s="277"/>
    </row>
    <row r="262" spans="1:31" ht="15.75" x14ac:dyDescent="0.25">
      <c r="A262" s="280" t="s">
        <v>625</v>
      </c>
      <c r="B262" s="280">
        <v>2</v>
      </c>
      <c r="C262" s="280" t="s">
        <v>534</v>
      </c>
      <c r="D262" s="280" t="s">
        <v>569</v>
      </c>
      <c r="E262" s="280">
        <v>1</v>
      </c>
      <c r="F262" s="281">
        <v>45747.634027777778</v>
      </c>
      <c r="G262" s="280">
        <v>1</v>
      </c>
      <c r="H262" s="280">
        <v>51.374099999999999</v>
      </c>
      <c r="I262" s="280">
        <v>9.6838899999999999</v>
      </c>
      <c r="J262" s="280">
        <v>9.3524039999999999</v>
      </c>
      <c r="K262" s="280">
        <v>10.938599999999999</v>
      </c>
      <c r="L262" s="280">
        <v>1055.8900000000001</v>
      </c>
      <c r="M262" s="280">
        <v>80.000140000000002</v>
      </c>
      <c r="N262" s="282">
        <v>11043.23</v>
      </c>
      <c r="O262" s="280">
        <v>11042.6</v>
      </c>
      <c r="P262" s="283">
        <v>2090.2840000000001</v>
      </c>
      <c r="Q262" s="275">
        <f t="shared" si="2"/>
        <v>2090.2840000000001</v>
      </c>
      <c r="R262" s="283" t="s">
        <v>570</v>
      </c>
      <c r="S262" s="275">
        <v>10</v>
      </c>
      <c r="T262" s="275">
        <v>5</v>
      </c>
      <c r="U262" s="275">
        <v>0.7</v>
      </c>
      <c r="V262" s="275">
        <v>0.7</v>
      </c>
      <c r="W262" s="275">
        <v>0.7</v>
      </c>
      <c r="X262" s="56">
        <v>2000</v>
      </c>
      <c r="Y262" s="56" t="s">
        <v>571</v>
      </c>
      <c r="Z262" s="56">
        <v>0.2</v>
      </c>
      <c r="AA262" s="56" t="s">
        <v>572</v>
      </c>
      <c r="AB262" s="56" t="s">
        <v>573</v>
      </c>
      <c r="AC262" s="56">
        <v>220</v>
      </c>
      <c r="AD262" s="277" t="s">
        <v>19</v>
      </c>
      <c r="AE262" s="277"/>
    </row>
    <row r="263" spans="1:31" ht="15.75" x14ac:dyDescent="0.25">
      <c r="A263" s="56" t="s">
        <v>628</v>
      </c>
      <c r="B263" s="56">
        <v>3</v>
      </c>
      <c r="C263" s="56">
        <v>508</v>
      </c>
      <c r="D263" s="56" t="s">
        <v>600</v>
      </c>
      <c r="E263" s="56">
        <v>1</v>
      </c>
      <c r="F263" s="278">
        <v>45747.637499999997</v>
      </c>
      <c r="G263" s="56">
        <v>1</v>
      </c>
      <c r="H263" s="56">
        <v>51.377400000000002</v>
      </c>
      <c r="I263" s="56">
        <v>9.5989100000000001</v>
      </c>
      <c r="J263" s="56">
        <v>9.3569610000000001</v>
      </c>
      <c r="K263" s="56">
        <v>10.921749999999999</v>
      </c>
      <c r="L263" s="56">
        <v>1057.7</v>
      </c>
      <c r="M263" s="56">
        <v>72.998810000000006</v>
      </c>
      <c r="N263" s="274">
        <v>10906.33</v>
      </c>
      <c r="O263" s="56">
        <v>10939.86</v>
      </c>
      <c r="P263" s="275">
        <v>2070.9659999999999</v>
      </c>
      <c r="Q263" s="275">
        <f t="shared" si="2"/>
        <v>2070.9659999999999</v>
      </c>
      <c r="R263" s="275" t="s">
        <v>584</v>
      </c>
      <c r="S263" s="275">
        <v>10</v>
      </c>
      <c r="T263" s="275">
        <v>5</v>
      </c>
      <c r="U263" s="275">
        <v>0.7</v>
      </c>
      <c r="V263" s="275">
        <v>0.7</v>
      </c>
      <c r="W263" s="275">
        <v>0.7</v>
      </c>
      <c r="X263" s="56">
        <v>2000</v>
      </c>
      <c r="Y263" s="56" t="s">
        <v>571</v>
      </c>
      <c r="Z263" s="56">
        <v>0.2</v>
      </c>
      <c r="AA263" s="56" t="s">
        <v>572</v>
      </c>
      <c r="AB263" s="56" t="s">
        <v>573</v>
      </c>
      <c r="AC263" s="56">
        <v>220</v>
      </c>
      <c r="AD263" s="277" t="s">
        <v>19</v>
      </c>
      <c r="AE263" s="277"/>
    </row>
    <row r="264" spans="1:31" ht="15.75" x14ac:dyDescent="0.25">
      <c r="A264" s="56" t="s">
        <v>630</v>
      </c>
      <c r="B264" s="56">
        <v>3</v>
      </c>
      <c r="C264" s="56">
        <v>508</v>
      </c>
      <c r="D264" s="56" t="s">
        <v>600</v>
      </c>
      <c r="E264" s="56">
        <v>1</v>
      </c>
      <c r="F264" s="278">
        <v>45747.640277777777</v>
      </c>
      <c r="G264" s="56">
        <v>1</v>
      </c>
      <c r="H264" s="56">
        <v>51.374099999999999</v>
      </c>
      <c r="I264" s="56">
        <v>9.6944199999999991</v>
      </c>
      <c r="J264" s="56">
        <v>9.5475860000000008</v>
      </c>
      <c r="K264" s="56">
        <v>10.751379999999999</v>
      </c>
      <c r="L264" s="56">
        <v>1050.51</v>
      </c>
      <c r="M264" s="56">
        <v>81.49933</v>
      </c>
      <c r="N264" s="274">
        <v>10940.16</v>
      </c>
      <c r="O264" s="56">
        <v>10939.86</v>
      </c>
      <c r="P264" s="275">
        <v>2070.9659999999999</v>
      </c>
      <c r="Q264" s="275">
        <f t="shared" si="2"/>
        <v>2070.9659999999999</v>
      </c>
      <c r="R264" s="275" t="s">
        <v>570</v>
      </c>
      <c r="S264" s="275">
        <v>10</v>
      </c>
      <c r="T264" s="275">
        <v>5</v>
      </c>
      <c r="U264" s="275">
        <v>0.7</v>
      </c>
      <c r="V264" s="275">
        <v>0.7</v>
      </c>
      <c r="W264" s="275">
        <v>0.7</v>
      </c>
      <c r="X264" s="56">
        <v>2000</v>
      </c>
      <c r="Y264" s="56" t="s">
        <v>571</v>
      </c>
      <c r="Z264" s="56">
        <v>0.2</v>
      </c>
      <c r="AA264" s="56" t="s">
        <v>572</v>
      </c>
      <c r="AB264" s="56" t="s">
        <v>573</v>
      </c>
      <c r="AC264" s="56">
        <v>220</v>
      </c>
      <c r="AD264" s="277" t="s">
        <v>19</v>
      </c>
      <c r="AE264" s="277"/>
    </row>
    <row r="265" spans="1:31" ht="15.75" x14ac:dyDescent="0.25">
      <c r="A265" s="56" t="s">
        <v>631</v>
      </c>
      <c r="B265" s="56">
        <v>3</v>
      </c>
      <c r="C265" s="56">
        <v>508</v>
      </c>
      <c r="D265" s="56" t="s">
        <v>600</v>
      </c>
      <c r="E265" s="56">
        <v>1</v>
      </c>
      <c r="F265" s="278">
        <v>45747.643055555556</v>
      </c>
      <c r="G265" s="56">
        <v>1</v>
      </c>
      <c r="H265" s="56">
        <v>51.377400000000002</v>
      </c>
      <c r="I265" s="56">
        <v>9.8083799999999997</v>
      </c>
      <c r="J265" s="56">
        <v>9.432639</v>
      </c>
      <c r="K265" s="56">
        <v>10.960190000000001</v>
      </c>
      <c r="L265" s="56">
        <v>1060.69</v>
      </c>
      <c r="M265" s="56">
        <v>71.999560000000002</v>
      </c>
      <c r="N265" s="274">
        <v>10939.56</v>
      </c>
      <c r="O265" s="56">
        <v>10939.86</v>
      </c>
      <c r="P265" s="275">
        <v>2070.9659999999999</v>
      </c>
      <c r="Q265" s="275">
        <f t="shared" si="2"/>
        <v>2070.9659999999999</v>
      </c>
      <c r="R265" s="275" t="s">
        <v>570</v>
      </c>
      <c r="S265" s="275">
        <v>10</v>
      </c>
      <c r="T265" s="275">
        <v>5</v>
      </c>
      <c r="U265" s="275">
        <v>0.7</v>
      </c>
      <c r="V265" s="275">
        <v>0.7</v>
      </c>
      <c r="W265" s="275">
        <v>0.7</v>
      </c>
      <c r="X265" s="56">
        <v>2000</v>
      </c>
      <c r="Y265" s="56" t="s">
        <v>571</v>
      </c>
      <c r="Z265" s="56">
        <v>0.2</v>
      </c>
      <c r="AA265" s="56" t="s">
        <v>572</v>
      </c>
      <c r="AB265" s="56" t="s">
        <v>573</v>
      </c>
      <c r="AC265" s="56">
        <v>220</v>
      </c>
      <c r="AD265" s="277" t="s">
        <v>19</v>
      </c>
      <c r="AE265" s="277"/>
    </row>
    <row r="266" spans="1:31" ht="15.75" x14ac:dyDescent="0.25">
      <c r="A266" s="56" t="s">
        <v>632</v>
      </c>
      <c r="B266" s="56">
        <v>4</v>
      </c>
      <c r="C266" s="56">
        <v>509</v>
      </c>
      <c r="D266" s="56" t="s">
        <v>604</v>
      </c>
      <c r="E266" s="56">
        <v>1</v>
      </c>
      <c r="F266" s="278">
        <v>45747.646527777775</v>
      </c>
      <c r="G266" s="56">
        <v>1</v>
      </c>
      <c r="H266" s="56">
        <v>51.377400000000002</v>
      </c>
      <c r="I266" s="56">
        <v>9.6432199999999995</v>
      </c>
      <c r="J266" s="56">
        <v>9.5734919999999999</v>
      </c>
      <c r="K266" s="56">
        <v>11.46688</v>
      </c>
      <c r="L266" s="56">
        <v>1061.6199999999999</v>
      </c>
      <c r="M266" s="56">
        <v>66.499529999999993</v>
      </c>
      <c r="N266" s="274">
        <v>10873.69</v>
      </c>
      <c r="O266" s="56">
        <v>10926.46</v>
      </c>
      <c r="P266" s="275">
        <v>2068.4470000000001</v>
      </c>
      <c r="Q266" s="275">
        <f t="shared" si="2"/>
        <v>2068.4470000000001</v>
      </c>
      <c r="R266" s="275" t="s">
        <v>584</v>
      </c>
      <c r="S266" s="275">
        <v>10</v>
      </c>
      <c r="T266" s="275">
        <v>5</v>
      </c>
      <c r="U266" s="275">
        <v>0.7</v>
      </c>
      <c r="V266" s="275">
        <v>0.7</v>
      </c>
      <c r="W266" s="275">
        <v>0.7</v>
      </c>
      <c r="X266" s="56">
        <v>2000</v>
      </c>
      <c r="Y266" s="56" t="s">
        <v>571</v>
      </c>
      <c r="Z266" s="56">
        <v>0.2</v>
      </c>
      <c r="AA266" s="56" t="s">
        <v>572</v>
      </c>
      <c r="AB266" s="56" t="s">
        <v>573</v>
      </c>
      <c r="AC266" s="56">
        <v>220</v>
      </c>
      <c r="AD266" s="277" t="s">
        <v>19</v>
      </c>
      <c r="AE266" s="277"/>
    </row>
    <row r="267" spans="1:31" ht="15.75" x14ac:dyDescent="0.25">
      <c r="A267" s="56" t="s">
        <v>634</v>
      </c>
      <c r="B267" s="56">
        <v>4</v>
      </c>
      <c r="C267" s="56">
        <v>509</v>
      </c>
      <c r="D267" s="56" t="s">
        <v>604</v>
      </c>
      <c r="E267" s="56">
        <v>1</v>
      </c>
      <c r="F267" s="278">
        <v>45747.649305555555</v>
      </c>
      <c r="G267" s="56">
        <v>1</v>
      </c>
      <c r="H267" s="56">
        <v>51.374099999999999</v>
      </c>
      <c r="I267" s="56">
        <v>9.5761900000000004</v>
      </c>
      <c r="J267" s="56">
        <v>9.4857209999999998</v>
      </c>
      <c r="K267" s="56">
        <v>10.51008</v>
      </c>
      <c r="L267" s="56">
        <v>1040.08</v>
      </c>
      <c r="M267" s="56">
        <v>84.49991</v>
      </c>
      <c r="N267" s="274">
        <v>10945.63</v>
      </c>
      <c r="O267" s="56">
        <v>10926.46</v>
      </c>
      <c r="P267" s="275">
        <v>2068.4470000000001</v>
      </c>
      <c r="Q267" s="275">
        <f t="shared" si="2"/>
        <v>2068.4470000000001</v>
      </c>
      <c r="R267" s="275" t="s">
        <v>584</v>
      </c>
      <c r="S267" s="275">
        <v>10</v>
      </c>
      <c r="T267" s="275">
        <v>5</v>
      </c>
      <c r="U267" s="275">
        <v>0.7</v>
      </c>
      <c r="V267" s="275">
        <v>0.7</v>
      </c>
      <c r="W267" s="275">
        <v>0.7</v>
      </c>
      <c r="X267" s="56">
        <v>2000</v>
      </c>
      <c r="Y267" s="56" t="s">
        <v>571</v>
      </c>
      <c r="Z267" s="56">
        <v>0.2</v>
      </c>
      <c r="AA267" s="56" t="s">
        <v>572</v>
      </c>
      <c r="AB267" s="56" t="s">
        <v>573</v>
      </c>
      <c r="AC267" s="56">
        <v>220</v>
      </c>
      <c r="AD267" s="277" t="s">
        <v>19</v>
      </c>
      <c r="AE267" s="277"/>
    </row>
    <row r="268" spans="1:31" ht="15.75" x14ac:dyDescent="0.25">
      <c r="A268" s="56" t="s">
        <v>635</v>
      </c>
      <c r="B268" s="56">
        <v>4</v>
      </c>
      <c r="C268" s="56">
        <v>509</v>
      </c>
      <c r="D268" s="56" t="s">
        <v>604</v>
      </c>
      <c r="E268" s="56">
        <v>1</v>
      </c>
      <c r="F268" s="278">
        <v>45747.652083333334</v>
      </c>
      <c r="G268" s="56">
        <v>1</v>
      </c>
      <c r="H268" s="56">
        <v>51.374099999999999</v>
      </c>
      <c r="I268" s="56">
        <v>9.7409499999999998</v>
      </c>
      <c r="J268" s="56">
        <v>9.5898249999999994</v>
      </c>
      <c r="K268" s="56">
        <v>11.47429</v>
      </c>
      <c r="L268" s="56">
        <v>1041.52</v>
      </c>
      <c r="M268" s="56">
        <v>65.500960000000006</v>
      </c>
      <c r="N268" s="274">
        <v>10861.86</v>
      </c>
      <c r="O268" s="56">
        <v>10926.46</v>
      </c>
      <c r="P268" s="275">
        <v>2068.4470000000001</v>
      </c>
      <c r="Q268" s="275">
        <f t="shared" si="2"/>
        <v>2068.4470000000001</v>
      </c>
      <c r="R268" s="275" t="s">
        <v>584</v>
      </c>
      <c r="S268" s="275">
        <v>10</v>
      </c>
      <c r="T268" s="275">
        <v>5</v>
      </c>
      <c r="U268" s="275">
        <v>0.7</v>
      </c>
      <c r="V268" s="275">
        <v>0.7</v>
      </c>
      <c r="W268" s="275">
        <v>0.7</v>
      </c>
      <c r="X268" s="56">
        <v>2000</v>
      </c>
      <c r="Y268" s="56" t="s">
        <v>571</v>
      </c>
      <c r="Z268" s="56">
        <v>0.2</v>
      </c>
      <c r="AA268" s="56" t="s">
        <v>572</v>
      </c>
      <c r="AB268" s="56" t="s">
        <v>573</v>
      </c>
      <c r="AC268" s="56">
        <v>220</v>
      </c>
      <c r="AD268" s="277" t="s">
        <v>19</v>
      </c>
      <c r="AE268" s="277"/>
    </row>
    <row r="269" spans="1:31" ht="15.75" x14ac:dyDescent="0.25">
      <c r="A269" s="56" t="s">
        <v>709</v>
      </c>
      <c r="B269" s="56">
        <v>4</v>
      </c>
      <c r="C269" s="56">
        <v>509</v>
      </c>
      <c r="D269" s="56" t="s">
        <v>604</v>
      </c>
      <c r="E269" s="56">
        <v>1</v>
      </c>
      <c r="F269" s="278">
        <v>45747.654861111114</v>
      </c>
      <c r="G269" s="56">
        <v>1</v>
      </c>
      <c r="H269" s="56">
        <v>51.377400000000002</v>
      </c>
      <c r="I269" s="56">
        <v>9.6618899999999996</v>
      </c>
      <c r="J269" s="56">
        <v>9.5684330000000006</v>
      </c>
      <c r="K269" s="56">
        <v>10.92657</v>
      </c>
      <c r="L269" s="56">
        <v>1035.83</v>
      </c>
      <c r="M269" s="56">
        <v>73.500389999999996</v>
      </c>
      <c r="N269" s="274">
        <v>10918.67</v>
      </c>
      <c r="O269" s="56">
        <v>10926.46</v>
      </c>
      <c r="P269" s="275">
        <v>2068.4470000000001</v>
      </c>
      <c r="Q269" s="275">
        <f t="shared" si="2"/>
        <v>2068.4470000000001</v>
      </c>
      <c r="R269" s="275" t="s">
        <v>570</v>
      </c>
      <c r="S269" s="275">
        <v>10</v>
      </c>
      <c r="T269" s="275">
        <v>5</v>
      </c>
      <c r="U269" s="275">
        <v>0.7</v>
      </c>
      <c r="V269" s="275">
        <v>0.7</v>
      </c>
      <c r="W269" s="275">
        <v>0.7</v>
      </c>
      <c r="X269" s="56">
        <v>2000</v>
      </c>
      <c r="Y269" s="56" t="s">
        <v>571</v>
      </c>
      <c r="Z269" s="56">
        <v>0.2</v>
      </c>
      <c r="AA269" s="56" t="s">
        <v>572</v>
      </c>
      <c r="AB269" s="56" t="s">
        <v>573</v>
      </c>
      <c r="AC269" s="56">
        <v>220</v>
      </c>
      <c r="AD269" s="277" t="s">
        <v>19</v>
      </c>
      <c r="AE269" s="277"/>
    </row>
    <row r="270" spans="1:31" ht="15.75" x14ac:dyDescent="0.25">
      <c r="A270" s="56" t="s">
        <v>753</v>
      </c>
      <c r="B270" s="56">
        <v>4</v>
      </c>
      <c r="C270" s="56">
        <v>509</v>
      </c>
      <c r="D270" s="56" t="s">
        <v>604</v>
      </c>
      <c r="E270" s="56">
        <v>1</v>
      </c>
      <c r="F270" s="278">
        <v>45747.657638888886</v>
      </c>
      <c r="G270" s="56">
        <v>1</v>
      </c>
      <c r="H270" s="56">
        <v>51.370800000000003</v>
      </c>
      <c r="I270" s="56">
        <v>9.6303699999999992</v>
      </c>
      <c r="J270" s="56">
        <v>9.5874919999999992</v>
      </c>
      <c r="K270" s="56">
        <v>10.9373</v>
      </c>
      <c r="L270" s="56">
        <v>1040.56</v>
      </c>
      <c r="M270" s="56">
        <v>73.99915</v>
      </c>
      <c r="N270" s="274">
        <v>10934.25</v>
      </c>
      <c r="O270" s="56">
        <v>10926.46</v>
      </c>
      <c r="P270" s="275">
        <v>2068.4470000000001</v>
      </c>
      <c r="Q270" s="275">
        <f t="shared" si="2"/>
        <v>2068.4470000000001</v>
      </c>
      <c r="R270" s="275" t="s">
        <v>570</v>
      </c>
      <c r="S270" s="275">
        <v>10</v>
      </c>
      <c r="T270" s="275">
        <v>5</v>
      </c>
      <c r="U270" s="275">
        <v>0.7</v>
      </c>
      <c r="V270" s="275">
        <v>0.7</v>
      </c>
      <c r="W270" s="275">
        <v>0.7</v>
      </c>
      <c r="X270" s="56">
        <v>2000</v>
      </c>
      <c r="Y270" s="56" t="s">
        <v>571</v>
      </c>
      <c r="Z270" s="56">
        <v>0.2</v>
      </c>
      <c r="AA270" s="56" t="s">
        <v>572</v>
      </c>
      <c r="AB270" s="56" t="s">
        <v>573</v>
      </c>
      <c r="AC270" s="56">
        <v>220</v>
      </c>
      <c r="AD270" s="277" t="s">
        <v>19</v>
      </c>
      <c r="AE270" s="277"/>
    </row>
    <row r="271" spans="1:31" ht="15.75" x14ac:dyDescent="0.25">
      <c r="A271" s="56" t="s">
        <v>636</v>
      </c>
      <c r="B271" s="56">
        <v>5</v>
      </c>
      <c r="C271" s="56">
        <v>326</v>
      </c>
      <c r="D271" s="56" t="s">
        <v>608</v>
      </c>
      <c r="E271" s="56">
        <v>1</v>
      </c>
      <c r="F271" s="278">
        <v>45747.661111111112</v>
      </c>
      <c r="G271" s="56">
        <v>1</v>
      </c>
      <c r="H271" s="56">
        <v>51.377400000000002</v>
      </c>
      <c r="I271" s="56">
        <v>9.4870900000000002</v>
      </c>
      <c r="J271" s="56">
        <v>9.6765430000000006</v>
      </c>
      <c r="K271" s="56">
        <v>10.85989</v>
      </c>
      <c r="L271" s="56">
        <v>1066.1400000000001</v>
      </c>
      <c r="M271" s="56">
        <v>72.499080000000006</v>
      </c>
      <c r="N271" s="274">
        <v>10956.37</v>
      </c>
      <c r="O271" s="56">
        <v>10955.94</v>
      </c>
      <c r="P271" s="275">
        <v>2073.989</v>
      </c>
      <c r="Q271" s="275">
        <f t="shared" si="2"/>
        <v>2073.989</v>
      </c>
      <c r="R271" s="275" t="s">
        <v>584</v>
      </c>
      <c r="S271" s="275">
        <v>10</v>
      </c>
      <c r="T271" s="275">
        <v>5</v>
      </c>
      <c r="U271" s="275">
        <v>0.7</v>
      </c>
      <c r="V271" s="275">
        <v>0.7</v>
      </c>
      <c r="W271" s="275">
        <v>0.7</v>
      </c>
      <c r="X271" s="56">
        <v>2000</v>
      </c>
      <c r="Y271" s="56" t="s">
        <v>571</v>
      </c>
      <c r="Z271" s="56">
        <v>0.2</v>
      </c>
      <c r="AA271" s="56" t="s">
        <v>572</v>
      </c>
      <c r="AB271" s="56" t="s">
        <v>573</v>
      </c>
      <c r="AC271" s="56">
        <v>220</v>
      </c>
      <c r="AD271" s="277" t="s">
        <v>19</v>
      </c>
      <c r="AE271" s="277"/>
    </row>
    <row r="272" spans="1:31" ht="15.75" x14ac:dyDescent="0.25">
      <c r="A272" s="56" t="s">
        <v>638</v>
      </c>
      <c r="B272" s="56">
        <v>5</v>
      </c>
      <c r="C272" s="56">
        <v>326</v>
      </c>
      <c r="D272" s="56" t="s">
        <v>608</v>
      </c>
      <c r="E272" s="56">
        <v>1</v>
      </c>
      <c r="F272" s="278">
        <v>45747.663888888892</v>
      </c>
      <c r="G272" s="56">
        <v>1</v>
      </c>
      <c r="H272" s="56">
        <v>51.3675</v>
      </c>
      <c r="I272" s="56">
        <v>9.65273</v>
      </c>
      <c r="J272" s="56">
        <v>9.5448869999999992</v>
      </c>
      <c r="K272" s="56">
        <v>11.017910000000001</v>
      </c>
      <c r="L272" s="56">
        <v>1028.74</v>
      </c>
      <c r="M272" s="56">
        <v>73.499020000000002</v>
      </c>
      <c r="N272" s="274">
        <v>10921.37</v>
      </c>
      <c r="O272" s="56">
        <v>10955.94</v>
      </c>
      <c r="P272" s="275">
        <v>2073.989</v>
      </c>
      <c r="Q272" s="275">
        <f t="shared" si="2"/>
        <v>2073.989</v>
      </c>
      <c r="R272" s="275" t="s">
        <v>584</v>
      </c>
      <c r="S272" s="275">
        <v>10</v>
      </c>
      <c r="T272" s="275">
        <v>5</v>
      </c>
      <c r="U272" s="275">
        <v>0.7</v>
      </c>
      <c r="V272" s="275">
        <v>0.7</v>
      </c>
      <c r="W272" s="275">
        <v>0.7</v>
      </c>
      <c r="X272" s="56">
        <v>2000</v>
      </c>
      <c r="Y272" s="56" t="s">
        <v>571</v>
      </c>
      <c r="Z272" s="56">
        <v>0.2</v>
      </c>
      <c r="AA272" s="56" t="s">
        <v>572</v>
      </c>
      <c r="AB272" s="56" t="s">
        <v>573</v>
      </c>
      <c r="AC272" s="56">
        <v>220</v>
      </c>
      <c r="AD272" s="277" t="s">
        <v>19</v>
      </c>
      <c r="AE272" s="277"/>
    </row>
    <row r="273" spans="1:31" ht="15.75" x14ac:dyDescent="0.25">
      <c r="A273" s="56" t="s">
        <v>754</v>
      </c>
      <c r="B273" s="56">
        <v>5</v>
      </c>
      <c r="C273" s="56">
        <v>326</v>
      </c>
      <c r="D273" s="56" t="s">
        <v>608</v>
      </c>
      <c r="E273" s="56">
        <v>1</v>
      </c>
      <c r="F273" s="278">
        <v>45747.666666666664</v>
      </c>
      <c r="G273" s="56">
        <v>1</v>
      </c>
      <c r="H273" s="56">
        <v>51.374099999999999</v>
      </c>
      <c r="I273" s="56">
        <v>9.6660799999999991</v>
      </c>
      <c r="J273" s="56">
        <v>9.6445679999999996</v>
      </c>
      <c r="K273" s="56">
        <v>11.258599999999999</v>
      </c>
      <c r="L273" s="56">
        <v>1053.26</v>
      </c>
      <c r="M273" s="56">
        <v>68.000510000000006</v>
      </c>
      <c r="N273" s="274">
        <v>10950.28</v>
      </c>
      <c r="O273" s="56">
        <v>10955.94</v>
      </c>
      <c r="P273" s="275">
        <v>2073.989</v>
      </c>
      <c r="Q273" s="275">
        <f t="shared" si="2"/>
        <v>2073.989</v>
      </c>
      <c r="R273" s="275" t="s">
        <v>570</v>
      </c>
      <c r="S273" s="275">
        <v>10</v>
      </c>
      <c r="T273" s="275">
        <v>5</v>
      </c>
      <c r="U273" s="275">
        <v>0.7</v>
      </c>
      <c r="V273" s="275">
        <v>0.7</v>
      </c>
      <c r="W273" s="275">
        <v>0.7</v>
      </c>
      <c r="X273" s="56">
        <v>2000</v>
      </c>
      <c r="Y273" s="56" t="s">
        <v>571</v>
      </c>
      <c r="Z273" s="56">
        <v>0.2</v>
      </c>
      <c r="AA273" s="56" t="s">
        <v>572</v>
      </c>
      <c r="AB273" s="56" t="s">
        <v>573</v>
      </c>
      <c r="AC273" s="56">
        <v>220</v>
      </c>
      <c r="AD273" s="277" t="s">
        <v>19</v>
      </c>
      <c r="AE273" s="277"/>
    </row>
    <row r="274" spans="1:31" ht="15.75" x14ac:dyDescent="0.25">
      <c r="A274" s="56" t="s">
        <v>755</v>
      </c>
      <c r="B274" s="56">
        <v>5</v>
      </c>
      <c r="C274" s="56">
        <v>326</v>
      </c>
      <c r="D274" s="56" t="s">
        <v>608</v>
      </c>
      <c r="E274" s="56">
        <v>1</v>
      </c>
      <c r="F274" s="278">
        <v>45747.669444444444</v>
      </c>
      <c r="G274" s="56">
        <v>1</v>
      </c>
      <c r="H274" s="56">
        <v>51.374099999999999</v>
      </c>
      <c r="I274" s="56">
        <v>9.5671300000000006</v>
      </c>
      <c r="J274" s="56">
        <v>9.5804360000000006</v>
      </c>
      <c r="K274" s="56">
        <v>11.34651</v>
      </c>
      <c r="L274" s="56">
        <v>1054.08</v>
      </c>
      <c r="M274" s="56">
        <v>68.499170000000007</v>
      </c>
      <c r="N274" s="274">
        <v>10961.6</v>
      </c>
      <c r="O274" s="56">
        <v>10955.94</v>
      </c>
      <c r="P274" s="275">
        <v>2073.989</v>
      </c>
      <c r="Q274" s="275">
        <f t="shared" si="2"/>
        <v>2073.989</v>
      </c>
      <c r="R274" s="275" t="s">
        <v>570</v>
      </c>
      <c r="S274" s="275">
        <v>10</v>
      </c>
      <c r="T274" s="275">
        <v>5</v>
      </c>
      <c r="U274" s="275">
        <v>0.7</v>
      </c>
      <c r="V274" s="275">
        <v>0.7</v>
      </c>
      <c r="W274" s="275">
        <v>0.7</v>
      </c>
      <c r="X274" s="56">
        <v>2000</v>
      </c>
      <c r="Y274" s="56" t="s">
        <v>571</v>
      </c>
      <c r="Z274" s="56">
        <v>0.2</v>
      </c>
      <c r="AA274" s="56" t="s">
        <v>572</v>
      </c>
      <c r="AB274" s="56" t="s">
        <v>573</v>
      </c>
      <c r="AC274" s="56">
        <v>220</v>
      </c>
      <c r="AD274" s="277" t="s">
        <v>19</v>
      </c>
      <c r="AE274" s="277"/>
    </row>
    <row r="275" spans="1:31" ht="15.75" x14ac:dyDescent="0.25">
      <c r="A275" s="56" t="s">
        <v>639</v>
      </c>
      <c r="B275" s="56">
        <v>6</v>
      </c>
      <c r="C275" s="56">
        <v>327</v>
      </c>
      <c r="D275" s="56" t="s">
        <v>618</v>
      </c>
      <c r="E275" s="56">
        <v>1</v>
      </c>
      <c r="F275" s="278">
        <v>45747.67291666667</v>
      </c>
      <c r="G275" s="56">
        <v>1</v>
      </c>
      <c r="H275" s="56">
        <v>51.370800000000003</v>
      </c>
      <c r="I275" s="56">
        <v>9.4510799999999993</v>
      </c>
      <c r="J275" s="56">
        <v>9.5663280000000004</v>
      </c>
      <c r="K275" s="56">
        <v>10.85094</v>
      </c>
      <c r="L275" s="56">
        <v>1067.43</v>
      </c>
      <c r="M275" s="56">
        <v>78.99879</v>
      </c>
      <c r="N275" s="274">
        <v>10926.64</v>
      </c>
      <c r="O275" s="56">
        <v>10918.58</v>
      </c>
      <c r="P275" s="275">
        <v>2066.9639999999999</v>
      </c>
      <c r="Q275" s="275">
        <f t="shared" si="2"/>
        <v>2066.9639999999999</v>
      </c>
      <c r="R275" s="275" t="s">
        <v>570</v>
      </c>
      <c r="S275" s="275">
        <v>10</v>
      </c>
      <c r="T275" s="275">
        <v>5</v>
      </c>
      <c r="U275" s="275">
        <v>0.7</v>
      </c>
      <c r="V275" s="275">
        <v>0.7</v>
      </c>
      <c r="W275" s="275">
        <v>0.7</v>
      </c>
      <c r="X275" s="56">
        <v>2000</v>
      </c>
      <c r="Y275" s="56" t="s">
        <v>571</v>
      </c>
      <c r="Z275" s="56">
        <v>0.2</v>
      </c>
      <c r="AA275" s="56" t="s">
        <v>572</v>
      </c>
      <c r="AB275" s="56" t="s">
        <v>573</v>
      </c>
      <c r="AC275" s="56">
        <v>220</v>
      </c>
      <c r="AD275" s="277" t="s">
        <v>19</v>
      </c>
      <c r="AE275" s="277"/>
    </row>
    <row r="276" spans="1:31" ht="15.75" x14ac:dyDescent="0.25">
      <c r="A276" s="56" t="s">
        <v>640</v>
      </c>
      <c r="B276" s="56">
        <v>6</v>
      </c>
      <c r="C276" s="56">
        <v>327</v>
      </c>
      <c r="D276" s="56" t="s">
        <v>618</v>
      </c>
      <c r="E276" s="56">
        <v>1</v>
      </c>
      <c r="F276" s="278">
        <v>45747.675694444442</v>
      </c>
      <c r="G276" s="56">
        <v>1</v>
      </c>
      <c r="H276" s="56">
        <v>51.374099999999999</v>
      </c>
      <c r="I276" s="56">
        <v>9.6899899999999999</v>
      </c>
      <c r="J276" s="56">
        <v>9.6070550000000008</v>
      </c>
      <c r="K276" s="56">
        <v>11.42117</v>
      </c>
      <c r="L276" s="56">
        <v>1045.29</v>
      </c>
      <c r="M276" s="56">
        <v>70.499589999999998</v>
      </c>
      <c r="N276" s="274">
        <v>10910.51</v>
      </c>
      <c r="O276" s="56">
        <v>10918.58</v>
      </c>
      <c r="P276" s="275">
        <v>2066.9639999999999</v>
      </c>
      <c r="Q276" s="275">
        <f t="shared" si="2"/>
        <v>2066.9639999999999</v>
      </c>
      <c r="R276" s="275" t="s">
        <v>570</v>
      </c>
      <c r="S276" s="275">
        <v>10</v>
      </c>
      <c r="T276" s="275">
        <v>5</v>
      </c>
      <c r="U276" s="275">
        <v>0.7</v>
      </c>
      <c r="V276" s="275">
        <v>0.7</v>
      </c>
      <c r="W276" s="275">
        <v>0.7</v>
      </c>
      <c r="X276" s="56">
        <v>2000</v>
      </c>
      <c r="Y276" s="56" t="s">
        <v>571</v>
      </c>
      <c r="Z276" s="56">
        <v>0.2</v>
      </c>
      <c r="AA276" s="56" t="s">
        <v>572</v>
      </c>
      <c r="AB276" s="56" t="s">
        <v>573</v>
      </c>
      <c r="AC276" s="56">
        <v>220</v>
      </c>
      <c r="AD276" s="277" t="s">
        <v>19</v>
      </c>
      <c r="AE276" s="277"/>
    </row>
    <row r="277" spans="1:31" ht="15.75" x14ac:dyDescent="0.25">
      <c r="A277" s="56" t="s">
        <v>710</v>
      </c>
      <c r="B277" s="56">
        <v>7</v>
      </c>
      <c r="C277" s="56">
        <v>391</v>
      </c>
      <c r="D277" s="56" t="s">
        <v>623</v>
      </c>
      <c r="E277" s="56">
        <v>1</v>
      </c>
      <c r="F277" s="278">
        <v>45747.679166666669</v>
      </c>
      <c r="G277" s="56">
        <v>1</v>
      </c>
      <c r="H277" s="56">
        <v>51.380699999999997</v>
      </c>
      <c r="I277" s="56">
        <v>9.5662099999999999</v>
      </c>
      <c r="J277" s="56">
        <v>9.6419060000000005</v>
      </c>
      <c r="K277" s="56">
        <v>10.69956</v>
      </c>
      <c r="L277" s="56">
        <v>1058.1300000000001</v>
      </c>
      <c r="M277" s="56">
        <v>80.999849999999995</v>
      </c>
      <c r="N277" s="274">
        <v>11004.3</v>
      </c>
      <c r="O277" s="56">
        <v>11003.16</v>
      </c>
      <c r="P277" s="275">
        <v>2082.8670000000002</v>
      </c>
      <c r="Q277" s="275">
        <f t="shared" si="2"/>
        <v>2082.8670000000002</v>
      </c>
      <c r="R277" s="275" t="s">
        <v>570</v>
      </c>
      <c r="S277" s="275">
        <v>10</v>
      </c>
      <c r="T277" s="275">
        <v>5</v>
      </c>
      <c r="U277" s="275">
        <v>0.7</v>
      </c>
      <c r="V277" s="275">
        <v>0.7</v>
      </c>
      <c r="W277" s="275">
        <v>0.7</v>
      </c>
      <c r="X277" s="56">
        <v>2000</v>
      </c>
      <c r="Y277" s="56" t="s">
        <v>571</v>
      </c>
      <c r="Z277" s="56">
        <v>0.2</v>
      </c>
      <c r="AA277" s="56" t="s">
        <v>572</v>
      </c>
      <c r="AB277" s="56" t="s">
        <v>573</v>
      </c>
      <c r="AC277" s="56">
        <v>220</v>
      </c>
      <c r="AD277" s="277" t="s">
        <v>19</v>
      </c>
      <c r="AE277" s="277"/>
    </row>
    <row r="278" spans="1:31" ht="15.75" x14ac:dyDescent="0.25">
      <c r="A278" s="56" t="s">
        <v>711</v>
      </c>
      <c r="B278" s="56">
        <v>7</v>
      </c>
      <c r="C278" s="56">
        <v>391</v>
      </c>
      <c r="D278" s="56" t="s">
        <v>623</v>
      </c>
      <c r="E278" s="56">
        <v>1</v>
      </c>
      <c r="F278" s="278">
        <v>45747.682638888888</v>
      </c>
      <c r="G278" s="56">
        <v>1</v>
      </c>
      <c r="H278" s="56">
        <v>51.374099999999999</v>
      </c>
      <c r="I278" s="56">
        <v>9.62547</v>
      </c>
      <c r="J278" s="56">
        <v>9.5911799999999996</v>
      </c>
      <c r="K278" s="56">
        <v>10.93521</v>
      </c>
      <c r="L278" s="56">
        <v>1060.51</v>
      </c>
      <c r="M278" s="56">
        <v>75.001249999999999</v>
      </c>
      <c r="N278" s="274">
        <v>11002.02</v>
      </c>
      <c r="O278" s="56">
        <v>11003.16</v>
      </c>
      <c r="P278" s="275">
        <v>2082.8670000000002</v>
      </c>
      <c r="Q278" s="275">
        <f t="shared" si="2"/>
        <v>2082.8670000000002</v>
      </c>
      <c r="R278" s="275" t="s">
        <v>570</v>
      </c>
      <c r="S278" s="275">
        <v>10</v>
      </c>
      <c r="T278" s="275">
        <v>5</v>
      </c>
      <c r="U278" s="275">
        <v>0.7</v>
      </c>
      <c r="V278" s="275">
        <v>0.7</v>
      </c>
      <c r="W278" s="275">
        <v>0.7</v>
      </c>
      <c r="X278" s="56">
        <v>2000</v>
      </c>
      <c r="Y278" s="56" t="s">
        <v>571</v>
      </c>
      <c r="Z278" s="56">
        <v>0.2</v>
      </c>
      <c r="AA278" s="56" t="s">
        <v>572</v>
      </c>
      <c r="AB278" s="56" t="s">
        <v>573</v>
      </c>
      <c r="AC278" s="56">
        <v>220</v>
      </c>
      <c r="AD278" s="277" t="s">
        <v>19</v>
      </c>
      <c r="AE278" s="277"/>
    </row>
    <row r="279" spans="1:31" ht="15.75" x14ac:dyDescent="0.25">
      <c r="A279" s="56" t="s">
        <v>647</v>
      </c>
      <c r="B279" s="56">
        <v>8</v>
      </c>
      <c r="C279" s="56">
        <v>392</v>
      </c>
      <c r="D279" s="56" t="s">
        <v>629</v>
      </c>
      <c r="E279" s="56">
        <v>1</v>
      </c>
      <c r="F279" s="278">
        <v>45747.686111111114</v>
      </c>
      <c r="G279" s="56">
        <v>1</v>
      </c>
      <c r="H279" s="56">
        <v>51.377400000000002</v>
      </c>
      <c r="I279" s="56">
        <v>9.5741899999999998</v>
      </c>
      <c r="J279" s="56">
        <v>9.5609760000000001</v>
      </c>
      <c r="K279" s="56">
        <v>11.246079999999999</v>
      </c>
      <c r="L279" s="56">
        <v>1061.6400000000001</v>
      </c>
      <c r="M279" s="56">
        <v>73.499799999999993</v>
      </c>
      <c r="N279" s="274">
        <v>10969.87</v>
      </c>
      <c r="O279" s="56">
        <v>10966.61</v>
      </c>
      <c r="P279" s="275">
        <v>2075.9960000000001</v>
      </c>
      <c r="Q279" s="275">
        <f t="shared" si="2"/>
        <v>2075.9960000000001</v>
      </c>
      <c r="R279" s="275" t="s">
        <v>570</v>
      </c>
      <c r="S279" s="275">
        <v>10</v>
      </c>
      <c r="T279" s="275">
        <v>5</v>
      </c>
      <c r="U279" s="275">
        <v>0.7</v>
      </c>
      <c r="V279" s="275">
        <v>0.7</v>
      </c>
      <c r="W279" s="275">
        <v>0.7</v>
      </c>
      <c r="X279" s="56">
        <v>2000</v>
      </c>
      <c r="Y279" s="56" t="s">
        <v>571</v>
      </c>
      <c r="Z279" s="56">
        <v>0.2</v>
      </c>
      <c r="AA279" s="56" t="s">
        <v>572</v>
      </c>
      <c r="AB279" s="56" t="s">
        <v>573</v>
      </c>
      <c r="AC279" s="56">
        <v>220</v>
      </c>
      <c r="AD279" s="277" t="s">
        <v>19</v>
      </c>
      <c r="AE279" s="277"/>
    </row>
    <row r="280" spans="1:31" ht="15.75" x14ac:dyDescent="0.25">
      <c r="A280" s="56" t="s">
        <v>648</v>
      </c>
      <c r="B280" s="56">
        <v>8</v>
      </c>
      <c r="C280" s="56">
        <v>392</v>
      </c>
      <c r="D280" s="56" t="s">
        <v>629</v>
      </c>
      <c r="E280" s="56">
        <v>1</v>
      </c>
      <c r="F280" s="278">
        <v>45747.688888888886</v>
      </c>
      <c r="G280" s="56">
        <v>1</v>
      </c>
      <c r="H280" s="56">
        <v>51.377400000000002</v>
      </c>
      <c r="I280" s="56">
        <v>9.6173000000000002</v>
      </c>
      <c r="J280" s="56">
        <v>9.6365879999999997</v>
      </c>
      <c r="K280" s="56">
        <v>10.60871</v>
      </c>
      <c r="L280" s="56">
        <v>1038.6300000000001</v>
      </c>
      <c r="M280" s="56">
        <v>86.001090000000005</v>
      </c>
      <c r="N280" s="274">
        <v>10963.35</v>
      </c>
      <c r="O280" s="56">
        <v>10966.61</v>
      </c>
      <c r="P280" s="275">
        <v>2075.9960000000001</v>
      </c>
      <c r="Q280" s="275">
        <f t="shared" si="2"/>
        <v>2075.9960000000001</v>
      </c>
      <c r="R280" s="275" t="s">
        <v>570</v>
      </c>
      <c r="S280" s="275">
        <v>10</v>
      </c>
      <c r="T280" s="275">
        <v>5</v>
      </c>
      <c r="U280" s="275">
        <v>0.7</v>
      </c>
      <c r="V280" s="275">
        <v>0.7</v>
      </c>
      <c r="W280" s="275">
        <v>0.7</v>
      </c>
      <c r="X280" s="56">
        <v>2000</v>
      </c>
      <c r="Y280" s="56" t="s">
        <v>571</v>
      </c>
      <c r="Z280" s="56">
        <v>0.2</v>
      </c>
      <c r="AA280" s="56" t="s">
        <v>572</v>
      </c>
      <c r="AB280" s="56" t="s">
        <v>573</v>
      </c>
      <c r="AC280" s="56">
        <v>220</v>
      </c>
      <c r="AD280" s="277" t="s">
        <v>19</v>
      </c>
      <c r="AE280" s="277"/>
    </row>
    <row r="281" spans="1:31" ht="15.75" x14ac:dyDescent="0.25">
      <c r="A281" s="56" t="s">
        <v>649</v>
      </c>
      <c r="B281" s="56">
        <v>9</v>
      </c>
      <c r="C281" s="56">
        <v>313</v>
      </c>
      <c r="D281" s="56" t="s">
        <v>633</v>
      </c>
      <c r="E281" s="56">
        <v>1</v>
      </c>
      <c r="F281" s="278">
        <v>45747.692361111112</v>
      </c>
      <c r="G281" s="56">
        <v>1</v>
      </c>
      <c r="H281" s="56">
        <v>51.377400000000002</v>
      </c>
      <c r="I281" s="56">
        <v>9.4966000000000008</v>
      </c>
      <c r="J281" s="56">
        <v>9.7271280000000004</v>
      </c>
      <c r="K281" s="56">
        <v>10.580819999999999</v>
      </c>
      <c r="L281" s="56">
        <v>1076.3</v>
      </c>
      <c r="M281" s="56">
        <v>84.50009</v>
      </c>
      <c r="N281" s="274">
        <v>11052.47</v>
      </c>
      <c r="O281" s="56">
        <v>10998.65</v>
      </c>
      <c r="P281" s="275">
        <v>2082.02</v>
      </c>
      <c r="Q281" s="275">
        <f t="shared" si="2"/>
        <v>2082.02</v>
      </c>
      <c r="R281" s="275" t="s">
        <v>584</v>
      </c>
      <c r="S281" s="275">
        <v>10</v>
      </c>
      <c r="T281" s="275">
        <v>5</v>
      </c>
      <c r="U281" s="275">
        <v>0.7</v>
      </c>
      <c r="V281" s="275">
        <v>0.7</v>
      </c>
      <c r="W281" s="275">
        <v>0.7</v>
      </c>
      <c r="X281" s="56">
        <v>2000</v>
      </c>
      <c r="Y281" s="56" t="s">
        <v>571</v>
      </c>
      <c r="Z281" s="56">
        <v>0.2</v>
      </c>
      <c r="AA281" s="56" t="s">
        <v>572</v>
      </c>
      <c r="AB281" s="56" t="s">
        <v>573</v>
      </c>
      <c r="AC281" s="56">
        <v>220</v>
      </c>
      <c r="AD281" s="277" t="s">
        <v>19</v>
      </c>
      <c r="AE281" s="277"/>
    </row>
    <row r="282" spans="1:31" ht="15.75" x14ac:dyDescent="0.25">
      <c r="A282" s="56" t="s">
        <v>650</v>
      </c>
      <c r="B282" s="56">
        <v>9</v>
      </c>
      <c r="C282" s="56">
        <v>313</v>
      </c>
      <c r="D282" s="56" t="s">
        <v>633</v>
      </c>
      <c r="E282" s="56">
        <v>1</v>
      </c>
      <c r="F282" s="278">
        <v>45747.695138888892</v>
      </c>
      <c r="G282" s="56">
        <v>1</v>
      </c>
      <c r="H282" s="56">
        <v>51.377400000000002</v>
      </c>
      <c r="I282" s="56">
        <v>9.5965399999999992</v>
      </c>
      <c r="J282" s="56">
        <v>9.8175500000000007</v>
      </c>
      <c r="K282" s="56">
        <v>10.87326</v>
      </c>
      <c r="L282" s="56">
        <v>1045.27</v>
      </c>
      <c r="M282" s="56">
        <v>74.500209999999996</v>
      </c>
      <c r="N282" s="274">
        <v>11020.48</v>
      </c>
      <c r="O282" s="56">
        <v>10998.65</v>
      </c>
      <c r="P282" s="275">
        <v>2082.02</v>
      </c>
      <c r="Q282" s="275">
        <f t="shared" si="2"/>
        <v>2082.02</v>
      </c>
      <c r="R282" s="275" t="s">
        <v>584</v>
      </c>
      <c r="S282" s="275">
        <v>10</v>
      </c>
      <c r="T282" s="275">
        <v>5</v>
      </c>
      <c r="U282" s="275">
        <v>0.7</v>
      </c>
      <c r="V282" s="275">
        <v>0.7</v>
      </c>
      <c r="W282" s="275">
        <v>0.7</v>
      </c>
      <c r="X282" s="56">
        <v>2000</v>
      </c>
      <c r="Y282" s="56" t="s">
        <v>571</v>
      </c>
      <c r="Z282" s="56">
        <v>0.2</v>
      </c>
      <c r="AA282" s="56" t="s">
        <v>572</v>
      </c>
      <c r="AB282" s="56" t="s">
        <v>573</v>
      </c>
      <c r="AC282" s="56">
        <v>220</v>
      </c>
      <c r="AD282" s="277" t="s">
        <v>19</v>
      </c>
      <c r="AE282" s="277"/>
    </row>
    <row r="283" spans="1:31" ht="15.75" x14ac:dyDescent="0.25">
      <c r="A283" s="56" t="s">
        <v>756</v>
      </c>
      <c r="B283" s="56">
        <v>9</v>
      </c>
      <c r="C283" s="56">
        <v>313</v>
      </c>
      <c r="D283" s="56" t="s">
        <v>633</v>
      </c>
      <c r="E283" s="56">
        <v>1</v>
      </c>
      <c r="F283" s="278">
        <v>45747.697916666664</v>
      </c>
      <c r="G283" s="56">
        <v>1</v>
      </c>
      <c r="H283" s="56">
        <v>51.374099999999999</v>
      </c>
      <c r="I283" s="56">
        <v>9.60562</v>
      </c>
      <c r="J283" s="56">
        <v>9.7983200000000004</v>
      </c>
      <c r="K283" s="56">
        <v>11.28181</v>
      </c>
      <c r="L283" s="56">
        <v>1037.07</v>
      </c>
      <c r="M283" s="56">
        <v>69.000429999999994</v>
      </c>
      <c r="N283" s="274">
        <v>10992.08</v>
      </c>
      <c r="O283" s="56">
        <v>10998.65</v>
      </c>
      <c r="P283" s="275">
        <v>2082.02</v>
      </c>
      <c r="Q283" s="275">
        <f t="shared" si="2"/>
        <v>2082.02</v>
      </c>
      <c r="R283" s="275" t="s">
        <v>570</v>
      </c>
      <c r="S283" s="275">
        <v>10</v>
      </c>
      <c r="T283" s="275">
        <v>5</v>
      </c>
      <c r="U283" s="275">
        <v>0.7</v>
      </c>
      <c r="V283" s="275">
        <v>0.7</v>
      </c>
      <c r="W283" s="275">
        <v>0.7</v>
      </c>
      <c r="X283" s="56">
        <v>2000</v>
      </c>
      <c r="Y283" s="56" t="s">
        <v>571</v>
      </c>
      <c r="Z283" s="56">
        <v>0.2</v>
      </c>
      <c r="AA283" s="56" t="s">
        <v>572</v>
      </c>
      <c r="AB283" s="56" t="s">
        <v>573</v>
      </c>
      <c r="AC283" s="56">
        <v>220</v>
      </c>
      <c r="AD283" s="277" t="s">
        <v>19</v>
      </c>
      <c r="AE283" s="277"/>
    </row>
    <row r="284" spans="1:31" ht="15.75" x14ac:dyDescent="0.25">
      <c r="A284" s="56" t="s">
        <v>757</v>
      </c>
      <c r="B284" s="56">
        <v>9</v>
      </c>
      <c r="C284" s="56">
        <v>313</v>
      </c>
      <c r="D284" s="56" t="s">
        <v>633</v>
      </c>
      <c r="E284" s="56">
        <v>1</v>
      </c>
      <c r="F284" s="278">
        <v>45747.700694444444</v>
      </c>
      <c r="G284" s="56">
        <v>1</v>
      </c>
      <c r="H284" s="56">
        <v>51.374099999999999</v>
      </c>
      <c r="I284" s="56">
        <v>9.6746999999999996</v>
      </c>
      <c r="J284" s="56">
        <v>9.7809310000000007</v>
      </c>
      <c r="K284" s="56">
        <v>11.32203</v>
      </c>
      <c r="L284" s="56">
        <v>1038.99</v>
      </c>
      <c r="M284" s="56">
        <v>69.49888</v>
      </c>
      <c r="N284" s="274">
        <v>11005.23</v>
      </c>
      <c r="O284" s="56">
        <v>10998.65</v>
      </c>
      <c r="P284" s="275">
        <v>2082.02</v>
      </c>
      <c r="Q284" s="275">
        <f t="shared" si="2"/>
        <v>2082.02</v>
      </c>
      <c r="R284" s="275" t="s">
        <v>570</v>
      </c>
      <c r="S284" s="275">
        <v>10</v>
      </c>
      <c r="T284" s="275">
        <v>5</v>
      </c>
      <c r="U284" s="275">
        <v>0.7</v>
      </c>
      <c r="V284" s="275">
        <v>0.7</v>
      </c>
      <c r="W284" s="275">
        <v>0.7</v>
      </c>
      <c r="X284" s="56">
        <v>2000</v>
      </c>
      <c r="Y284" s="56" t="s">
        <v>571</v>
      </c>
      <c r="Z284" s="56">
        <v>0.2</v>
      </c>
      <c r="AA284" s="56" t="s">
        <v>572</v>
      </c>
      <c r="AB284" s="56" t="s">
        <v>573</v>
      </c>
      <c r="AC284" s="56">
        <v>220</v>
      </c>
      <c r="AD284" s="277" t="s">
        <v>19</v>
      </c>
      <c r="AE284" s="277"/>
    </row>
    <row r="285" spans="1:31" ht="15.75" x14ac:dyDescent="0.25">
      <c r="A285" s="56" t="s">
        <v>651</v>
      </c>
      <c r="B285" s="56">
        <v>10</v>
      </c>
      <c r="C285" s="56">
        <v>314</v>
      </c>
      <c r="D285" s="56" t="s">
        <v>637</v>
      </c>
      <c r="E285" s="56">
        <v>1</v>
      </c>
      <c r="F285" s="278">
        <v>45747.70416666667</v>
      </c>
      <c r="G285" s="56">
        <v>1</v>
      </c>
      <c r="H285" s="56">
        <v>51.377400000000002</v>
      </c>
      <c r="I285" s="56">
        <v>9.6020199999999996</v>
      </c>
      <c r="J285" s="56">
        <v>9.7790079999999993</v>
      </c>
      <c r="K285" s="56">
        <v>11.395580000000001</v>
      </c>
      <c r="L285" s="56">
        <v>1087.79</v>
      </c>
      <c r="M285" s="56">
        <v>69.498840000000001</v>
      </c>
      <c r="N285" s="274">
        <v>10988.38</v>
      </c>
      <c r="O285" s="56">
        <v>10980.53</v>
      </c>
      <c r="P285" s="275">
        <v>2078.6120000000001</v>
      </c>
      <c r="Q285" s="275">
        <f t="shared" si="2"/>
        <v>2078.6120000000001</v>
      </c>
      <c r="R285" s="275" t="s">
        <v>570</v>
      </c>
      <c r="S285" s="275">
        <v>10</v>
      </c>
      <c r="T285" s="275">
        <v>5</v>
      </c>
      <c r="U285" s="275">
        <v>0.7</v>
      </c>
      <c r="V285" s="275">
        <v>0.7</v>
      </c>
      <c r="W285" s="275">
        <v>0.7</v>
      </c>
      <c r="X285" s="56">
        <v>2000</v>
      </c>
      <c r="Y285" s="56" t="s">
        <v>571</v>
      </c>
      <c r="Z285" s="56">
        <v>0.2</v>
      </c>
      <c r="AA285" s="56" t="s">
        <v>572</v>
      </c>
      <c r="AB285" s="56" t="s">
        <v>573</v>
      </c>
      <c r="AC285" s="56">
        <v>220</v>
      </c>
      <c r="AD285" s="277" t="s">
        <v>19</v>
      </c>
      <c r="AE285" s="277"/>
    </row>
    <row r="286" spans="1:31" ht="15.75" x14ac:dyDescent="0.25">
      <c r="A286" s="56" t="s">
        <v>652</v>
      </c>
      <c r="B286" s="56">
        <v>10</v>
      </c>
      <c r="C286" s="56">
        <v>314</v>
      </c>
      <c r="D286" s="56" t="s">
        <v>637</v>
      </c>
      <c r="E286" s="56">
        <v>1</v>
      </c>
      <c r="F286" s="278">
        <v>45747.706944444442</v>
      </c>
      <c r="G286" s="56">
        <v>1</v>
      </c>
      <c r="H286" s="56">
        <v>51.377400000000002</v>
      </c>
      <c r="I286" s="56">
        <v>9.6302500000000002</v>
      </c>
      <c r="J286" s="56">
        <v>9.779363</v>
      </c>
      <c r="K286" s="56">
        <v>11.17245</v>
      </c>
      <c r="L286" s="56">
        <v>1040.1400000000001</v>
      </c>
      <c r="M286" s="56">
        <v>72.499740000000003</v>
      </c>
      <c r="N286" s="274">
        <v>10972.68</v>
      </c>
      <c r="O286" s="56">
        <v>10980.53</v>
      </c>
      <c r="P286" s="275">
        <v>2078.6120000000001</v>
      </c>
      <c r="Q286" s="275">
        <f t="shared" si="2"/>
        <v>2078.6120000000001</v>
      </c>
      <c r="R286" s="275" t="s">
        <v>570</v>
      </c>
      <c r="S286" s="275">
        <v>10</v>
      </c>
      <c r="T286" s="275">
        <v>5</v>
      </c>
      <c r="U286" s="275">
        <v>0.7</v>
      </c>
      <c r="V286" s="275">
        <v>0.7</v>
      </c>
      <c r="W286" s="275">
        <v>0.7</v>
      </c>
      <c r="X286" s="56">
        <v>2000</v>
      </c>
      <c r="Y286" s="56" t="s">
        <v>571</v>
      </c>
      <c r="Z286" s="56">
        <v>0.2</v>
      </c>
      <c r="AA286" s="56" t="s">
        <v>572</v>
      </c>
      <c r="AB286" s="56" t="s">
        <v>573</v>
      </c>
      <c r="AC286" s="56">
        <v>220</v>
      </c>
      <c r="AD286" s="277" t="s">
        <v>19</v>
      </c>
      <c r="AE286" s="277"/>
    </row>
    <row r="287" spans="1:31" ht="15.75" x14ac:dyDescent="0.25">
      <c r="A287" s="280" t="s">
        <v>655</v>
      </c>
      <c r="B287" s="280">
        <v>11</v>
      </c>
      <c r="C287" s="280" t="s">
        <v>534</v>
      </c>
      <c r="D287" s="280" t="s">
        <v>569</v>
      </c>
      <c r="E287" s="280">
        <v>1</v>
      </c>
      <c r="F287" s="281">
        <v>45747.710416666669</v>
      </c>
      <c r="G287" s="280">
        <v>1</v>
      </c>
      <c r="H287" s="280">
        <v>51.370800000000003</v>
      </c>
      <c r="I287" s="280">
        <v>9.3835800000000003</v>
      </c>
      <c r="J287" s="280">
        <v>9.9034689999999994</v>
      </c>
      <c r="K287" s="280">
        <v>10.86162</v>
      </c>
      <c r="L287" s="280">
        <v>1071.6500000000001</v>
      </c>
      <c r="M287" s="280">
        <v>81.500039999999998</v>
      </c>
      <c r="N287" s="282">
        <v>11054.85</v>
      </c>
      <c r="O287" s="280">
        <v>11059.15</v>
      </c>
      <c r="P287" s="283">
        <v>2093.395</v>
      </c>
      <c r="Q287" s="275">
        <f t="shared" si="2"/>
        <v>2093.395</v>
      </c>
      <c r="R287" s="283" t="s">
        <v>570</v>
      </c>
      <c r="S287" s="275">
        <v>10</v>
      </c>
      <c r="T287" s="275">
        <v>5</v>
      </c>
      <c r="U287" s="275">
        <v>0.7</v>
      </c>
      <c r="V287" s="275">
        <v>0.7</v>
      </c>
      <c r="W287" s="275">
        <v>0.7</v>
      </c>
      <c r="X287" s="56">
        <v>2000</v>
      </c>
      <c r="Y287" s="56" t="s">
        <v>571</v>
      </c>
      <c r="Z287" s="56">
        <v>0.2</v>
      </c>
      <c r="AA287" s="56" t="s">
        <v>572</v>
      </c>
      <c r="AB287" s="56" t="s">
        <v>573</v>
      </c>
      <c r="AC287" s="56">
        <v>220</v>
      </c>
      <c r="AD287" s="277" t="s">
        <v>19</v>
      </c>
      <c r="AE287" s="277"/>
    </row>
    <row r="288" spans="1:31" ht="15.75" x14ac:dyDescent="0.25">
      <c r="A288" s="280" t="s">
        <v>656</v>
      </c>
      <c r="B288" s="280">
        <v>11</v>
      </c>
      <c r="C288" s="280" t="s">
        <v>534</v>
      </c>
      <c r="D288" s="280" t="s">
        <v>569</v>
      </c>
      <c r="E288" s="280">
        <v>1</v>
      </c>
      <c r="F288" s="281">
        <v>45747.713194444441</v>
      </c>
      <c r="G288" s="280">
        <v>1</v>
      </c>
      <c r="H288" s="280">
        <v>51.377400000000002</v>
      </c>
      <c r="I288" s="280">
        <v>9.4055</v>
      </c>
      <c r="J288" s="280">
        <v>9.6870609999999999</v>
      </c>
      <c r="K288" s="280">
        <v>10.61547</v>
      </c>
      <c r="L288" s="280">
        <v>1033.1099999999999</v>
      </c>
      <c r="M288" s="280">
        <v>90.001400000000004</v>
      </c>
      <c r="N288" s="282">
        <v>11063.45</v>
      </c>
      <c r="O288" s="280">
        <v>11059.15</v>
      </c>
      <c r="P288" s="283">
        <v>2093.395</v>
      </c>
      <c r="Q288" s="275">
        <f t="shared" si="2"/>
        <v>2093.395</v>
      </c>
      <c r="R288" s="283" t="s">
        <v>570</v>
      </c>
      <c r="S288" s="275">
        <v>10</v>
      </c>
      <c r="T288" s="275">
        <v>5</v>
      </c>
      <c r="U288" s="275">
        <v>0.7</v>
      </c>
      <c r="V288" s="275">
        <v>0.7</v>
      </c>
      <c r="W288" s="275">
        <v>0.7</v>
      </c>
      <c r="X288" s="56">
        <v>2000</v>
      </c>
      <c r="Y288" s="56" t="s">
        <v>571</v>
      </c>
      <c r="Z288" s="56">
        <v>0.2</v>
      </c>
      <c r="AA288" s="56" t="s">
        <v>572</v>
      </c>
      <c r="AB288" s="56" t="s">
        <v>573</v>
      </c>
      <c r="AC288" s="56">
        <v>220</v>
      </c>
      <c r="AD288" s="277" t="s">
        <v>19</v>
      </c>
      <c r="AE288" s="277"/>
    </row>
    <row r="289" spans="1:31" ht="15.75" x14ac:dyDescent="0.25">
      <c r="A289" s="56" t="s">
        <v>720</v>
      </c>
      <c r="B289" s="56" t="s">
        <v>583</v>
      </c>
      <c r="C289" s="56" t="s">
        <v>534</v>
      </c>
      <c r="D289" s="56" t="s">
        <v>569</v>
      </c>
      <c r="E289" s="56">
        <v>0.8</v>
      </c>
      <c r="F289" s="278">
        <v>45747.71597222222</v>
      </c>
      <c r="G289" s="56">
        <v>1</v>
      </c>
      <c r="H289" s="56">
        <v>51.377400000000002</v>
      </c>
      <c r="I289" s="56">
        <v>9.45974</v>
      </c>
      <c r="J289" s="56">
        <v>9.808033</v>
      </c>
      <c r="K289" s="56">
        <v>11.00329</v>
      </c>
      <c r="L289" s="56">
        <v>997.928</v>
      </c>
      <c r="M289" s="56">
        <v>71.000069999999994</v>
      </c>
      <c r="N289" s="274">
        <v>8819.152</v>
      </c>
      <c r="O289" s="56">
        <v>8800.8040000000001</v>
      </c>
      <c r="P289" s="275">
        <v>2091.86</v>
      </c>
      <c r="Q289" s="275">
        <f t="shared" si="2"/>
        <v>2091.86</v>
      </c>
      <c r="R289" s="275" t="s">
        <v>584</v>
      </c>
      <c r="S289" s="275">
        <v>10</v>
      </c>
      <c r="T289" s="275">
        <v>5</v>
      </c>
      <c r="U289" s="275">
        <v>0.7</v>
      </c>
      <c r="V289" s="275">
        <v>0.7</v>
      </c>
      <c r="W289" s="275">
        <v>0.7</v>
      </c>
      <c r="X289" s="56">
        <v>2000</v>
      </c>
      <c r="Y289" s="56" t="s">
        <v>571</v>
      </c>
      <c r="Z289" s="56">
        <v>0.2</v>
      </c>
      <c r="AA289" s="56" t="s">
        <v>572</v>
      </c>
      <c r="AB289" s="56" t="s">
        <v>573</v>
      </c>
      <c r="AC289" s="56">
        <v>220</v>
      </c>
      <c r="AD289" s="277" t="s">
        <v>19</v>
      </c>
      <c r="AE289" s="277"/>
    </row>
    <row r="290" spans="1:31" ht="15.75" x14ac:dyDescent="0.25">
      <c r="A290" s="56" t="s">
        <v>721</v>
      </c>
      <c r="B290" s="56" t="s">
        <v>583</v>
      </c>
      <c r="C290" s="56" t="s">
        <v>534</v>
      </c>
      <c r="D290" s="56" t="s">
        <v>569</v>
      </c>
      <c r="E290" s="56">
        <v>0.8</v>
      </c>
      <c r="F290" s="278">
        <v>45747.71875</v>
      </c>
      <c r="G290" s="56">
        <v>1</v>
      </c>
      <c r="H290" s="56">
        <v>51.377400000000002</v>
      </c>
      <c r="I290" s="56">
        <v>9.5436999999999994</v>
      </c>
      <c r="J290" s="56">
        <v>9.7950379999999999</v>
      </c>
      <c r="K290" s="56">
        <v>11.205959999999999</v>
      </c>
      <c r="L290" s="56">
        <v>986.41099999999994</v>
      </c>
      <c r="M290" s="56">
        <v>65.501329999999996</v>
      </c>
      <c r="N290" s="274">
        <v>8798.0239999999994</v>
      </c>
      <c r="O290" s="56">
        <v>8800.8040000000001</v>
      </c>
      <c r="P290" s="275">
        <v>2091.86</v>
      </c>
      <c r="Q290" s="275">
        <f t="shared" si="2"/>
        <v>2091.86</v>
      </c>
      <c r="R290" s="275" t="s">
        <v>570</v>
      </c>
      <c r="S290" s="275">
        <v>10</v>
      </c>
      <c r="T290" s="275">
        <v>5</v>
      </c>
      <c r="U290" s="275">
        <v>0.7</v>
      </c>
      <c r="V290" s="275">
        <v>0.7</v>
      </c>
      <c r="W290" s="275">
        <v>0.7</v>
      </c>
      <c r="X290" s="56">
        <v>2000</v>
      </c>
      <c r="Y290" s="56" t="s">
        <v>571</v>
      </c>
      <c r="Z290" s="56">
        <v>0.2</v>
      </c>
      <c r="AA290" s="56" t="s">
        <v>572</v>
      </c>
      <c r="AB290" s="56" t="s">
        <v>573</v>
      </c>
      <c r="AC290" s="56">
        <v>220</v>
      </c>
      <c r="AD290" s="277" t="s">
        <v>19</v>
      </c>
      <c r="AE290" s="277"/>
    </row>
    <row r="291" spans="1:31" ht="15.75" x14ac:dyDescent="0.25">
      <c r="A291" s="56" t="s">
        <v>758</v>
      </c>
      <c r="B291" s="56" t="s">
        <v>583</v>
      </c>
      <c r="C291" s="56" t="s">
        <v>534</v>
      </c>
      <c r="D291" s="56" t="s">
        <v>569</v>
      </c>
      <c r="E291" s="56">
        <v>0.8</v>
      </c>
      <c r="F291" s="278">
        <v>45747.72152777778</v>
      </c>
      <c r="G291" s="56">
        <v>1</v>
      </c>
      <c r="H291" s="56">
        <v>51.377400000000002</v>
      </c>
      <c r="I291" s="56">
        <v>9.5316500000000008</v>
      </c>
      <c r="J291" s="56">
        <v>9.8212609999999998</v>
      </c>
      <c r="K291" s="56">
        <v>11.121930000000001</v>
      </c>
      <c r="L291" s="56">
        <v>980.26599999999996</v>
      </c>
      <c r="M291" s="56">
        <v>68.000140000000002</v>
      </c>
      <c r="N291" s="274">
        <v>8803.5849999999991</v>
      </c>
      <c r="O291" s="56">
        <v>8800.8040000000001</v>
      </c>
      <c r="P291" s="275">
        <v>2091.86</v>
      </c>
      <c r="Q291" s="275">
        <f t="shared" si="2"/>
        <v>2091.86</v>
      </c>
      <c r="R291" s="275" t="s">
        <v>570</v>
      </c>
      <c r="S291" s="275">
        <v>10</v>
      </c>
      <c r="T291" s="275">
        <v>5</v>
      </c>
      <c r="U291" s="275">
        <v>0.7</v>
      </c>
      <c r="V291" s="275">
        <v>0.7</v>
      </c>
      <c r="W291" s="275">
        <v>0.7</v>
      </c>
      <c r="X291" s="56">
        <v>2000</v>
      </c>
      <c r="Y291" s="56" t="s">
        <v>571</v>
      </c>
      <c r="Z291" s="56">
        <v>0.2</v>
      </c>
      <c r="AA291" s="56" t="s">
        <v>572</v>
      </c>
      <c r="AB291" s="56" t="s">
        <v>573</v>
      </c>
      <c r="AC291" s="56">
        <v>220</v>
      </c>
      <c r="AD291" s="277" t="s">
        <v>19</v>
      </c>
      <c r="AE291" s="277"/>
    </row>
    <row r="292" spans="1:31" ht="15.75" x14ac:dyDescent="0.25">
      <c r="A292" s="56" t="s">
        <v>722</v>
      </c>
      <c r="B292" s="56" t="s">
        <v>589</v>
      </c>
      <c r="C292" s="56" t="s">
        <v>534</v>
      </c>
      <c r="D292" s="56" t="s">
        <v>569</v>
      </c>
      <c r="E292" s="56">
        <v>1</v>
      </c>
      <c r="F292" s="278">
        <v>45747.724305555559</v>
      </c>
      <c r="G292" s="56">
        <v>1</v>
      </c>
      <c r="H292" s="56">
        <v>51.377400000000002</v>
      </c>
      <c r="I292" s="56">
        <v>9.4340299999999999</v>
      </c>
      <c r="J292" s="56">
        <v>9.8096920000000001</v>
      </c>
      <c r="K292" s="56">
        <v>11.27643</v>
      </c>
      <c r="L292" s="56">
        <v>1067.3699999999999</v>
      </c>
      <c r="M292" s="56">
        <v>69.499430000000004</v>
      </c>
      <c r="N292" s="274">
        <v>11039.16</v>
      </c>
      <c r="O292" s="56">
        <v>11046.54</v>
      </c>
      <c r="P292" s="275">
        <v>2091.86</v>
      </c>
      <c r="Q292" s="275">
        <f t="shared" si="2"/>
        <v>2091.86</v>
      </c>
      <c r="R292" s="275" t="s">
        <v>570</v>
      </c>
      <c r="S292" s="275">
        <v>10</v>
      </c>
      <c r="T292" s="275">
        <v>5</v>
      </c>
      <c r="U292" s="275">
        <v>0.7</v>
      </c>
      <c r="V292" s="275">
        <v>0.7</v>
      </c>
      <c r="W292" s="275">
        <v>0.7</v>
      </c>
      <c r="X292" s="56">
        <v>2000</v>
      </c>
      <c r="Y292" s="56" t="s">
        <v>571</v>
      </c>
      <c r="Z292" s="56">
        <v>0.2</v>
      </c>
      <c r="AA292" s="56" t="s">
        <v>572</v>
      </c>
      <c r="AB292" s="56" t="s">
        <v>573</v>
      </c>
      <c r="AC292" s="56">
        <v>220</v>
      </c>
      <c r="AD292" s="277" t="s">
        <v>19</v>
      </c>
      <c r="AE292" s="277"/>
    </row>
    <row r="293" spans="1:31" ht="15.75" x14ac:dyDescent="0.25">
      <c r="A293" s="56" t="s">
        <v>723</v>
      </c>
      <c r="B293" s="56" t="s">
        <v>589</v>
      </c>
      <c r="C293" s="56" t="s">
        <v>534</v>
      </c>
      <c r="D293" s="56" t="s">
        <v>569</v>
      </c>
      <c r="E293" s="56">
        <v>1</v>
      </c>
      <c r="F293" s="278">
        <v>45747.727083333331</v>
      </c>
      <c r="G293" s="56">
        <v>1</v>
      </c>
      <c r="H293" s="56">
        <v>51.370800000000003</v>
      </c>
      <c r="I293" s="56">
        <v>9.4261599999999994</v>
      </c>
      <c r="J293" s="56">
        <v>9.9440349999999995</v>
      </c>
      <c r="K293" s="56">
        <v>11.13415</v>
      </c>
      <c r="L293" s="56">
        <v>1071.27</v>
      </c>
      <c r="M293" s="56">
        <v>79.499510000000001</v>
      </c>
      <c r="N293" s="274">
        <v>11053.91</v>
      </c>
      <c r="O293" s="56">
        <v>11046.54</v>
      </c>
      <c r="P293" s="275">
        <v>2091.86</v>
      </c>
      <c r="Q293" s="275">
        <f t="shared" si="2"/>
        <v>2091.86</v>
      </c>
      <c r="R293" s="275" t="s">
        <v>570</v>
      </c>
      <c r="S293" s="275">
        <v>10</v>
      </c>
      <c r="T293" s="275">
        <v>5</v>
      </c>
      <c r="U293" s="275">
        <v>0.7</v>
      </c>
      <c r="V293" s="275">
        <v>0.7</v>
      </c>
      <c r="W293" s="275">
        <v>0.7</v>
      </c>
      <c r="X293" s="56">
        <v>2000</v>
      </c>
      <c r="Y293" s="56" t="s">
        <v>571</v>
      </c>
      <c r="Z293" s="56">
        <v>0.2</v>
      </c>
      <c r="AA293" s="56" t="s">
        <v>572</v>
      </c>
      <c r="AB293" s="56" t="s">
        <v>573</v>
      </c>
      <c r="AC293" s="56">
        <v>220</v>
      </c>
      <c r="AD293" s="277" t="s">
        <v>19</v>
      </c>
      <c r="AE293" s="277"/>
    </row>
    <row r="294" spans="1:31" ht="15.75" x14ac:dyDescent="0.25">
      <c r="A294" s="56" t="s">
        <v>724</v>
      </c>
      <c r="B294" s="56" t="s">
        <v>594</v>
      </c>
      <c r="C294" s="56" t="s">
        <v>534</v>
      </c>
      <c r="D294" s="56" t="s">
        <v>569</v>
      </c>
      <c r="E294" s="56">
        <v>1.2</v>
      </c>
      <c r="F294" s="278">
        <v>45747.730555555558</v>
      </c>
      <c r="G294" s="56">
        <v>1</v>
      </c>
      <c r="H294" s="56">
        <v>51.374099999999999</v>
      </c>
      <c r="I294" s="56">
        <v>9.22241</v>
      </c>
      <c r="J294" s="56">
        <v>9.9392010000000006</v>
      </c>
      <c r="K294" s="56">
        <v>11.07236</v>
      </c>
      <c r="L294" s="56">
        <v>1085.7</v>
      </c>
      <c r="M294" s="56">
        <v>84.500370000000004</v>
      </c>
      <c r="N294" s="274">
        <v>13281.25</v>
      </c>
      <c r="O294" s="56">
        <v>13273.41</v>
      </c>
      <c r="P294" s="275">
        <v>2091.86</v>
      </c>
      <c r="Q294" s="275">
        <f t="shared" si="2"/>
        <v>2091.86</v>
      </c>
      <c r="R294" s="275" t="s">
        <v>570</v>
      </c>
      <c r="S294" s="275">
        <v>10</v>
      </c>
      <c r="T294" s="275">
        <v>5</v>
      </c>
      <c r="U294" s="275">
        <v>0.7</v>
      </c>
      <c r="V294" s="275">
        <v>0.7</v>
      </c>
      <c r="W294" s="275">
        <v>0.7</v>
      </c>
      <c r="X294" s="56">
        <v>2000</v>
      </c>
      <c r="Y294" s="56" t="s">
        <v>571</v>
      </c>
      <c r="Z294" s="56">
        <v>0.2</v>
      </c>
      <c r="AA294" s="56" t="s">
        <v>572</v>
      </c>
      <c r="AB294" s="56" t="s">
        <v>573</v>
      </c>
      <c r="AC294" s="56">
        <v>220</v>
      </c>
      <c r="AD294" s="277" t="s">
        <v>19</v>
      </c>
      <c r="AE294" s="277"/>
    </row>
    <row r="295" spans="1:31" ht="15.75" x14ac:dyDescent="0.25">
      <c r="A295" s="56" t="s">
        <v>725</v>
      </c>
      <c r="B295" s="56" t="s">
        <v>594</v>
      </c>
      <c r="C295" s="56" t="s">
        <v>534</v>
      </c>
      <c r="D295" s="56" t="s">
        <v>569</v>
      </c>
      <c r="E295" s="56">
        <v>1.2</v>
      </c>
      <c r="F295" s="278">
        <v>45747.73333333333</v>
      </c>
      <c r="G295" s="56">
        <v>1</v>
      </c>
      <c r="H295" s="56">
        <v>51.374099999999999</v>
      </c>
      <c r="I295" s="56">
        <v>9.1993200000000002</v>
      </c>
      <c r="J295" s="56">
        <v>9.8858040000000003</v>
      </c>
      <c r="K295" s="56">
        <v>11.043430000000001</v>
      </c>
      <c r="L295" s="56">
        <v>1078.05</v>
      </c>
      <c r="M295" s="56">
        <v>82.500079999999997</v>
      </c>
      <c r="N295" s="274">
        <v>13265.56</v>
      </c>
      <c r="O295" s="56">
        <v>13273.41</v>
      </c>
      <c r="P295" s="275">
        <v>2091.86</v>
      </c>
      <c r="Q295" s="275">
        <f t="shared" si="2"/>
        <v>2091.86</v>
      </c>
      <c r="R295" s="275" t="s">
        <v>570</v>
      </c>
      <c r="S295" s="275">
        <v>10</v>
      </c>
      <c r="T295" s="275">
        <v>5</v>
      </c>
      <c r="U295" s="275">
        <v>0.7</v>
      </c>
      <c r="V295" s="275">
        <v>0.7</v>
      </c>
      <c r="W295" s="275">
        <v>0.7</v>
      </c>
      <c r="X295" s="56">
        <v>2000</v>
      </c>
      <c r="Y295" s="56" t="s">
        <v>571</v>
      </c>
      <c r="Z295" s="56">
        <v>0.2</v>
      </c>
      <c r="AA295" s="56" t="s">
        <v>572</v>
      </c>
      <c r="AB295" s="56" t="s">
        <v>573</v>
      </c>
      <c r="AC295" s="56">
        <v>220</v>
      </c>
      <c r="AD295" s="277" t="s">
        <v>19</v>
      </c>
      <c r="AE295" s="277"/>
    </row>
    <row r="296" spans="1:31" ht="15.75" x14ac:dyDescent="0.25">
      <c r="A296" s="56" t="s">
        <v>661</v>
      </c>
      <c r="B296" s="56">
        <v>2</v>
      </c>
      <c r="C296" s="56" t="s">
        <v>534</v>
      </c>
      <c r="D296" s="56" t="s">
        <v>569</v>
      </c>
      <c r="E296" s="56">
        <v>1</v>
      </c>
      <c r="F296" s="278">
        <v>45747.736111111109</v>
      </c>
      <c r="G296" s="56">
        <v>1</v>
      </c>
      <c r="H296" s="56">
        <v>51.374099999999999</v>
      </c>
      <c r="I296" s="56">
        <v>9.77501</v>
      </c>
      <c r="J296" s="56">
        <v>10.12279</v>
      </c>
      <c r="K296" s="56">
        <v>11.457929999999999</v>
      </c>
      <c r="L296" s="56">
        <v>1069.5</v>
      </c>
      <c r="M296" s="56">
        <v>70.501260000000002</v>
      </c>
      <c r="N296" s="274">
        <v>11023.71</v>
      </c>
      <c r="O296" s="56">
        <v>11032.65</v>
      </c>
      <c r="P296" s="275">
        <v>2090.4389999999999</v>
      </c>
      <c r="Q296" s="275">
        <f t="shared" si="2"/>
        <v>2090.4389999999999</v>
      </c>
      <c r="R296" s="275" t="s">
        <v>584</v>
      </c>
      <c r="S296" s="275">
        <v>10</v>
      </c>
      <c r="T296" s="275">
        <v>5</v>
      </c>
      <c r="U296" s="275">
        <v>0.7</v>
      </c>
      <c r="V296" s="275">
        <v>0.7</v>
      </c>
      <c r="W296" s="275">
        <v>0.7</v>
      </c>
      <c r="X296" s="56">
        <v>2000</v>
      </c>
      <c r="Y296" s="56" t="s">
        <v>571</v>
      </c>
      <c r="Z296" s="56">
        <v>0.2</v>
      </c>
      <c r="AA296" s="56" t="s">
        <v>572</v>
      </c>
      <c r="AB296" s="56" t="s">
        <v>573</v>
      </c>
      <c r="AC296" s="56">
        <v>220</v>
      </c>
      <c r="AD296" s="277" t="s">
        <v>19</v>
      </c>
      <c r="AE296" s="277"/>
    </row>
    <row r="297" spans="1:31" ht="15.75" x14ac:dyDescent="0.25">
      <c r="A297" s="56" t="s">
        <v>662</v>
      </c>
      <c r="B297" s="56">
        <v>2</v>
      </c>
      <c r="C297" s="56" t="s">
        <v>534</v>
      </c>
      <c r="D297" s="56" t="s">
        <v>569</v>
      </c>
      <c r="E297" s="56">
        <v>1</v>
      </c>
      <c r="F297" s="278">
        <v>45747.738888888889</v>
      </c>
      <c r="G297" s="56">
        <v>1</v>
      </c>
      <c r="H297" s="56">
        <v>51.377400000000002</v>
      </c>
      <c r="I297" s="56">
        <v>9.8740299999999994</v>
      </c>
      <c r="J297" s="56">
        <v>9.9874659999999995</v>
      </c>
      <c r="K297" s="56">
        <v>12.204230000000001</v>
      </c>
      <c r="L297" s="56">
        <v>1052.5899999999999</v>
      </c>
      <c r="M297" s="56">
        <v>67.999610000000004</v>
      </c>
      <c r="N297" s="274">
        <v>10969.24</v>
      </c>
      <c r="O297" s="56">
        <v>11032.65</v>
      </c>
      <c r="P297" s="275">
        <v>2090.4389999999999</v>
      </c>
      <c r="Q297" s="275">
        <f t="shared" si="2"/>
        <v>2090.4389999999999</v>
      </c>
      <c r="R297" s="275" t="s">
        <v>584</v>
      </c>
      <c r="S297" s="275">
        <v>10</v>
      </c>
      <c r="T297" s="275">
        <v>5</v>
      </c>
      <c r="U297" s="275">
        <v>0.7</v>
      </c>
      <c r="V297" s="275">
        <v>0.7</v>
      </c>
      <c r="W297" s="275">
        <v>0.7</v>
      </c>
      <c r="X297" s="56">
        <v>2000</v>
      </c>
      <c r="Y297" s="56" t="s">
        <v>571</v>
      </c>
      <c r="Z297" s="56">
        <v>0.2</v>
      </c>
      <c r="AA297" s="56" t="s">
        <v>572</v>
      </c>
      <c r="AB297" s="56" t="s">
        <v>573</v>
      </c>
      <c r="AC297" s="56">
        <v>220</v>
      </c>
      <c r="AD297" s="277" t="s">
        <v>19</v>
      </c>
      <c r="AE297" s="277"/>
    </row>
    <row r="298" spans="1:31" ht="15.75" x14ac:dyDescent="0.25">
      <c r="A298" s="280" t="s">
        <v>759</v>
      </c>
      <c r="B298" s="280">
        <v>2</v>
      </c>
      <c r="C298" s="280" t="s">
        <v>534</v>
      </c>
      <c r="D298" s="280" t="s">
        <v>569</v>
      </c>
      <c r="E298" s="280">
        <v>1</v>
      </c>
      <c r="F298" s="281">
        <v>45747.741666666669</v>
      </c>
      <c r="G298" s="280">
        <v>1</v>
      </c>
      <c r="H298" s="280">
        <v>51.380699999999997</v>
      </c>
      <c r="I298" s="280">
        <v>9.7015499999999992</v>
      </c>
      <c r="J298" s="280">
        <v>9.9442299999999992</v>
      </c>
      <c r="K298" s="280">
        <v>11.634209999999999</v>
      </c>
      <c r="L298" s="280">
        <v>1041.52</v>
      </c>
      <c r="M298" s="280">
        <v>71.998649999999998</v>
      </c>
      <c r="N298" s="282">
        <v>11025.19</v>
      </c>
      <c r="O298" s="280">
        <v>11032.65</v>
      </c>
      <c r="P298" s="283">
        <v>2090.4389999999999</v>
      </c>
      <c r="Q298" s="283">
        <f t="shared" si="2"/>
        <v>2090.4389999999999</v>
      </c>
      <c r="R298" s="283" t="s">
        <v>570</v>
      </c>
      <c r="S298" s="275">
        <v>10</v>
      </c>
      <c r="T298" s="275">
        <v>5</v>
      </c>
      <c r="U298" s="275">
        <v>0.7</v>
      </c>
      <c r="V298" s="275">
        <v>0.7</v>
      </c>
      <c r="W298" s="275">
        <v>0.7</v>
      </c>
      <c r="X298" s="56">
        <v>2000</v>
      </c>
      <c r="Y298" s="56" t="s">
        <v>571</v>
      </c>
      <c r="Z298" s="56">
        <v>0.2</v>
      </c>
      <c r="AA298" s="56" t="s">
        <v>572</v>
      </c>
      <c r="AB298" s="56" t="s">
        <v>573</v>
      </c>
      <c r="AC298" s="56">
        <v>220</v>
      </c>
      <c r="AD298" s="277" t="s">
        <v>19</v>
      </c>
      <c r="AE298" s="277"/>
    </row>
    <row r="299" spans="1:31" ht="15.75" x14ac:dyDescent="0.25">
      <c r="A299" s="280" t="s">
        <v>760</v>
      </c>
      <c r="B299" s="280">
        <v>2</v>
      </c>
      <c r="C299" s="280" t="s">
        <v>534</v>
      </c>
      <c r="D299" s="280" t="s">
        <v>569</v>
      </c>
      <c r="E299" s="280">
        <v>1</v>
      </c>
      <c r="F299" s="281">
        <v>45747.744444444441</v>
      </c>
      <c r="G299" s="280">
        <v>1</v>
      </c>
      <c r="H299" s="280">
        <v>51.377400000000002</v>
      </c>
      <c r="I299" s="280">
        <v>9.5823800000000006</v>
      </c>
      <c r="J299" s="280">
        <v>10.0665</v>
      </c>
      <c r="K299" s="280">
        <v>10.97113</v>
      </c>
      <c r="L299" s="280">
        <v>1075.71</v>
      </c>
      <c r="M299" s="280">
        <v>83.00085</v>
      </c>
      <c r="N299" s="282">
        <v>11040.12</v>
      </c>
      <c r="O299" s="280">
        <v>11032.65</v>
      </c>
      <c r="P299" s="283">
        <v>2090.4389999999999</v>
      </c>
      <c r="Q299" s="283">
        <f t="shared" si="2"/>
        <v>2090.4389999999999</v>
      </c>
      <c r="R299" s="283" t="s">
        <v>570</v>
      </c>
      <c r="S299" s="275">
        <v>10</v>
      </c>
      <c r="T299" s="275">
        <v>5</v>
      </c>
      <c r="U299" s="275">
        <v>0.7</v>
      </c>
      <c r="V299" s="275">
        <v>0.7</v>
      </c>
      <c r="W299" s="275">
        <v>0.7</v>
      </c>
      <c r="X299" s="56">
        <v>2000</v>
      </c>
      <c r="Y299" s="56" t="s">
        <v>571</v>
      </c>
      <c r="Z299" s="56">
        <v>0.2</v>
      </c>
      <c r="AA299" s="56" t="s">
        <v>572</v>
      </c>
      <c r="AB299" s="56" t="s">
        <v>573</v>
      </c>
      <c r="AC299" s="56">
        <v>220</v>
      </c>
      <c r="AD299" s="277" t="s">
        <v>19</v>
      </c>
      <c r="AE299" s="277"/>
    </row>
    <row r="300" spans="1:31" ht="15.75" x14ac:dyDescent="0.25">
      <c r="A300" s="56" t="s">
        <v>663</v>
      </c>
      <c r="B300" s="56">
        <v>3</v>
      </c>
      <c r="C300" s="56">
        <v>118</v>
      </c>
      <c r="D300" s="56" t="s">
        <v>600</v>
      </c>
      <c r="E300" s="56">
        <v>1</v>
      </c>
      <c r="F300" s="278">
        <v>45747.747916666667</v>
      </c>
      <c r="G300" s="56">
        <v>1</v>
      </c>
      <c r="H300" s="56">
        <v>51.377400000000002</v>
      </c>
      <c r="I300" s="56">
        <v>9.6440999999999999</v>
      </c>
      <c r="J300" s="56">
        <v>10.077260000000001</v>
      </c>
      <c r="K300" s="56">
        <v>11.85331</v>
      </c>
      <c r="L300" s="56">
        <v>1079.01</v>
      </c>
      <c r="M300" s="56">
        <v>67.499489999999994</v>
      </c>
      <c r="N300" s="274">
        <v>11040.01</v>
      </c>
      <c r="O300" s="56">
        <v>11079.34</v>
      </c>
      <c r="P300" s="275">
        <v>2099.172</v>
      </c>
      <c r="Q300" s="275">
        <f t="shared" ref="Q300:Q328" si="3">((B300/B$329)*(Q$329-P$329))+P300</f>
        <v>2101.4773636363639</v>
      </c>
      <c r="R300" s="275" t="s">
        <v>584</v>
      </c>
      <c r="S300" s="275">
        <v>10</v>
      </c>
      <c r="T300" s="275">
        <v>5</v>
      </c>
      <c r="U300" s="275">
        <v>0.7</v>
      </c>
      <c r="V300" s="275">
        <v>0.7</v>
      </c>
      <c r="W300" s="275">
        <v>0.7</v>
      </c>
      <c r="X300" s="56">
        <v>2000</v>
      </c>
      <c r="Y300" s="56" t="s">
        <v>571</v>
      </c>
      <c r="Z300" s="56">
        <v>0.2</v>
      </c>
      <c r="AA300" s="56" t="s">
        <v>572</v>
      </c>
      <c r="AB300" s="56" t="s">
        <v>573</v>
      </c>
      <c r="AC300" s="56">
        <v>220</v>
      </c>
      <c r="AD300" s="277" t="s">
        <v>19</v>
      </c>
      <c r="AE300" s="277"/>
    </row>
    <row r="301" spans="1:31" ht="15.75" x14ac:dyDescent="0.25">
      <c r="A301" s="56" t="s">
        <v>664</v>
      </c>
      <c r="B301" s="56">
        <v>3</v>
      </c>
      <c r="C301" s="56">
        <v>118</v>
      </c>
      <c r="D301" s="56" t="s">
        <v>600</v>
      </c>
      <c r="E301" s="56">
        <v>1</v>
      </c>
      <c r="F301" s="278">
        <v>45747.750694444447</v>
      </c>
      <c r="G301" s="56">
        <v>1</v>
      </c>
      <c r="H301" s="56">
        <v>51.377400000000002</v>
      </c>
      <c r="I301" s="56">
        <v>9.6627799999999997</v>
      </c>
      <c r="J301" s="56">
        <v>9.9809570000000001</v>
      </c>
      <c r="K301" s="56">
        <v>11.21519</v>
      </c>
      <c r="L301" s="56">
        <v>1052.3900000000001</v>
      </c>
      <c r="M301" s="56">
        <v>80.500320000000002</v>
      </c>
      <c r="N301" s="274">
        <v>11088.88</v>
      </c>
      <c r="O301" s="56">
        <v>11079.34</v>
      </c>
      <c r="P301" s="275">
        <v>2099.172</v>
      </c>
      <c r="Q301" s="275">
        <f t="shared" si="3"/>
        <v>2101.4773636363639</v>
      </c>
      <c r="R301" s="275" t="s">
        <v>570</v>
      </c>
      <c r="S301" s="275">
        <v>10</v>
      </c>
      <c r="T301" s="275">
        <v>5</v>
      </c>
      <c r="U301" s="275">
        <v>0.7</v>
      </c>
      <c r="V301" s="275">
        <v>0.7</v>
      </c>
      <c r="W301" s="275">
        <v>0.7</v>
      </c>
      <c r="X301" s="56">
        <v>2000</v>
      </c>
      <c r="Y301" s="56" t="s">
        <v>571</v>
      </c>
      <c r="Z301" s="56">
        <v>0.2</v>
      </c>
      <c r="AA301" s="56" t="s">
        <v>572</v>
      </c>
      <c r="AB301" s="56" t="s">
        <v>573</v>
      </c>
      <c r="AC301" s="56">
        <v>220</v>
      </c>
      <c r="AD301" s="277" t="s">
        <v>19</v>
      </c>
      <c r="AE301" s="277"/>
    </row>
    <row r="302" spans="1:31" ht="15.75" x14ac:dyDescent="0.25">
      <c r="A302" s="56" t="s">
        <v>761</v>
      </c>
      <c r="B302" s="56">
        <v>3</v>
      </c>
      <c r="C302" s="56">
        <v>118</v>
      </c>
      <c r="D302" s="56" t="s">
        <v>600</v>
      </c>
      <c r="E302" s="56">
        <v>1</v>
      </c>
      <c r="F302" s="278">
        <v>45747.754166666666</v>
      </c>
      <c r="G302" s="56">
        <v>1</v>
      </c>
      <c r="H302" s="56">
        <v>51.370800000000003</v>
      </c>
      <c r="I302" s="56">
        <v>9.8013999999999992</v>
      </c>
      <c r="J302" s="56">
        <v>10.096550000000001</v>
      </c>
      <c r="K302" s="56">
        <v>11.40354</v>
      </c>
      <c r="L302" s="56">
        <v>1063.68</v>
      </c>
      <c r="M302" s="56">
        <v>70.499840000000006</v>
      </c>
      <c r="N302" s="274">
        <v>11069.79</v>
      </c>
      <c r="O302" s="56">
        <v>11079.34</v>
      </c>
      <c r="P302" s="275">
        <v>2099.172</v>
      </c>
      <c r="Q302" s="275">
        <f t="shared" si="3"/>
        <v>2101.4773636363639</v>
      </c>
      <c r="R302" s="275" t="s">
        <v>570</v>
      </c>
      <c r="S302" s="275">
        <v>10</v>
      </c>
      <c r="T302" s="275">
        <v>5</v>
      </c>
      <c r="U302" s="275">
        <v>0.7</v>
      </c>
      <c r="V302" s="275">
        <v>0.7</v>
      </c>
      <c r="W302" s="275">
        <v>0.7</v>
      </c>
      <c r="X302" s="56">
        <v>2000</v>
      </c>
      <c r="Y302" s="56" t="s">
        <v>571</v>
      </c>
      <c r="Z302" s="56">
        <v>0.2</v>
      </c>
      <c r="AA302" s="56" t="s">
        <v>572</v>
      </c>
      <c r="AB302" s="56" t="s">
        <v>573</v>
      </c>
      <c r="AC302" s="56">
        <v>220</v>
      </c>
      <c r="AD302" s="277" t="s">
        <v>19</v>
      </c>
      <c r="AE302" s="277"/>
    </row>
    <row r="303" spans="1:31" ht="15.75" x14ac:dyDescent="0.25">
      <c r="A303" s="56" t="s">
        <v>665</v>
      </c>
      <c r="B303" s="56">
        <v>4</v>
      </c>
      <c r="C303" s="56">
        <v>119</v>
      </c>
      <c r="D303" s="56" t="s">
        <v>604</v>
      </c>
      <c r="E303" s="56">
        <v>1</v>
      </c>
      <c r="F303" s="278">
        <v>45747.757638888892</v>
      </c>
      <c r="G303" s="56">
        <v>1</v>
      </c>
      <c r="H303" s="56">
        <v>51.370800000000003</v>
      </c>
      <c r="I303" s="56">
        <v>9.4819999999999993</v>
      </c>
      <c r="J303" s="56">
        <v>10.20138</v>
      </c>
      <c r="K303" s="56">
        <v>11.345230000000001</v>
      </c>
      <c r="L303" s="56">
        <v>1054.02</v>
      </c>
      <c r="M303" s="56">
        <v>78.001360000000005</v>
      </c>
      <c r="N303" s="274">
        <v>11076.67</v>
      </c>
      <c r="O303" s="56">
        <v>11074.89</v>
      </c>
      <c r="P303" s="275">
        <v>2098.3409999999999</v>
      </c>
      <c r="Q303" s="275">
        <f t="shared" si="3"/>
        <v>2101.4148181818182</v>
      </c>
      <c r="R303" s="275" t="s">
        <v>570</v>
      </c>
      <c r="S303" s="275">
        <v>10</v>
      </c>
      <c r="T303" s="275">
        <v>5</v>
      </c>
      <c r="U303" s="275">
        <v>0.7</v>
      </c>
      <c r="V303" s="275">
        <v>0.7</v>
      </c>
      <c r="W303" s="275">
        <v>0.7</v>
      </c>
      <c r="X303" s="56">
        <v>2000</v>
      </c>
      <c r="Y303" s="56" t="s">
        <v>571</v>
      </c>
      <c r="Z303" s="56">
        <v>0.2</v>
      </c>
      <c r="AA303" s="56" t="s">
        <v>572</v>
      </c>
      <c r="AB303" s="56" t="s">
        <v>573</v>
      </c>
      <c r="AC303" s="56">
        <v>220</v>
      </c>
      <c r="AD303" s="277" t="s">
        <v>19</v>
      </c>
      <c r="AE303" s="277"/>
    </row>
    <row r="304" spans="1:31" ht="15.75" x14ac:dyDescent="0.25">
      <c r="A304" s="56" t="s">
        <v>666</v>
      </c>
      <c r="B304" s="56">
        <v>4</v>
      </c>
      <c r="C304" s="56">
        <v>119</v>
      </c>
      <c r="D304" s="56" t="s">
        <v>604</v>
      </c>
      <c r="E304" s="56">
        <v>1</v>
      </c>
      <c r="F304" s="278">
        <v>45747.760416666664</v>
      </c>
      <c r="G304" s="56">
        <v>1</v>
      </c>
      <c r="H304" s="56">
        <v>51.370800000000003</v>
      </c>
      <c r="I304" s="56">
        <v>9.6445100000000004</v>
      </c>
      <c r="J304" s="56">
        <v>10.11158</v>
      </c>
      <c r="K304" s="56">
        <v>11.59911</v>
      </c>
      <c r="L304" s="56">
        <v>1041.8900000000001</v>
      </c>
      <c r="M304" s="56">
        <v>74.000060000000005</v>
      </c>
      <c r="N304" s="274">
        <v>11073.11</v>
      </c>
      <c r="O304" s="56">
        <v>11074.89</v>
      </c>
      <c r="P304" s="275">
        <v>2098.3409999999999</v>
      </c>
      <c r="Q304" s="275">
        <f t="shared" si="3"/>
        <v>2101.4148181818182</v>
      </c>
      <c r="R304" s="275" t="s">
        <v>570</v>
      </c>
      <c r="S304" s="275">
        <v>10</v>
      </c>
      <c r="T304" s="275">
        <v>5</v>
      </c>
      <c r="U304" s="275">
        <v>0.7</v>
      </c>
      <c r="V304" s="275">
        <v>0.7</v>
      </c>
      <c r="W304" s="275">
        <v>0.7</v>
      </c>
      <c r="X304" s="56">
        <v>2000</v>
      </c>
      <c r="Y304" s="56" t="s">
        <v>571</v>
      </c>
      <c r="Z304" s="56">
        <v>0.2</v>
      </c>
      <c r="AA304" s="56" t="s">
        <v>572</v>
      </c>
      <c r="AB304" s="56" t="s">
        <v>573</v>
      </c>
      <c r="AC304" s="56">
        <v>220</v>
      </c>
      <c r="AD304" s="277" t="s">
        <v>19</v>
      </c>
      <c r="AE304" s="277"/>
    </row>
    <row r="305" spans="1:31" ht="15.75" x14ac:dyDescent="0.25">
      <c r="A305" s="56" t="s">
        <v>670</v>
      </c>
      <c r="B305" s="56">
        <v>5</v>
      </c>
      <c r="C305" s="56">
        <v>352</v>
      </c>
      <c r="D305" s="56" t="s">
        <v>608</v>
      </c>
      <c r="E305" s="56">
        <v>1</v>
      </c>
      <c r="F305" s="278">
        <v>45747.763888888891</v>
      </c>
      <c r="G305" s="56">
        <v>1</v>
      </c>
      <c r="H305" s="56">
        <v>51.377400000000002</v>
      </c>
      <c r="I305" s="56">
        <v>9.4631000000000007</v>
      </c>
      <c r="J305" s="56">
        <v>10.178000000000001</v>
      </c>
      <c r="K305" s="56">
        <v>11.43191</v>
      </c>
      <c r="L305" s="56">
        <v>1068.04</v>
      </c>
      <c r="M305" s="56">
        <v>74.499899999999997</v>
      </c>
      <c r="N305" s="274">
        <v>10941.56</v>
      </c>
      <c r="O305" s="56">
        <v>10915.42</v>
      </c>
      <c r="P305" s="275">
        <v>2068.5059999999999</v>
      </c>
      <c r="Q305" s="275">
        <f t="shared" si="3"/>
        <v>2072.3482727272726</v>
      </c>
      <c r="R305" s="275" t="s">
        <v>584</v>
      </c>
      <c r="S305" s="275">
        <v>10</v>
      </c>
      <c r="T305" s="275">
        <v>5</v>
      </c>
      <c r="U305" s="275">
        <v>0.7</v>
      </c>
      <c r="V305" s="275">
        <v>0.7</v>
      </c>
      <c r="W305" s="275">
        <v>0.7</v>
      </c>
      <c r="X305" s="56">
        <v>2000</v>
      </c>
      <c r="Y305" s="56" t="s">
        <v>571</v>
      </c>
      <c r="Z305" s="56">
        <v>0.2</v>
      </c>
      <c r="AA305" s="56" t="s">
        <v>572</v>
      </c>
      <c r="AB305" s="56" t="s">
        <v>573</v>
      </c>
      <c r="AC305" s="56">
        <v>220</v>
      </c>
      <c r="AD305" s="277" t="s">
        <v>19</v>
      </c>
      <c r="AE305" s="277"/>
    </row>
    <row r="306" spans="1:31" ht="15.75" x14ac:dyDescent="0.25">
      <c r="A306" s="56" t="s">
        <v>671</v>
      </c>
      <c r="B306" s="56">
        <v>5</v>
      </c>
      <c r="C306" s="56">
        <v>352</v>
      </c>
      <c r="D306" s="56" t="s">
        <v>608</v>
      </c>
      <c r="E306" s="56">
        <v>1</v>
      </c>
      <c r="F306" s="278">
        <v>45747.76666666667</v>
      </c>
      <c r="G306" s="56">
        <v>1</v>
      </c>
      <c r="H306" s="56">
        <v>51.374099999999999</v>
      </c>
      <c r="I306" s="56">
        <v>9.5045099999999998</v>
      </c>
      <c r="J306" s="56">
        <v>10.196949999999999</v>
      </c>
      <c r="K306" s="56">
        <v>11.320510000000001</v>
      </c>
      <c r="L306" s="56">
        <v>1032.73</v>
      </c>
      <c r="M306" s="56">
        <v>89.499520000000004</v>
      </c>
      <c r="N306" s="274">
        <v>10915.93</v>
      </c>
      <c r="O306" s="56">
        <v>10915.42</v>
      </c>
      <c r="P306" s="275">
        <v>2068.5059999999999</v>
      </c>
      <c r="Q306" s="275">
        <f t="shared" si="3"/>
        <v>2072.3482727272726</v>
      </c>
      <c r="R306" s="275" t="s">
        <v>570</v>
      </c>
      <c r="S306" s="275">
        <v>10</v>
      </c>
      <c r="T306" s="275">
        <v>5</v>
      </c>
      <c r="U306" s="275">
        <v>0.7</v>
      </c>
      <c r="V306" s="275">
        <v>0.7</v>
      </c>
      <c r="W306" s="275">
        <v>0.7</v>
      </c>
      <c r="X306" s="56">
        <v>2000</v>
      </c>
      <c r="Y306" s="56" t="s">
        <v>571</v>
      </c>
      <c r="Z306" s="56">
        <v>0.2</v>
      </c>
      <c r="AA306" s="56" t="s">
        <v>572</v>
      </c>
      <c r="AB306" s="56" t="s">
        <v>573</v>
      </c>
      <c r="AC306" s="56">
        <v>220</v>
      </c>
      <c r="AD306" s="277" t="s">
        <v>19</v>
      </c>
      <c r="AE306" s="277"/>
    </row>
    <row r="307" spans="1:31" ht="15.75" x14ac:dyDescent="0.25">
      <c r="A307" s="56" t="s">
        <v>762</v>
      </c>
      <c r="B307" s="56">
        <v>5</v>
      </c>
      <c r="C307" s="56">
        <v>352</v>
      </c>
      <c r="D307" s="56" t="s">
        <v>608</v>
      </c>
      <c r="E307" s="56">
        <v>1</v>
      </c>
      <c r="F307" s="278">
        <v>45747.769444444442</v>
      </c>
      <c r="G307" s="56">
        <v>1</v>
      </c>
      <c r="H307" s="56">
        <v>51.377400000000002</v>
      </c>
      <c r="I307" s="56">
        <v>9.4411900000000006</v>
      </c>
      <c r="J307" s="56">
        <v>10.353300000000001</v>
      </c>
      <c r="K307" s="56">
        <v>11.13397</v>
      </c>
      <c r="L307" s="56">
        <v>1038.18</v>
      </c>
      <c r="M307" s="56">
        <v>87.000020000000006</v>
      </c>
      <c r="N307" s="274">
        <v>10914.9</v>
      </c>
      <c r="O307" s="56">
        <v>10915.42</v>
      </c>
      <c r="P307" s="275">
        <v>2068.5059999999999</v>
      </c>
      <c r="Q307" s="275">
        <f t="shared" si="3"/>
        <v>2072.3482727272726</v>
      </c>
      <c r="R307" s="275" t="s">
        <v>570</v>
      </c>
      <c r="S307" s="275">
        <v>10</v>
      </c>
      <c r="T307" s="275">
        <v>5</v>
      </c>
      <c r="U307" s="275">
        <v>0.7</v>
      </c>
      <c r="V307" s="275">
        <v>0.7</v>
      </c>
      <c r="W307" s="275">
        <v>0.7</v>
      </c>
      <c r="X307" s="56">
        <v>2000</v>
      </c>
      <c r="Y307" s="56" t="s">
        <v>571</v>
      </c>
      <c r="Z307" s="56">
        <v>0.2</v>
      </c>
      <c r="AA307" s="56" t="s">
        <v>572</v>
      </c>
      <c r="AB307" s="56" t="s">
        <v>573</v>
      </c>
      <c r="AC307" s="56">
        <v>220</v>
      </c>
      <c r="AD307" s="277" t="s">
        <v>19</v>
      </c>
      <c r="AE307" s="277"/>
    </row>
    <row r="308" spans="1:31" ht="15.75" x14ac:dyDescent="0.25">
      <c r="A308" s="56" t="s">
        <v>672</v>
      </c>
      <c r="B308" s="56">
        <v>6</v>
      </c>
      <c r="C308" s="56">
        <v>353</v>
      </c>
      <c r="D308" s="56" t="s">
        <v>618</v>
      </c>
      <c r="E308" s="56">
        <v>1</v>
      </c>
      <c r="F308" s="278">
        <v>45747.772916666669</v>
      </c>
      <c r="G308" s="56">
        <v>1</v>
      </c>
      <c r="H308" s="56">
        <v>51.374099999999999</v>
      </c>
      <c r="I308" s="56">
        <v>9.2681100000000001</v>
      </c>
      <c r="J308" s="56">
        <v>10.22763</v>
      </c>
      <c r="K308" s="56">
        <v>11.23527</v>
      </c>
      <c r="L308" s="56">
        <v>1050.6500000000001</v>
      </c>
      <c r="M308" s="56">
        <v>78.998530000000002</v>
      </c>
      <c r="N308" s="274">
        <v>10917.26</v>
      </c>
      <c r="O308" s="56">
        <v>0</v>
      </c>
      <c r="P308" s="275">
        <v>0</v>
      </c>
      <c r="Q308" s="275">
        <f t="shared" si="3"/>
        <v>4.6107272727272584</v>
      </c>
      <c r="R308" s="275" t="s">
        <v>609</v>
      </c>
      <c r="S308" s="275">
        <v>10</v>
      </c>
      <c r="T308" s="275">
        <v>5</v>
      </c>
      <c r="U308" s="275">
        <v>0.7</v>
      </c>
      <c r="V308" s="275">
        <v>0.7</v>
      </c>
      <c r="W308" s="275">
        <v>0.7</v>
      </c>
      <c r="X308" s="56">
        <v>2000</v>
      </c>
      <c r="Y308" s="56" t="s">
        <v>571</v>
      </c>
      <c r="Z308" s="56">
        <v>0.2</v>
      </c>
      <c r="AA308" s="56" t="s">
        <v>572</v>
      </c>
      <c r="AB308" s="56" t="s">
        <v>573</v>
      </c>
      <c r="AC308" s="56">
        <v>220</v>
      </c>
      <c r="AD308" s="277" t="s">
        <v>610</v>
      </c>
      <c r="AE308" s="277"/>
    </row>
    <row r="309" spans="1:31" ht="15.75" x14ac:dyDescent="0.25">
      <c r="A309" s="56" t="s">
        <v>673</v>
      </c>
      <c r="B309" s="56">
        <v>6</v>
      </c>
      <c r="C309" s="56">
        <v>353</v>
      </c>
      <c r="D309" s="56" t="s">
        <v>618</v>
      </c>
      <c r="E309" s="56">
        <v>1</v>
      </c>
      <c r="F309" s="278">
        <v>45747.775694444441</v>
      </c>
      <c r="G309" s="56">
        <v>1</v>
      </c>
      <c r="H309" s="56">
        <v>51.377400000000002</v>
      </c>
      <c r="I309" s="56">
        <v>9.6196099999999998</v>
      </c>
      <c r="J309" s="56">
        <v>10.25178</v>
      </c>
      <c r="K309" s="56">
        <v>11.751799999999999</v>
      </c>
      <c r="L309" s="56">
        <v>1043.46</v>
      </c>
      <c r="M309" s="56">
        <v>69.500810000000001</v>
      </c>
      <c r="N309" s="274">
        <v>10889.69</v>
      </c>
      <c r="O309" s="56">
        <v>0</v>
      </c>
      <c r="P309" s="275">
        <v>0</v>
      </c>
      <c r="Q309" s="275">
        <f t="shared" si="3"/>
        <v>4.6107272727272584</v>
      </c>
      <c r="R309" s="275" t="s">
        <v>609</v>
      </c>
      <c r="S309" s="275">
        <v>10</v>
      </c>
      <c r="T309" s="275">
        <v>5</v>
      </c>
      <c r="U309" s="275">
        <v>0.7</v>
      </c>
      <c r="V309" s="275">
        <v>0.7</v>
      </c>
      <c r="W309" s="275">
        <v>0.7</v>
      </c>
      <c r="X309" s="56">
        <v>2000</v>
      </c>
      <c r="Y309" s="56" t="s">
        <v>571</v>
      </c>
      <c r="Z309" s="56">
        <v>0.2</v>
      </c>
      <c r="AA309" s="56" t="s">
        <v>572</v>
      </c>
      <c r="AB309" s="56" t="s">
        <v>573</v>
      </c>
      <c r="AC309" s="56">
        <v>220</v>
      </c>
      <c r="AD309" s="277" t="s">
        <v>610</v>
      </c>
      <c r="AE309" s="277"/>
    </row>
    <row r="310" spans="1:31" ht="15.75" x14ac:dyDescent="0.25">
      <c r="A310" s="56" t="s">
        <v>674</v>
      </c>
      <c r="B310" s="56">
        <v>6</v>
      </c>
      <c r="C310" s="56">
        <v>353</v>
      </c>
      <c r="D310" s="56" t="s">
        <v>618</v>
      </c>
      <c r="E310" s="56">
        <v>1</v>
      </c>
      <c r="F310" s="278">
        <v>45747.77847222222</v>
      </c>
      <c r="G310" s="56">
        <v>1</v>
      </c>
      <c r="H310" s="56">
        <v>51.374099999999999</v>
      </c>
      <c r="I310" s="56">
        <v>9.6104699999999994</v>
      </c>
      <c r="J310" s="56">
        <v>10.19523</v>
      </c>
      <c r="K310" s="56">
        <v>11.3161</v>
      </c>
      <c r="L310" s="56">
        <v>1050.95</v>
      </c>
      <c r="M310" s="56">
        <v>76.500429999999994</v>
      </c>
      <c r="N310" s="274">
        <v>10934.76</v>
      </c>
      <c r="O310" s="56">
        <v>0</v>
      </c>
      <c r="P310" s="275">
        <v>0</v>
      </c>
      <c r="Q310" s="275">
        <f t="shared" si="3"/>
        <v>4.6107272727272584</v>
      </c>
      <c r="R310" s="275" t="s">
        <v>609</v>
      </c>
      <c r="S310" s="275">
        <v>10</v>
      </c>
      <c r="T310" s="275">
        <v>5</v>
      </c>
      <c r="U310" s="275">
        <v>0.7</v>
      </c>
      <c r="V310" s="275">
        <v>0.7</v>
      </c>
      <c r="W310" s="275">
        <v>0.7</v>
      </c>
      <c r="X310" s="56">
        <v>2000</v>
      </c>
      <c r="Y310" s="56" t="s">
        <v>571</v>
      </c>
      <c r="Z310" s="56">
        <v>0.2</v>
      </c>
      <c r="AA310" s="56" t="s">
        <v>572</v>
      </c>
      <c r="AB310" s="56" t="s">
        <v>573</v>
      </c>
      <c r="AC310" s="56">
        <v>220</v>
      </c>
      <c r="AD310" s="277" t="s">
        <v>610</v>
      </c>
      <c r="AE310" s="277"/>
    </row>
    <row r="311" spans="1:31" ht="15.75" x14ac:dyDescent="0.25">
      <c r="A311" s="56" t="s">
        <v>675</v>
      </c>
      <c r="B311" s="56">
        <v>6</v>
      </c>
      <c r="C311" s="56">
        <v>353</v>
      </c>
      <c r="D311" s="56" t="s">
        <v>618</v>
      </c>
      <c r="E311" s="56">
        <v>1</v>
      </c>
      <c r="F311" s="278">
        <v>45747.781944444447</v>
      </c>
      <c r="G311" s="56">
        <v>1</v>
      </c>
      <c r="H311" s="56">
        <v>51.374099999999999</v>
      </c>
      <c r="I311" s="56">
        <v>9.5151500000000002</v>
      </c>
      <c r="J311" s="56">
        <v>10.295210000000001</v>
      </c>
      <c r="K311" s="56">
        <v>10.85202</v>
      </c>
      <c r="L311" s="56">
        <v>1036.3399999999999</v>
      </c>
      <c r="M311" s="56">
        <v>103.5001</v>
      </c>
      <c r="N311" s="274">
        <v>10958.82</v>
      </c>
      <c r="O311" s="56">
        <v>0</v>
      </c>
      <c r="P311" s="275">
        <v>0</v>
      </c>
      <c r="Q311" s="275">
        <f t="shared" si="3"/>
        <v>4.6107272727272584</v>
      </c>
      <c r="R311" s="275" t="s">
        <v>609</v>
      </c>
      <c r="S311" s="275">
        <v>10</v>
      </c>
      <c r="T311" s="275">
        <v>5</v>
      </c>
      <c r="U311" s="275">
        <v>0.7</v>
      </c>
      <c r="V311" s="275">
        <v>0.7</v>
      </c>
      <c r="W311" s="275">
        <v>0.7</v>
      </c>
      <c r="X311" s="56">
        <v>2000</v>
      </c>
      <c r="Y311" s="56" t="s">
        <v>571</v>
      </c>
      <c r="Z311" s="56">
        <v>0.2</v>
      </c>
      <c r="AA311" s="56" t="s">
        <v>572</v>
      </c>
      <c r="AB311" s="56" t="s">
        <v>573</v>
      </c>
      <c r="AC311" s="56">
        <v>220</v>
      </c>
      <c r="AD311" s="277" t="s">
        <v>610</v>
      </c>
      <c r="AE311" s="277"/>
    </row>
    <row r="312" spans="1:31" ht="15.75" x14ac:dyDescent="0.25">
      <c r="A312" s="56" t="s">
        <v>676</v>
      </c>
      <c r="B312" s="56">
        <v>6</v>
      </c>
      <c r="C312" s="56">
        <v>353</v>
      </c>
      <c r="D312" s="56" t="s">
        <v>618</v>
      </c>
      <c r="E312" s="56">
        <v>1</v>
      </c>
      <c r="F312" s="278">
        <v>45747.784722222219</v>
      </c>
      <c r="G312" s="56">
        <v>1</v>
      </c>
      <c r="H312" s="56">
        <v>51.374099999999999</v>
      </c>
      <c r="I312" s="56">
        <v>9.6349999999999998</v>
      </c>
      <c r="J312" s="56">
        <v>10.294140000000001</v>
      </c>
      <c r="K312" s="56">
        <v>11.56634</v>
      </c>
      <c r="L312" s="56">
        <v>1015.84</v>
      </c>
      <c r="M312" s="56">
        <v>74.999979999999994</v>
      </c>
      <c r="N312" s="274">
        <v>10913.7</v>
      </c>
      <c r="O312" s="56">
        <v>0</v>
      </c>
      <c r="P312" s="275">
        <v>0</v>
      </c>
      <c r="Q312" s="275">
        <f t="shared" si="3"/>
        <v>4.6107272727272584</v>
      </c>
      <c r="R312" s="275" t="s">
        <v>609</v>
      </c>
      <c r="S312" s="275">
        <v>10</v>
      </c>
      <c r="T312" s="275">
        <v>5</v>
      </c>
      <c r="U312" s="275">
        <v>0.7</v>
      </c>
      <c r="V312" s="275">
        <v>0.7</v>
      </c>
      <c r="W312" s="275">
        <v>0.7</v>
      </c>
      <c r="X312" s="56">
        <v>2000</v>
      </c>
      <c r="Y312" s="56" t="s">
        <v>571</v>
      </c>
      <c r="Z312" s="56">
        <v>0.2</v>
      </c>
      <c r="AA312" s="56" t="s">
        <v>572</v>
      </c>
      <c r="AB312" s="56" t="s">
        <v>573</v>
      </c>
      <c r="AC312" s="56">
        <v>220</v>
      </c>
      <c r="AD312" s="277" t="s">
        <v>610</v>
      </c>
      <c r="AE312" s="277"/>
    </row>
    <row r="313" spans="1:31" ht="15.75" x14ac:dyDescent="0.25">
      <c r="A313" s="56" t="s">
        <v>763</v>
      </c>
      <c r="B313" s="56">
        <v>6</v>
      </c>
      <c r="C313" s="56">
        <v>353</v>
      </c>
      <c r="D313" s="56" t="s">
        <v>618</v>
      </c>
      <c r="E313" s="56">
        <v>1</v>
      </c>
      <c r="F313" s="278">
        <v>45747.787499999999</v>
      </c>
      <c r="G313" s="56">
        <v>2</v>
      </c>
      <c r="H313" s="56">
        <v>51.374099999999999</v>
      </c>
      <c r="I313" s="56">
        <v>9.5228000000000002</v>
      </c>
      <c r="J313" s="56">
        <v>10.29752</v>
      </c>
      <c r="K313" s="56">
        <v>11.420339999999999</v>
      </c>
      <c r="L313" s="56">
        <v>1014.26</v>
      </c>
      <c r="M313" s="56">
        <v>78.000110000000006</v>
      </c>
      <c r="N313" s="274">
        <v>10920.82</v>
      </c>
      <c r="O313" s="56">
        <v>10901.6</v>
      </c>
      <c r="P313" s="275">
        <v>2065.9209999999998</v>
      </c>
      <c r="Q313" s="275">
        <f t="shared" si="3"/>
        <v>2070.531727272727</v>
      </c>
      <c r="R313" s="275" t="s">
        <v>584</v>
      </c>
      <c r="S313" s="275">
        <v>10</v>
      </c>
      <c r="T313" s="275">
        <v>5</v>
      </c>
      <c r="U313" s="275">
        <v>0.7</v>
      </c>
      <c r="V313" s="275">
        <v>0.7</v>
      </c>
      <c r="W313" s="275">
        <v>0.7</v>
      </c>
      <c r="X313" s="56">
        <v>2000</v>
      </c>
      <c r="Y313" s="56" t="s">
        <v>571</v>
      </c>
      <c r="Z313" s="56">
        <v>0.2</v>
      </c>
      <c r="AA313" s="56" t="s">
        <v>572</v>
      </c>
      <c r="AB313" s="56" t="s">
        <v>573</v>
      </c>
      <c r="AC313" s="56">
        <v>220</v>
      </c>
      <c r="AD313" s="277" t="s">
        <v>19</v>
      </c>
      <c r="AE313" s="277"/>
    </row>
    <row r="314" spans="1:31" ht="15.75" x14ac:dyDescent="0.25">
      <c r="A314" s="56" t="s">
        <v>764</v>
      </c>
      <c r="B314" s="56">
        <v>6</v>
      </c>
      <c r="C314" s="56">
        <v>353</v>
      </c>
      <c r="D314" s="56" t="s">
        <v>618</v>
      </c>
      <c r="E314" s="56">
        <v>1</v>
      </c>
      <c r="F314" s="278">
        <v>45747.790277777778</v>
      </c>
      <c r="G314" s="56">
        <v>2</v>
      </c>
      <c r="H314" s="56">
        <v>51.380699999999997</v>
      </c>
      <c r="I314" s="56">
        <v>9.67075</v>
      </c>
      <c r="J314" s="56">
        <v>10.385529999999999</v>
      </c>
      <c r="K314" s="56">
        <v>11.616989999999999</v>
      </c>
      <c r="L314" s="56">
        <v>1038.3599999999999</v>
      </c>
      <c r="M314" s="56">
        <v>73.500140000000002</v>
      </c>
      <c r="N314" s="274">
        <v>10894.27</v>
      </c>
      <c r="O314" s="56">
        <v>10901.6</v>
      </c>
      <c r="P314" s="275">
        <v>2065.9209999999998</v>
      </c>
      <c r="Q314" s="275">
        <f t="shared" si="3"/>
        <v>2070.531727272727</v>
      </c>
      <c r="R314" s="275" t="s">
        <v>570</v>
      </c>
      <c r="S314" s="275">
        <v>10</v>
      </c>
      <c r="T314" s="275">
        <v>5</v>
      </c>
      <c r="U314" s="275">
        <v>0.7</v>
      </c>
      <c r="V314" s="275">
        <v>0.7</v>
      </c>
      <c r="W314" s="275">
        <v>0.7</v>
      </c>
      <c r="X314" s="56">
        <v>2000</v>
      </c>
      <c r="Y314" s="56" t="s">
        <v>571</v>
      </c>
      <c r="Z314" s="56">
        <v>0.2</v>
      </c>
      <c r="AA314" s="56" t="s">
        <v>572</v>
      </c>
      <c r="AB314" s="56" t="s">
        <v>573</v>
      </c>
      <c r="AC314" s="56">
        <v>220</v>
      </c>
      <c r="AD314" s="277" t="s">
        <v>19</v>
      </c>
      <c r="AE314" s="277"/>
    </row>
    <row r="315" spans="1:31" ht="15.75" x14ac:dyDescent="0.25">
      <c r="A315" s="56" t="s">
        <v>765</v>
      </c>
      <c r="B315" s="56">
        <v>6</v>
      </c>
      <c r="C315" s="56">
        <v>353</v>
      </c>
      <c r="D315" s="56" t="s">
        <v>618</v>
      </c>
      <c r="E315" s="56">
        <v>1</v>
      </c>
      <c r="F315" s="278">
        <v>45747.793055555558</v>
      </c>
      <c r="G315" s="56">
        <v>2</v>
      </c>
      <c r="H315" s="56">
        <v>51.370800000000003</v>
      </c>
      <c r="I315" s="56">
        <v>9.3393700000000006</v>
      </c>
      <c r="J315" s="56">
        <v>10.316000000000001</v>
      </c>
      <c r="K315" s="56">
        <v>11.79171</v>
      </c>
      <c r="L315" s="56">
        <v>1040.99</v>
      </c>
      <c r="M315" s="56">
        <v>70.000529999999998</v>
      </c>
      <c r="N315" s="274">
        <v>10908.93</v>
      </c>
      <c r="O315" s="56">
        <v>10901.6</v>
      </c>
      <c r="P315" s="275">
        <v>2065.9209999999998</v>
      </c>
      <c r="Q315" s="275">
        <f t="shared" si="3"/>
        <v>2070.531727272727</v>
      </c>
      <c r="R315" s="275" t="s">
        <v>570</v>
      </c>
      <c r="S315" s="275">
        <v>10</v>
      </c>
      <c r="T315" s="275">
        <v>5</v>
      </c>
      <c r="U315" s="275">
        <v>0.7</v>
      </c>
      <c r="V315" s="275">
        <v>0.7</v>
      </c>
      <c r="W315" s="275">
        <v>0.7</v>
      </c>
      <c r="X315" s="56">
        <v>2000</v>
      </c>
      <c r="Y315" s="56" t="s">
        <v>571</v>
      </c>
      <c r="Z315" s="56">
        <v>0.2</v>
      </c>
      <c r="AA315" s="56" t="s">
        <v>572</v>
      </c>
      <c r="AB315" s="56" t="s">
        <v>573</v>
      </c>
      <c r="AC315" s="56">
        <v>220</v>
      </c>
      <c r="AD315" s="277" t="s">
        <v>19</v>
      </c>
      <c r="AE315" s="277"/>
    </row>
    <row r="316" spans="1:31" ht="15.75" x14ac:dyDescent="0.25">
      <c r="A316" s="56" t="s">
        <v>726</v>
      </c>
      <c r="B316" s="56">
        <v>7</v>
      </c>
      <c r="C316" s="56">
        <v>274</v>
      </c>
      <c r="D316" s="56" t="s">
        <v>623</v>
      </c>
      <c r="E316" s="56">
        <v>1</v>
      </c>
      <c r="F316" s="278">
        <v>45747.796527777777</v>
      </c>
      <c r="G316" s="56">
        <v>1</v>
      </c>
      <c r="H316" s="56">
        <v>51.377400000000002</v>
      </c>
      <c r="I316" s="56">
        <v>9.3987800000000004</v>
      </c>
      <c r="J316" s="56">
        <v>10.407679999999999</v>
      </c>
      <c r="K316" s="56">
        <v>11.346690000000001</v>
      </c>
      <c r="L316" s="56">
        <v>1035.8800000000001</v>
      </c>
      <c r="M316" s="56">
        <v>82.499589999999998</v>
      </c>
      <c r="N316" s="274">
        <v>10849.13</v>
      </c>
      <c r="O316" s="56">
        <v>10866.43</v>
      </c>
      <c r="P316" s="275">
        <v>2059.3409999999999</v>
      </c>
      <c r="Q316" s="275">
        <f t="shared" si="3"/>
        <v>2064.7201818181816</v>
      </c>
      <c r="R316" s="275" t="s">
        <v>584</v>
      </c>
      <c r="S316" s="275">
        <v>10</v>
      </c>
      <c r="T316" s="275">
        <v>5</v>
      </c>
      <c r="U316" s="275">
        <v>0.7</v>
      </c>
      <c r="V316" s="275">
        <v>0.7</v>
      </c>
      <c r="W316" s="275">
        <v>0.7</v>
      </c>
      <c r="X316" s="56">
        <v>2000</v>
      </c>
      <c r="Y316" s="56" t="s">
        <v>571</v>
      </c>
      <c r="Z316" s="56">
        <v>0.2</v>
      </c>
      <c r="AA316" s="56" t="s">
        <v>572</v>
      </c>
      <c r="AB316" s="56" t="s">
        <v>573</v>
      </c>
      <c r="AC316" s="56">
        <v>220</v>
      </c>
      <c r="AD316" s="277" t="s">
        <v>19</v>
      </c>
      <c r="AE316" s="277"/>
    </row>
    <row r="317" spans="1:31" ht="15.75" x14ac:dyDescent="0.25">
      <c r="A317" s="56" t="s">
        <v>727</v>
      </c>
      <c r="B317" s="56">
        <v>7</v>
      </c>
      <c r="C317" s="56">
        <v>274</v>
      </c>
      <c r="D317" s="56" t="s">
        <v>623</v>
      </c>
      <c r="E317" s="56">
        <v>1</v>
      </c>
      <c r="F317" s="278">
        <v>45747.8</v>
      </c>
      <c r="G317" s="56">
        <v>1</v>
      </c>
      <c r="H317" s="56">
        <v>51.380699999999997</v>
      </c>
      <c r="I317" s="56">
        <v>9.4308099999999992</v>
      </c>
      <c r="J317" s="56">
        <v>10.36946</v>
      </c>
      <c r="K317" s="56">
        <v>11.637040000000001</v>
      </c>
      <c r="L317" s="56">
        <v>1031.01</v>
      </c>
      <c r="M317" s="56">
        <v>75.000259999999997</v>
      </c>
      <c r="N317" s="274">
        <v>10876.4</v>
      </c>
      <c r="O317" s="56">
        <v>10866.43</v>
      </c>
      <c r="P317" s="275">
        <v>2059.3409999999999</v>
      </c>
      <c r="Q317" s="275">
        <f t="shared" si="3"/>
        <v>2064.7201818181816</v>
      </c>
      <c r="R317" s="275" t="s">
        <v>570</v>
      </c>
      <c r="S317" s="275">
        <v>10</v>
      </c>
      <c r="T317" s="275">
        <v>5</v>
      </c>
      <c r="U317" s="275">
        <v>0.7</v>
      </c>
      <c r="V317" s="275">
        <v>0.7</v>
      </c>
      <c r="W317" s="275">
        <v>0.7</v>
      </c>
      <c r="X317" s="56">
        <v>2000</v>
      </c>
      <c r="Y317" s="56" t="s">
        <v>571</v>
      </c>
      <c r="Z317" s="56">
        <v>0.2</v>
      </c>
      <c r="AA317" s="56" t="s">
        <v>572</v>
      </c>
      <c r="AB317" s="56" t="s">
        <v>573</v>
      </c>
      <c r="AC317" s="56">
        <v>220</v>
      </c>
      <c r="AD317" s="277" t="s">
        <v>19</v>
      </c>
      <c r="AE317" s="277"/>
    </row>
    <row r="318" spans="1:31" ht="15.75" x14ac:dyDescent="0.25">
      <c r="A318" s="56" t="s">
        <v>766</v>
      </c>
      <c r="B318" s="56">
        <v>7</v>
      </c>
      <c r="C318" s="56">
        <v>274</v>
      </c>
      <c r="D318" s="56" t="s">
        <v>623</v>
      </c>
      <c r="E318" s="56">
        <v>1</v>
      </c>
      <c r="F318" s="278">
        <v>45747.802777777775</v>
      </c>
      <c r="G318" s="56">
        <v>1</v>
      </c>
      <c r="H318" s="56">
        <v>51.374099999999999</v>
      </c>
      <c r="I318" s="56">
        <v>9.4400600000000008</v>
      </c>
      <c r="J318" s="56">
        <v>10.396660000000001</v>
      </c>
      <c r="K318" s="56">
        <v>12.119289999999999</v>
      </c>
      <c r="L318" s="56">
        <v>1019.68</v>
      </c>
      <c r="M318" s="56">
        <v>69.500860000000003</v>
      </c>
      <c r="N318" s="274">
        <v>10856.45</v>
      </c>
      <c r="O318" s="56">
        <v>10866.43</v>
      </c>
      <c r="P318" s="275">
        <v>2059.3409999999999</v>
      </c>
      <c r="Q318" s="275">
        <f t="shared" si="3"/>
        <v>2064.7201818181816</v>
      </c>
      <c r="R318" s="275" t="s">
        <v>570</v>
      </c>
      <c r="S318" s="275">
        <v>10</v>
      </c>
      <c r="T318" s="275">
        <v>5</v>
      </c>
      <c r="U318" s="275">
        <v>0.7</v>
      </c>
      <c r="V318" s="275">
        <v>0.7</v>
      </c>
      <c r="W318" s="275">
        <v>0.7</v>
      </c>
      <c r="X318" s="56">
        <v>2000</v>
      </c>
      <c r="Y318" s="56" t="s">
        <v>571</v>
      </c>
      <c r="Z318" s="56">
        <v>0.2</v>
      </c>
      <c r="AA318" s="56" t="s">
        <v>572</v>
      </c>
      <c r="AB318" s="56" t="s">
        <v>573</v>
      </c>
      <c r="AC318" s="56">
        <v>220</v>
      </c>
      <c r="AD318" s="277" t="s">
        <v>19</v>
      </c>
      <c r="AE318" s="277"/>
    </row>
    <row r="319" spans="1:31" ht="15.75" x14ac:dyDescent="0.25">
      <c r="A319" s="56" t="s">
        <v>728</v>
      </c>
      <c r="B319" s="56">
        <v>8</v>
      </c>
      <c r="C319" s="56">
        <v>275</v>
      </c>
      <c r="D319" s="56" t="s">
        <v>629</v>
      </c>
      <c r="E319" s="56">
        <v>1</v>
      </c>
      <c r="F319" s="278">
        <v>45747.806250000001</v>
      </c>
      <c r="G319" s="56">
        <v>1</v>
      </c>
      <c r="H319" s="56">
        <v>51.380699999999997</v>
      </c>
      <c r="I319" s="56">
        <v>9.2919400000000003</v>
      </c>
      <c r="J319" s="56">
        <v>10.406129999999999</v>
      </c>
      <c r="K319" s="56">
        <v>11.283340000000001</v>
      </c>
      <c r="L319" s="56">
        <v>1050.9100000000001</v>
      </c>
      <c r="M319" s="56">
        <v>86.000259999999997</v>
      </c>
      <c r="N319" s="274">
        <v>10928.9</v>
      </c>
      <c r="O319" s="56">
        <v>10846.9</v>
      </c>
      <c r="P319" s="275">
        <v>2055.6880000000001</v>
      </c>
      <c r="Q319" s="275">
        <f t="shared" si="3"/>
        <v>2061.8356363636362</v>
      </c>
      <c r="R319" s="275" t="s">
        <v>584</v>
      </c>
      <c r="S319" s="275">
        <v>10</v>
      </c>
      <c r="T319" s="275">
        <v>5</v>
      </c>
      <c r="U319" s="275">
        <v>0.7</v>
      </c>
      <c r="V319" s="275">
        <v>0.7</v>
      </c>
      <c r="W319" s="275">
        <v>0.7</v>
      </c>
      <c r="X319" s="56">
        <v>2000</v>
      </c>
      <c r="Y319" s="56" t="s">
        <v>571</v>
      </c>
      <c r="Z319" s="56">
        <v>0.2</v>
      </c>
      <c r="AA319" s="56" t="s">
        <v>572</v>
      </c>
      <c r="AB319" s="56" t="s">
        <v>573</v>
      </c>
      <c r="AC319" s="56">
        <v>220</v>
      </c>
      <c r="AD319" s="277" t="s">
        <v>19</v>
      </c>
      <c r="AE319" s="277"/>
    </row>
    <row r="320" spans="1:31" ht="15.75" x14ac:dyDescent="0.25">
      <c r="A320" s="56" t="s">
        <v>729</v>
      </c>
      <c r="B320" s="56">
        <v>8</v>
      </c>
      <c r="C320" s="56">
        <v>275</v>
      </c>
      <c r="D320" s="56" t="s">
        <v>629</v>
      </c>
      <c r="E320" s="56">
        <v>1</v>
      </c>
      <c r="F320" s="278">
        <v>45747.809027777781</v>
      </c>
      <c r="G320" s="56">
        <v>1</v>
      </c>
      <c r="H320" s="56">
        <v>51.370800000000003</v>
      </c>
      <c r="I320" s="56">
        <v>9.3704900000000002</v>
      </c>
      <c r="J320" s="56">
        <v>10.464410000000001</v>
      </c>
      <c r="K320" s="56">
        <v>12.13259</v>
      </c>
      <c r="L320" s="56">
        <v>1025.22</v>
      </c>
      <c r="M320" s="56">
        <v>66.999200000000002</v>
      </c>
      <c r="N320" s="274">
        <v>10843.4</v>
      </c>
      <c r="O320" s="56">
        <v>10846.9</v>
      </c>
      <c r="P320" s="275">
        <v>2055.6880000000001</v>
      </c>
      <c r="Q320" s="275">
        <f t="shared" si="3"/>
        <v>2061.8356363636362</v>
      </c>
      <c r="R320" s="275" t="s">
        <v>570</v>
      </c>
      <c r="S320" s="275">
        <v>10</v>
      </c>
      <c r="T320" s="275">
        <v>5</v>
      </c>
      <c r="U320" s="275">
        <v>0.7</v>
      </c>
      <c r="V320" s="275">
        <v>0.7</v>
      </c>
      <c r="W320" s="275">
        <v>0.7</v>
      </c>
      <c r="X320" s="56">
        <v>2000</v>
      </c>
      <c r="Y320" s="56" t="s">
        <v>571</v>
      </c>
      <c r="Z320" s="56">
        <v>0.2</v>
      </c>
      <c r="AA320" s="56" t="s">
        <v>572</v>
      </c>
      <c r="AB320" s="56" t="s">
        <v>573</v>
      </c>
      <c r="AC320" s="56">
        <v>220</v>
      </c>
      <c r="AD320" s="277" t="s">
        <v>19</v>
      </c>
      <c r="AE320" s="277"/>
    </row>
    <row r="321" spans="1:31" ht="15.75" x14ac:dyDescent="0.25">
      <c r="A321" s="56" t="s">
        <v>730</v>
      </c>
      <c r="B321" s="56">
        <v>8</v>
      </c>
      <c r="C321" s="56">
        <v>275</v>
      </c>
      <c r="D321" s="56" t="s">
        <v>629</v>
      </c>
      <c r="E321" s="56">
        <v>1</v>
      </c>
      <c r="F321" s="278">
        <v>45747.811805555553</v>
      </c>
      <c r="G321" s="56">
        <v>1</v>
      </c>
      <c r="H321" s="56">
        <v>51.377400000000002</v>
      </c>
      <c r="I321" s="56">
        <v>9.4606499999999993</v>
      </c>
      <c r="J321" s="56">
        <v>10.53191</v>
      </c>
      <c r="K321" s="56">
        <v>11.629860000000001</v>
      </c>
      <c r="L321" s="56">
        <v>1010.97</v>
      </c>
      <c r="M321" s="56">
        <v>77.500370000000004</v>
      </c>
      <c r="N321" s="274">
        <v>10850.4</v>
      </c>
      <c r="O321" s="56">
        <v>10846.9</v>
      </c>
      <c r="P321" s="275">
        <v>2055.6880000000001</v>
      </c>
      <c r="Q321" s="275">
        <f t="shared" si="3"/>
        <v>2061.8356363636362</v>
      </c>
      <c r="R321" s="275" t="s">
        <v>570</v>
      </c>
      <c r="S321" s="275">
        <v>10</v>
      </c>
      <c r="T321" s="275">
        <v>5</v>
      </c>
      <c r="U321" s="275">
        <v>0.7</v>
      </c>
      <c r="V321" s="275">
        <v>0.7</v>
      </c>
      <c r="W321" s="275">
        <v>0.7</v>
      </c>
      <c r="X321" s="56">
        <v>2000</v>
      </c>
      <c r="Y321" s="56" t="s">
        <v>571</v>
      </c>
      <c r="Z321" s="56">
        <v>0.2</v>
      </c>
      <c r="AA321" s="56" t="s">
        <v>572</v>
      </c>
      <c r="AB321" s="56" t="s">
        <v>573</v>
      </c>
      <c r="AC321" s="56">
        <v>220</v>
      </c>
      <c r="AD321" s="277" t="s">
        <v>19</v>
      </c>
      <c r="AE321" s="277"/>
    </row>
    <row r="322" spans="1:31" ht="15.75" x14ac:dyDescent="0.25">
      <c r="A322" s="56" t="s">
        <v>731</v>
      </c>
      <c r="B322" s="56">
        <v>9</v>
      </c>
      <c r="C322" s="56">
        <v>339</v>
      </c>
      <c r="D322" s="56" t="s">
        <v>633</v>
      </c>
      <c r="E322" s="56">
        <v>1</v>
      </c>
      <c r="F322" s="278">
        <v>45747.81527777778</v>
      </c>
      <c r="G322" s="56">
        <v>1</v>
      </c>
      <c r="H322" s="56">
        <v>51.374099999999999</v>
      </c>
      <c r="I322" s="56">
        <v>9.4580300000000008</v>
      </c>
      <c r="J322" s="56">
        <v>10.540290000000001</v>
      </c>
      <c r="K322" s="56">
        <v>11.990729999999999</v>
      </c>
      <c r="L322" s="56">
        <v>1042.51</v>
      </c>
      <c r="M322" s="56">
        <v>72.999139999999997</v>
      </c>
      <c r="N322" s="274">
        <v>11007.12</v>
      </c>
      <c r="O322" s="56">
        <v>11001.78</v>
      </c>
      <c r="P322" s="275">
        <v>2084.6619999999998</v>
      </c>
      <c r="Q322" s="275">
        <f t="shared" si="3"/>
        <v>2091.5780909090909</v>
      </c>
      <c r="R322" s="275" t="s">
        <v>584</v>
      </c>
      <c r="S322" s="275">
        <v>10</v>
      </c>
      <c r="T322" s="275">
        <v>5</v>
      </c>
      <c r="U322" s="275">
        <v>0.7</v>
      </c>
      <c r="V322" s="275">
        <v>0.7</v>
      </c>
      <c r="W322" s="275">
        <v>0.7</v>
      </c>
      <c r="X322" s="56">
        <v>2000</v>
      </c>
      <c r="Y322" s="56" t="s">
        <v>571</v>
      </c>
      <c r="Z322" s="56">
        <v>0.2</v>
      </c>
      <c r="AA322" s="56" t="s">
        <v>572</v>
      </c>
      <c r="AB322" s="56" t="s">
        <v>573</v>
      </c>
      <c r="AC322" s="56">
        <v>220</v>
      </c>
      <c r="AD322" s="277" t="s">
        <v>19</v>
      </c>
      <c r="AE322" s="277"/>
    </row>
    <row r="323" spans="1:31" ht="15.75" x14ac:dyDescent="0.25">
      <c r="A323" s="56" t="s">
        <v>732</v>
      </c>
      <c r="B323" s="56">
        <v>9</v>
      </c>
      <c r="C323" s="56">
        <v>339</v>
      </c>
      <c r="D323" s="56" t="s">
        <v>633</v>
      </c>
      <c r="E323" s="56">
        <v>1</v>
      </c>
      <c r="F323" s="278">
        <v>45747.818055555559</v>
      </c>
      <c r="G323" s="56">
        <v>1</v>
      </c>
      <c r="H323" s="56">
        <v>51.374099999999999</v>
      </c>
      <c r="I323" s="56">
        <v>9.5357500000000002</v>
      </c>
      <c r="J323" s="56">
        <v>10.4491</v>
      </c>
      <c r="K323" s="56">
        <v>12.190440000000001</v>
      </c>
      <c r="L323" s="56">
        <v>1046.8599999999999</v>
      </c>
      <c r="M323" s="56">
        <v>67.998980000000003</v>
      </c>
      <c r="N323" s="274">
        <v>10941.08</v>
      </c>
      <c r="O323" s="56">
        <v>11001.78</v>
      </c>
      <c r="P323" s="275">
        <v>2084.6619999999998</v>
      </c>
      <c r="Q323" s="275">
        <f t="shared" si="3"/>
        <v>2091.5780909090909</v>
      </c>
      <c r="R323" s="275" t="s">
        <v>584</v>
      </c>
      <c r="S323" s="275">
        <v>10</v>
      </c>
      <c r="T323" s="275">
        <v>5</v>
      </c>
      <c r="U323" s="275">
        <v>0.7</v>
      </c>
      <c r="V323" s="275">
        <v>0.7</v>
      </c>
      <c r="W323" s="275">
        <v>0.7</v>
      </c>
      <c r="X323" s="56">
        <v>2000</v>
      </c>
      <c r="Y323" s="56" t="s">
        <v>571</v>
      </c>
      <c r="Z323" s="56">
        <v>0.2</v>
      </c>
      <c r="AA323" s="56" t="s">
        <v>572</v>
      </c>
      <c r="AB323" s="56" t="s">
        <v>573</v>
      </c>
      <c r="AC323" s="56">
        <v>220</v>
      </c>
      <c r="AD323" s="277" t="s">
        <v>19</v>
      </c>
      <c r="AE323" s="277"/>
    </row>
    <row r="324" spans="1:31" ht="15.75" x14ac:dyDescent="0.25">
      <c r="A324" s="56" t="s">
        <v>767</v>
      </c>
      <c r="B324" s="56">
        <v>9</v>
      </c>
      <c r="C324" s="56">
        <v>339</v>
      </c>
      <c r="D324" s="56" t="s">
        <v>633</v>
      </c>
      <c r="E324" s="56">
        <v>1</v>
      </c>
      <c r="F324" s="278">
        <v>45747.820833333331</v>
      </c>
      <c r="G324" s="56">
        <v>1</v>
      </c>
      <c r="H324" s="56">
        <v>51.374099999999999</v>
      </c>
      <c r="I324" s="56">
        <v>9.3677799999999998</v>
      </c>
      <c r="J324" s="56">
        <v>10.477779999999999</v>
      </c>
      <c r="K324" s="56">
        <v>11.41038</v>
      </c>
      <c r="L324" s="56">
        <v>1055.3900000000001</v>
      </c>
      <c r="M324" s="56">
        <v>89.99924</v>
      </c>
      <c r="N324" s="274">
        <v>11017.74</v>
      </c>
      <c r="O324" s="56">
        <v>11001.78</v>
      </c>
      <c r="P324" s="275">
        <v>2084.6619999999998</v>
      </c>
      <c r="Q324" s="275">
        <f t="shared" si="3"/>
        <v>2091.5780909090909</v>
      </c>
      <c r="R324" s="275" t="s">
        <v>584</v>
      </c>
      <c r="S324" s="275">
        <v>10</v>
      </c>
      <c r="T324" s="275">
        <v>5</v>
      </c>
      <c r="U324" s="275">
        <v>0.7</v>
      </c>
      <c r="V324" s="275">
        <v>0.7</v>
      </c>
      <c r="W324" s="275">
        <v>0.7</v>
      </c>
      <c r="X324" s="56">
        <v>2000</v>
      </c>
      <c r="Y324" s="56" t="s">
        <v>571</v>
      </c>
      <c r="Z324" s="56">
        <v>0.2</v>
      </c>
      <c r="AA324" s="56" t="s">
        <v>572</v>
      </c>
      <c r="AB324" s="56" t="s">
        <v>573</v>
      </c>
      <c r="AC324" s="56">
        <v>220</v>
      </c>
      <c r="AD324" s="277" t="s">
        <v>19</v>
      </c>
      <c r="AE324" s="277"/>
    </row>
    <row r="325" spans="1:31" ht="15.75" x14ac:dyDescent="0.25">
      <c r="A325" s="56" t="s">
        <v>768</v>
      </c>
      <c r="B325" s="56">
        <v>9</v>
      </c>
      <c r="C325" s="56">
        <v>339</v>
      </c>
      <c r="D325" s="56" t="s">
        <v>633</v>
      </c>
      <c r="E325" s="56">
        <v>1</v>
      </c>
      <c r="F325" s="278">
        <v>45747.823611111111</v>
      </c>
      <c r="G325" s="56">
        <v>1</v>
      </c>
      <c r="H325" s="56">
        <v>51.377400000000002</v>
      </c>
      <c r="I325" s="56">
        <v>9.5034899999999993</v>
      </c>
      <c r="J325" s="56">
        <v>10.356529999999999</v>
      </c>
      <c r="K325" s="56">
        <v>12.21059</v>
      </c>
      <c r="L325" s="56">
        <v>1041.58</v>
      </c>
      <c r="M325" s="56">
        <v>67.001260000000002</v>
      </c>
      <c r="N325" s="274">
        <v>10994.07</v>
      </c>
      <c r="O325" s="56">
        <v>11001.78</v>
      </c>
      <c r="P325" s="275">
        <v>2084.6619999999998</v>
      </c>
      <c r="Q325" s="275">
        <f t="shared" si="3"/>
        <v>2091.5780909090909</v>
      </c>
      <c r="R325" s="275" t="s">
        <v>570</v>
      </c>
      <c r="S325" s="275">
        <v>10</v>
      </c>
      <c r="T325" s="275">
        <v>5</v>
      </c>
      <c r="U325" s="275">
        <v>0.7</v>
      </c>
      <c r="V325" s="275">
        <v>0.7</v>
      </c>
      <c r="W325" s="275">
        <v>0.7</v>
      </c>
      <c r="X325" s="56">
        <v>2000</v>
      </c>
      <c r="Y325" s="56" t="s">
        <v>571</v>
      </c>
      <c r="Z325" s="56">
        <v>0.2</v>
      </c>
      <c r="AA325" s="56" t="s">
        <v>572</v>
      </c>
      <c r="AB325" s="56" t="s">
        <v>573</v>
      </c>
      <c r="AC325" s="56">
        <v>220</v>
      </c>
      <c r="AD325" s="277" t="s">
        <v>19</v>
      </c>
      <c r="AE325" s="277"/>
    </row>
    <row r="326" spans="1:31" ht="15.75" x14ac:dyDescent="0.25">
      <c r="A326" s="56" t="s">
        <v>769</v>
      </c>
      <c r="B326" s="56">
        <v>9</v>
      </c>
      <c r="C326" s="56">
        <v>339</v>
      </c>
      <c r="D326" s="56" t="s">
        <v>633</v>
      </c>
      <c r="E326" s="56">
        <v>1</v>
      </c>
      <c r="F326" s="278">
        <v>45747.826388888891</v>
      </c>
      <c r="G326" s="56">
        <v>1</v>
      </c>
      <c r="H326" s="56">
        <v>51.377400000000002</v>
      </c>
      <c r="I326" s="56">
        <v>9.7554499999999997</v>
      </c>
      <c r="J326" s="56">
        <v>10.546150000000001</v>
      </c>
      <c r="K326" s="56">
        <v>11.267860000000001</v>
      </c>
      <c r="L326" s="56">
        <v>1061.32</v>
      </c>
      <c r="M326" s="56">
        <v>88.997990000000001</v>
      </c>
      <c r="N326" s="274">
        <v>11009.48</v>
      </c>
      <c r="O326" s="56">
        <v>11001.78</v>
      </c>
      <c r="P326" s="275">
        <v>2084.6619999999998</v>
      </c>
      <c r="Q326" s="275">
        <f t="shared" si="3"/>
        <v>2091.5780909090909</v>
      </c>
      <c r="R326" s="275" t="s">
        <v>570</v>
      </c>
      <c r="S326" s="275">
        <v>10</v>
      </c>
      <c r="T326" s="275">
        <v>5</v>
      </c>
      <c r="U326" s="275">
        <v>0.7</v>
      </c>
      <c r="V326" s="275">
        <v>0.7</v>
      </c>
      <c r="W326" s="275">
        <v>0.7</v>
      </c>
      <c r="X326" s="56">
        <v>2000</v>
      </c>
      <c r="Y326" s="56" t="s">
        <v>571</v>
      </c>
      <c r="Z326" s="56">
        <v>0.2</v>
      </c>
      <c r="AA326" s="56" t="s">
        <v>572</v>
      </c>
      <c r="AB326" s="56" t="s">
        <v>573</v>
      </c>
      <c r="AC326" s="56">
        <v>220</v>
      </c>
      <c r="AD326" s="277" t="s">
        <v>19</v>
      </c>
      <c r="AE326" s="277"/>
    </row>
    <row r="327" spans="1:31" ht="15.75" x14ac:dyDescent="0.25">
      <c r="A327" s="56" t="s">
        <v>733</v>
      </c>
      <c r="B327" s="56">
        <v>10</v>
      </c>
      <c r="C327" s="56">
        <v>340</v>
      </c>
      <c r="D327" s="56" t="s">
        <v>637</v>
      </c>
      <c r="E327" s="56">
        <v>1</v>
      </c>
      <c r="F327" s="278">
        <v>45747.830555555556</v>
      </c>
      <c r="G327" s="56">
        <v>1</v>
      </c>
      <c r="H327" s="56">
        <v>51.374099999999999</v>
      </c>
      <c r="I327" s="56">
        <v>9.8009400000000007</v>
      </c>
      <c r="J327" s="56">
        <v>10.52618</v>
      </c>
      <c r="K327" s="56">
        <v>12.39588</v>
      </c>
      <c r="L327" s="56">
        <v>1056.29</v>
      </c>
      <c r="M327" s="56">
        <v>66.500110000000006</v>
      </c>
      <c r="N327" s="274">
        <v>10970.1</v>
      </c>
      <c r="O327" s="56">
        <v>10981.06</v>
      </c>
      <c r="P327" s="275">
        <v>2080.7869999999998</v>
      </c>
      <c r="Q327" s="275">
        <f t="shared" si="3"/>
        <v>2088.4715454545453</v>
      </c>
      <c r="R327" s="275" t="s">
        <v>570</v>
      </c>
      <c r="S327" s="275">
        <v>10</v>
      </c>
      <c r="T327" s="275">
        <v>5</v>
      </c>
      <c r="U327" s="275">
        <v>0.7</v>
      </c>
      <c r="V327" s="275">
        <v>0.7</v>
      </c>
      <c r="W327" s="275">
        <v>0.7</v>
      </c>
      <c r="X327" s="56">
        <v>2000</v>
      </c>
      <c r="Y327" s="56" t="s">
        <v>571</v>
      </c>
      <c r="Z327" s="56">
        <v>0.2</v>
      </c>
      <c r="AA327" s="56" t="s">
        <v>572</v>
      </c>
      <c r="AB327" s="56" t="s">
        <v>573</v>
      </c>
      <c r="AC327" s="56">
        <v>220</v>
      </c>
      <c r="AD327" s="277" t="s">
        <v>19</v>
      </c>
      <c r="AE327" s="277"/>
    </row>
    <row r="328" spans="1:31" ht="15.75" x14ac:dyDescent="0.25">
      <c r="A328" s="56" t="s">
        <v>734</v>
      </c>
      <c r="B328" s="56">
        <v>10</v>
      </c>
      <c r="C328" s="56">
        <v>340</v>
      </c>
      <c r="D328" s="56" t="s">
        <v>637</v>
      </c>
      <c r="E328" s="56">
        <v>1</v>
      </c>
      <c r="F328" s="294">
        <v>45747.832638888889</v>
      </c>
      <c r="G328" s="56">
        <v>1</v>
      </c>
      <c r="H328" s="56">
        <v>51.374099999999999</v>
      </c>
      <c r="I328" s="56">
        <v>9.8082499999999992</v>
      </c>
      <c r="J328" s="56">
        <v>10.571910000000001</v>
      </c>
      <c r="K328" s="56">
        <v>11.567769999999999</v>
      </c>
      <c r="L328" s="56">
        <v>1055.54</v>
      </c>
      <c r="M328" s="56">
        <v>80.998339999999999</v>
      </c>
      <c r="N328" s="274">
        <v>10992.03</v>
      </c>
      <c r="O328" s="56">
        <v>10981.06</v>
      </c>
      <c r="P328" s="275">
        <v>2080.7869999999998</v>
      </c>
      <c r="Q328" s="275">
        <f t="shared" si="3"/>
        <v>2088.4715454545453</v>
      </c>
      <c r="R328" s="275" t="s">
        <v>570</v>
      </c>
      <c r="S328" s="275">
        <v>10</v>
      </c>
      <c r="T328" s="275">
        <v>5</v>
      </c>
      <c r="U328" s="275">
        <v>0.7</v>
      </c>
      <c r="V328" s="275">
        <v>0.7</v>
      </c>
      <c r="W328" s="275">
        <v>0.7</v>
      </c>
      <c r="X328" s="56">
        <v>2000</v>
      </c>
      <c r="Y328" s="56" t="s">
        <v>571</v>
      </c>
      <c r="Z328" s="56">
        <v>0.2</v>
      </c>
      <c r="AA328" s="56" t="s">
        <v>572</v>
      </c>
      <c r="AB328" s="56" t="s">
        <v>573</v>
      </c>
      <c r="AC328" s="56">
        <v>220</v>
      </c>
      <c r="AD328" s="277" t="s">
        <v>19</v>
      </c>
      <c r="AE328" s="277"/>
    </row>
    <row r="329" spans="1:31" ht="15.75" x14ac:dyDescent="0.25">
      <c r="A329" s="289" t="s">
        <v>735</v>
      </c>
      <c r="B329" s="289">
        <v>11</v>
      </c>
      <c r="C329" s="289" t="s">
        <v>534</v>
      </c>
      <c r="D329" s="289" t="s">
        <v>569</v>
      </c>
      <c r="E329" s="289">
        <v>1</v>
      </c>
      <c r="F329" s="295">
        <v>45747.836805555555</v>
      </c>
      <c r="G329" s="289">
        <v>1</v>
      </c>
      <c r="H329" s="289">
        <v>51.374099999999999</v>
      </c>
      <c r="I329" s="289">
        <v>9.5849799999999998</v>
      </c>
      <c r="J329" s="289">
        <v>10.649929999999999</v>
      </c>
      <c r="K329" s="289">
        <v>11.442460000000001</v>
      </c>
      <c r="L329" s="289">
        <v>1053.73</v>
      </c>
      <c r="M329" s="289">
        <v>88.498919999999998</v>
      </c>
      <c r="N329" s="291">
        <v>11037.34</v>
      </c>
      <c r="O329" s="289">
        <v>10987.47</v>
      </c>
      <c r="P329" s="292">
        <v>2081.9859999999999</v>
      </c>
      <c r="Q329" s="292">
        <f>(P299/P329)*P329</f>
        <v>2090.4389999999999</v>
      </c>
      <c r="R329" s="292" t="s">
        <v>584</v>
      </c>
      <c r="S329" s="292">
        <v>10</v>
      </c>
      <c r="T329" s="292">
        <v>5</v>
      </c>
      <c r="U329" s="292">
        <v>0.7</v>
      </c>
      <c r="V329" s="292">
        <v>0.7</v>
      </c>
      <c r="W329" s="292">
        <v>0.7</v>
      </c>
      <c r="X329" s="289">
        <v>2000</v>
      </c>
      <c r="Y329" s="289" t="s">
        <v>571</v>
      </c>
      <c r="Z329" s="289">
        <v>0.2</v>
      </c>
      <c r="AA329" s="289" t="s">
        <v>572</v>
      </c>
      <c r="AB329" s="289" t="s">
        <v>573</v>
      </c>
      <c r="AC329" s="289">
        <v>220</v>
      </c>
      <c r="AD329" s="277" t="s">
        <v>19</v>
      </c>
      <c r="AE329" s="293"/>
    </row>
    <row r="330" spans="1:31" ht="15.75" x14ac:dyDescent="0.25">
      <c r="A330" s="289" t="s">
        <v>736</v>
      </c>
      <c r="B330" s="289">
        <v>11</v>
      </c>
      <c r="C330" s="289" t="s">
        <v>534</v>
      </c>
      <c r="D330" s="289" t="s">
        <v>569</v>
      </c>
      <c r="E330" s="289">
        <v>1</v>
      </c>
      <c r="F330" s="295">
        <v>45747.839583333334</v>
      </c>
      <c r="G330" s="289">
        <v>1</v>
      </c>
      <c r="H330" s="289">
        <v>51.380699999999997</v>
      </c>
      <c r="I330" s="289">
        <v>9.7985199999999999</v>
      </c>
      <c r="J330" s="289">
        <v>10.57943</v>
      </c>
      <c r="K330" s="289">
        <v>11.881550000000001</v>
      </c>
      <c r="L330" s="289">
        <v>1051.67</v>
      </c>
      <c r="M330" s="289">
        <v>69.99982</v>
      </c>
      <c r="N330" s="291">
        <v>10984.1</v>
      </c>
      <c r="O330" s="289">
        <v>10987.47</v>
      </c>
      <c r="P330" s="292">
        <v>2081.9859999999999</v>
      </c>
      <c r="Q330" s="292">
        <f>(P299/P330)*P330</f>
        <v>2090.4389999999999</v>
      </c>
      <c r="R330" s="292" t="s">
        <v>570</v>
      </c>
      <c r="S330" s="292">
        <v>10</v>
      </c>
      <c r="T330" s="292">
        <v>5</v>
      </c>
      <c r="U330" s="292">
        <v>0.7</v>
      </c>
      <c r="V330" s="292">
        <v>0.7</v>
      </c>
      <c r="W330" s="292">
        <v>0.7</v>
      </c>
      <c r="X330" s="289">
        <v>2000</v>
      </c>
      <c r="Y330" s="289" t="s">
        <v>571</v>
      </c>
      <c r="Z330" s="289">
        <v>0.2</v>
      </c>
      <c r="AA330" s="289" t="s">
        <v>572</v>
      </c>
      <c r="AB330" s="289" t="s">
        <v>573</v>
      </c>
      <c r="AC330" s="289">
        <v>220</v>
      </c>
      <c r="AD330" s="277" t="s">
        <v>19</v>
      </c>
      <c r="AE330" s="293"/>
    </row>
    <row r="331" spans="1:31" ht="15.75" x14ac:dyDescent="0.25">
      <c r="A331" s="289" t="s">
        <v>770</v>
      </c>
      <c r="B331" s="289">
        <v>11</v>
      </c>
      <c r="C331" s="289" t="s">
        <v>534</v>
      </c>
      <c r="D331" s="289" t="s">
        <v>569</v>
      </c>
      <c r="E331" s="289">
        <v>1</v>
      </c>
      <c r="F331" s="295">
        <v>45747.842361111114</v>
      </c>
      <c r="G331" s="289">
        <v>1</v>
      </c>
      <c r="H331" s="289">
        <v>51.377400000000002</v>
      </c>
      <c r="I331" s="289">
        <v>9.7827199999999994</v>
      </c>
      <c r="J331" s="289">
        <v>10.496270000000001</v>
      </c>
      <c r="K331" s="289">
        <v>11.75858</v>
      </c>
      <c r="L331" s="289">
        <v>1072.3499999999999</v>
      </c>
      <c r="M331" s="289">
        <v>75.500219999999999</v>
      </c>
      <c r="N331" s="291">
        <v>10990.84</v>
      </c>
      <c r="O331" s="289">
        <v>10987.47</v>
      </c>
      <c r="P331" s="292">
        <v>2081.9859999999999</v>
      </c>
      <c r="Q331" s="292">
        <f>(P299/P330)*P330</f>
        <v>2090.4389999999999</v>
      </c>
      <c r="R331" s="292" t="s">
        <v>570</v>
      </c>
      <c r="S331" s="292">
        <v>10</v>
      </c>
      <c r="T331" s="292">
        <v>5</v>
      </c>
      <c r="U331" s="292">
        <v>0.7</v>
      </c>
      <c r="V331" s="292">
        <v>0.7</v>
      </c>
      <c r="W331" s="292">
        <v>0.7</v>
      </c>
      <c r="X331" s="289">
        <v>2000</v>
      </c>
      <c r="Y331" s="289" t="s">
        <v>571</v>
      </c>
      <c r="Z331" s="289">
        <v>0.2</v>
      </c>
      <c r="AA331" s="289" t="s">
        <v>572</v>
      </c>
      <c r="AB331" s="289" t="s">
        <v>573</v>
      </c>
      <c r="AC331" s="289">
        <v>220</v>
      </c>
      <c r="AD331" s="277" t="s">
        <v>19</v>
      </c>
      <c r="AE331" s="293"/>
    </row>
    <row r="332" spans="1:31" ht="15.75" x14ac:dyDescent="0.25">
      <c r="A332" s="56" t="s">
        <v>771</v>
      </c>
      <c r="B332" s="56" t="s">
        <v>567</v>
      </c>
      <c r="C332" s="56" t="s">
        <v>568</v>
      </c>
      <c r="D332" s="56" t="s">
        <v>569</v>
      </c>
      <c r="E332" s="56">
        <v>1</v>
      </c>
      <c r="F332" s="294">
        <v>45748.385416666664</v>
      </c>
      <c r="G332" s="56">
        <v>1</v>
      </c>
      <c r="H332" s="56">
        <v>51.370800000000003</v>
      </c>
      <c r="I332" s="56">
        <v>12.3348</v>
      </c>
      <c r="J332" s="56">
        <v>11.906469</v>
      </c>
      <c r="K332" s="56">
        <v>13.260394</v>
      </c>
      <c r="L332" s="56">
        <v>991.72900000000004</v>
      </c>
      <c r="M332" s="56">
        <v>75.001542000000001</v>
      </c>
      <c r="N332" s="274">
        <v>10602.5707</v>
      </c>
      <c r="O332" s="56">
        <v>10602.5707</v>
      </c>
      <c r="P332" s="275">
        <v>2009.9780800000001</v>
      </c>
      <c r="Q332" s="275">
        <f t="shared" ref="Q332:Q466" si="4">P332</f>
        <v>2009.9780800000001</v>
      </c>
      <c r="R332" s="275" t="s">
        <v>570</v>
      </c>
      <c r="S332" s="275">
        <v>10</v>
      </c>
      <c r="T332" s="275">
        <v>5</v>
      </c>
      <c r="U332" s="275">
        <v>0.7</v>
      </c>
      <c r="V332" s="275">
        <v>0.7</v>
      </c>
      <c r="W332" s="275">
        <v>0.7</v>
      </c>
      <c r="X332" s="56">
        <v>2000</v>
      </c>
      <c r="Y332" s="56" t="s">
        <v>571</v>
      </c>
      <c r="Z332" s="56">
        <v>0.2</v>
      </c>
      <c r="AA332" s="56" t="s">
        <v>572</v>
      </c>
      <c r="AB332" s="56" t="s">
        <v>573</v>
      </c>
      <c r="AC332" s="56">
        <v>220</v>
      </c>
      <c r="AD332" s="277" t="s">
        <v>19</v>
      </c>
      <c r="AE332" s="277"/>
    </row>
    <row r="333" spans="1:31" ht="15.75" x14ac:dyDescent="0.25">
      <c r="A333" s="56" t="s">
        <v>574</v>
      </c>
      <c r="B333" s="56" t="s">
        <v>567</v>
      </c>
      <c r="C333" s="56" t="s">
        <v>568</v>
      </c>
      <c r="D333" s="56" t="s">
        <v>569</v>
      </c>
      <c r="E333" s="56">
        <v>1</v>
      </c>
      <c r="F333" s="294">
        <v>45748.388194444444</v>
      </c>
      <c r="G333" s="56">
        <v>1</v>
      </c>
      <c r="H333" s="56">
        <v>51.3675</v>
      </c>
      <c r="I333" s="56">
        <v>10.6518</v>
      </c>
      <c r="J333" s="56">
        <v>11.507375</v>
      </c>
      <c r="K333" s="56">
        <v>12.706950000000001</v>
      </c>
      <c r="L333" s="56">
        <v>966.11199999999997</v>
      </c>
      <c r="M333" s="56">
        <v>79.000848000000005</v>
      </c>
      <c r="N333" s="274">
        <v>10611.35</v>
      </c>
      <c r="O333" s="56">
        <v>10611.35</v>
      </c>
      <c r="P333" s="275">
        <v>2011.6205299999999</v>
      </c>
      <c r="Q333" s="275">
        <f t="shared" si="4"/>
        <v>2011.6205299999999</v>
      </c>
      <c r="R333" s="275" t="s">
        <v>570</v>
      </c>
      <c r="S333" s="275">
        <v>10</v>
      </c>
      <c r="T333" s="275">
        <v>5</v>
      </c>
      <c r="U333" s="275">
        <v>0.7</v>
      </c>
      <c r="V333" s="275">
        <v>0.7</v>
      </c>
      <c r="W333" s="275">
        <v>0.7</v>
      </c>
      <c r="X333" s="56">
        <v>2000</v>
      </c>
      <c r="Y333" s="56" t="s">
        <v>571</v>
      </c>
      <c r="Z333" s="56">
        <v>0.2</v>
      </c>
      <c r="AA333" s="56" t="s">
        <v>572</v>
      </c>
      <c r="AB333" s="56" t="s">
        <v>573</v>
      </c>
      <c r="AC333" s="56">
        <v>220</v>
      </c>
      <c r="AD333" s="277" t="s">
        <v>19</v>
      </c>
      <c r="AE333" s="277"/>
    </row>
    <row r="334" spans="1:31" ht="15.75" x14ac:dyDescent="0.25">
      <c r="A334" s="56" t="s">
        <v>575</v>
      </c>
      <c r="B334" s="56" t="s">
        <v>567</v>
      </c>
      <c r="C334" s="56" t="s">
        <v>568</v>
      </c>
      <c r="D334" s="56" t="s">
        <v>569</v>
      </c>
      <c r="E334" s="56">
        <v>1</v>
      </c>
      <c r="F334" s="294">
        <v>45748.390972222223</v>
      </c>
      <c r="G334" s="56">
        <v>1</v>
      </c>
      <c r="H334" s="56">
        <v>51.370800000000003</v>
      </c>
      <c r="I334" s="56">
        <v>10.243</v>
      </c>
      <c r="J334" s="56">
        <v>11.691781000000001</v>
      </c>
      <c r="K334" s="56">
        <v>12.909969</v>
      </c>
      <c r="L334" s="56">
        <v>967.21400000000006</v>
      </c>
      <c r="M334" s="56">
        <v>72.000864000000007</v>
      </c>
      <c r="N334" s="274">
        <v>10584.8292</v>
      </c>
      <c r="O334" s="56">
        <v>10584.8292</v>
      </c>
      <c r="P334" s="275">
        <v>2006.65896</v>
      </c>
      <c r="Q334" s="275">
        <f t="shared" si="4"/>
        <v>2006.65896</v>
      </c>
      <c r="R334" s="275" t="s">
        <v>570</v>
      </c>
      <c r="S334" s="275">
        <v>10</v>
      </c>
      <c r="T334" s="275">
        <v>5</v>
      </c>
      <c r="U334" s="275">
        <v>0.7</v>
      </c>
      <c r="V334" s="275">
        <v>0.7</v>
      </c>
      <c r="W334" s="275">
        <v>0.7</v>
      </c>
      <c r="X334" s="56">
        <v>2000</v>
      </c>
      <c r="Y334" s="56" t="s">
        <v>571</v>
      </c>
      <c r="Z334" s="56">
        <v>0.2</v>
      </c>
      <c r="AA334" s="56" t="s">
        <v>572</v>
      </c>
      <c r="AB334" s="56" t="s">
        <v>573</v>
      </c>
      <c r="AC334" s="56">
        <v>220</v>
      </c>
      <c r="AD334" s="277" t="s">
        <v>19</v>
      </c>
      <c r="AE334" s="277"/>
    </row>
    <row r="335" spans="1:31" ht="15.75" x14ac:dyDescent="0.25">
      <c r="A335" s="56" t="s">
        <v>576</v>
      </c>
      <c r="B335" s="56" t="s">
        <v>567</v>
      </c>
      <c r="C335" s="56" t="s">
        <v>568</v>
      </c>
      <c r="D335" s="56" t="s">
        <v>569</v>
      </c>
      <c r="E335" s="56">
        <v>1</v>
      </c>
      <c r="F335" s="294">
        <v>45748.394444444442</v>
      </c>
      <c r="G335" s="56">
        <v>1</v>
      </c>
      <c r="H335" s="56">
        <v>51.3675</v>
      </c>
      <c r="I335" s="56">
        <v>10.0205</v>
      </c>
      <c r="J335" s="56">
        <v>11.515262999999999</v>
      </c>
      <c r="K335" s="56">
        <v>12.769819</v>
      </c>
      <c r="L335" s="56">
        <v>974.61699999999996</v>
      </c>
      <c r="M335" s="56">
        <v>80.500837000000004</v>
      </c>
      <c r="N335" s="274">
        <v>10591.526900000001</v>
      </c>
      <c r="O335" s="56">
        <v>10591.526900000001</v>
      </c>
      <c r="P335" s="275">
        <v>2007.9119800000001</v>
      </c>
      <c r="Q335" s="275">
        <f t="shared" si="4"/>
        <v>2007.9119800000001</v>
      </c>
      <c r="R335" s="275" t="s">
        <v>570</v>
      </c>
      <c r="S335" s="275">
        <v>10</v>
      </c>
      <c r="T335" s="275">
        <v>5</v>
      </c>
      <c r="U335" s="275">
        <v>0.7</v>
      </c>
      <c r="V335" s="275">
        <v>0.7</v>
      </c>
      <c r="W335" s="275">
        <v>0.7</v>
      </c>
      <c r="X335" s="56">
        <v>2000</v>
      </c>
      <c r="Y335" s="56" t="s">
        <v>571</v>
      </c>
      <c r="Z335" s="56">
        <v>0.2</v>
      </c>
      <c r="AA335" s="56" t="s">
        <v>572</v>
      </c>
      <c r="AB335" s="56" t="s">
        <v>573</v>
      </c>
      <c r="AC335" s="56">
        <v>220</v>
      </c>
      <c r="AD335" s="277" t="s">
        <v>19</v>
      </c>
      <c r="AE335" s="277"/>
    </row>
    <row r="336" spans="1:31" ht="15.75" x14ac:dyDescent="0.25">
      <c r="A336" s="56" t="s">
        <v>577</v>
      </c>
      <c r="B336" s="56" t="s">
        <v>567</v>
      </c>
      <c r="C336" s="56" t="s">
        <v>568</v>
      </c>
      <c r="D336" s="56" t="s">
        <v>569</v>
      </c>
      <c r="E336" s="56">
        <v>1</v>
      </c>
      <c r="F336" s="294">
        <v>45748.397222222222</v>
      </c>
      <c r="G336" s="56">
        <v>1</v>
      </c>
      <c r="H336" s="56">
        <v>51.377400000000002</v>
      </c>
      <c r="I336" s="56">
        <v>9.8364899999999995</v>
      </c>
      <c r="J336" s="56">
        <v>11.497268999999999</v>
      </c>
      <c r="K336" s="56">
        <v>12.944131</v>
      </c>
      <c r="L336" s="56">
        <v>976.476</v>
      </c>
      <c r="M336" s="56">
        <v>70.499515000000002</v>
      </c>
      <c r="N336" s="274">
        <v>10591.2562</v>
      </c>
      <c r="O336" s="56">
        <v>10591.2562</v>
      </c>
      <c r="P336" s="275">
        <v>2007.86133</v>
      </c>
      <c r="Q336" s="275">
        <f t="shared" si="4"/>
        <v>2007.86133</v>
      </c>
      <c r="R336" s="275" t="s">
        <v>570</v>
      </c>
      <c r="S336" s="275">
        <v>10</v>
      </c>
      <c r="T336" s="275">
        <v>5</v>
      </c>
      <c r="U336" s="275">
        <v>0.7</v>
      </c>
      <c r="V336" s="275">
        <v>0.7</v>
      </c>
      <c r="W336" s="275">
        <v>0.7</v>
      </c>
      <c r="X336" s="56">
        <v>2000</v>
      </c>
      <c r="Y336" s="56" t="s">
        <v>571</v>
      </c>
      <c r="Z336" s="56">
        <v>0.2</v>
      </c>
      <c r="AA336" s="56" t="s">
        <v>572</v>
      </c>
      <c r="AB336" s="56" t="s">
        <v>573</v>
      </c>
      <c r="AC336" s="56">
        <v>220</v>
      </c>
      <c r="AD336" s="277" t="s">
        <v>19</v>
      </c>
      <c r="AE336" s="277"/>
    </row>
    <row r="337" spans="1:31" ht="15.75" x14ac:dyDescent="0.25">
      <c r="A337" s="56" t="s">
        <v>772</v>
      </c>
      <c r="B337" s="56" t="s">
        <v>583</v>
      </c>
      <c r="C337" s="56" t="s">
        <v>535</v>
      </c>
      <c r="D337" s="56" t="s">
        <v>569</v>
      </c>
      <c r="E337" s="56">
        <v>0.8</v>
      </c>
      <c r="F337" s="294">
        <v>45748.40347222222</v>
      </c>
      <c r="G337" s="56">
        <v>1</v>
      </c>
      <c r="H337" s="56">
        <v>51.380699999999997</v>
      </c>
      <c r="I337" s="56">
        <v>9.9191500000000001</v>
      </c>
      <c r="J337" s="56">
        <v>11.516425</v>
      </c>
      <c r="K337" s="56">
        <v>12.715218999999999</v>
      </c>
      <c r="L337" s="56">
        <v>972.46900000000005</v>
      </c>
      <c r="M337" s="56">
        <v>65.999779000000004</v>
      </c>
      <c r="N337" s="274">
        <v>8662.3437200000008</v>
      </c>
      <c r="O337" s="56">
        <v>0</v>
      </c>
      <c r="P337" s="275">
        <v>2091.86</v>
      </c>
      <c r="Q337" s="275">
        <f t="shared" si="4"/>
        <v>2091.86</v>
      </c>
      <c r="R337" s="275" t="s">
        <v>609</v>
      </c>
      <c r="S337" s="275">
        <v>10</v>
      </c>
      <c r="T337" s="275">
        <v>5</v>
      </c>
      <c r="U337" s="275">
        <v>0.7</v>
      </c>
      <c r="V337" s="275">
        <v>0.7</v>
      </c>
      <c r="W337" s="275">
        <v>0.7</v>
      </c>
      <c r="X337" s="56">
        <v>2000</v>
      </c>
      <c r="Y337" s="56" t="s">
        <v>571</v>
      </c>
      <c r="Z337" s="56">
        <v>0.2</v>
      </c>
      <c r="AA337" s="56" t="s">
        <v>572</v>
      </c>
      <c r="AB337" s="56" t="s">
        <v>573</v>
      </c>
      <c r="AC337" s="56">
        <v>220</v>
      </c>
      <c r="AD337" s="277" t="s">
        <v>610</v>
      </c>
      <c r="AE337" s="277"/>
    </row>
    <row r="338" spans="1:31" ht="15.75" x14ac:dyDescent="0.25">
      <c r="A338" s="56" t="s">
        <v>773</v>
      </c>
      <c r="B338" s="56" t="s">
        <v>583</v>
      </c>
      <c r="C338" s="56" t="s">
        <v>535</v>
      </c>
      <c r="D338" s="56" t="s">
        <v>569</v>
      </c>
      <c r="E338" s="56">
        <v>0.8</v>
      </c>
      <c r="F338" s="294">
        <v>45748.40625</v>
      </c>
      <c r="G338" s="56">
        <v>1</v>
      </c>
      <c r="H338" s="56">
        <v>51.370800000000003</v>
      </c>
      <c r="I338" s="56">
        <v>10.0136</v>
      </c>
      <c r="J338" s="56">
        <v>11.453868999999999</v>
      </c>
      <c r="K338" s="56">
        <v>12.809513000000001</v>
      </c>
      <c r="L338" s="56">
        <v>977.95899999999995</v>
      </c>
      <c r="M338" s="56">
        <v>63.500793999999999</v>
      </c>
      <c r="N338" s="274">
        <v>8767.04205</v>
      </c>
      <c r="O338" s="56">
        <v>0</v>
      </c>
      <c r="P338" s="275">
        <v>2091.86</v>
      </c>
      <c r="Q338" s="275">
        <f t="shared" si="4"/>
        <v>2091.86</v>
      </c>
      <c r="R338" s="275" t="s">
        <v>609</v>
      </c>
      <c r="S338" s="275">
        <v>10</v>
      </c>
      <c r="T338" s="275">
        <v>5</v>
      </c>
      <c r="U338" s="275">
        <v>0.7</v>
      </c>
      <c r="V338" s="275">
        <v>0.7</v>
      </c>
      <c r="W338" s="275">
        <v>0.7</v>
      </c>
      <c r="X338" s="56">
        <v>2000</v>
      </c>
      <c r="Y338" s="56" t="s">
        <v>571</v>
      </c>
      <c r="Z338" s="56">
        <v>0.2</v>
      </c>
      <c r="AA338" s="56" t="s">
        <v>572</v>
      </c>
      <c r="AB338" s="56" t="s">
        <v>573</v>
      </c>
      <c r="AC338" s="56">
        <v>220</v>
      </c>
      <c r="AD338" s="277" t="s">
        <v>610</v>
      </c>
      <c r="AE338" s="277"/>
    </row>
    <row r="339" spans="1:31" ht="15.75" x14ac:dyDescent="0.25">
      <c r="A339" s="56" t="s">
        <v>774</v>
      </c>
      <c r="B339" s="56" t="s">
        <v>583</v>
      </c>
      <c r="C339" s="56" t="s">
        <v>535</v>
      </c>
      <c r="D339" s="56" t="s">
        <v>569</v>
      </c>
      <c r="E339" s="56">
        <v>0.8</v>
      </c>
      <c r="F339" s="294">
        <v>45748.408333333333</v>
      </c>
      <c r="G339" s="56">
        <v>1</v>
      </c>
      <c r="H339" s="56">
        <v>51.374099999999999</v>
      </c>
      <c r="I339" s="56">
        <v>9.88246</v>
      </c>
      <c r="J339" s="56">
        <v>11.346225</v>
      </c>
      <c r="K339" s="56">
        <v>12.622256</v>
      </c>
      <c r="L339" s="56">
        <v>992.94899999999996</v>
      </c>
      <c r="M339" s="56">
        <v>70.999932999999999</v>
      </c>
      <c r="N339" s="274">
        <v>8791.0227699999996</v>
      </c>
      <c r="O339" s="56">
        <v>0</v>
      </c>
      <c r="P339" s="275">
        <v>2091.86</v>
      </c>
      <c r="Q339" s="275">
        <f t="shared" si="4"/>
        <v>2091.86</v>
      </c>
      <c r="R339" s="275" t="s">
        <v>609</v>
      </c>
      <c r="S339" s="275">
        <v>10</v>
      </c>
      <c r="T339" s="275">
        <v>5</v>
      </c>
      <c r="U339" s="275">
        <v>0.7</v>
      </c>
      <c r="V339" s="275">
        <v>0.7</v>
      </c>
      <c r="W339" s="275">
        <v>0.7</v>
      </c>
      <c r="X339" s="56">
        <v>2000</v>
      </c>
      <c r="Y339" s="56" t="s">
        <v>571</v>
      </c>
      <c r="Z339" s="56">
        <v>0.2</v>
      </c>
      <c r="AA339" s="56" t="s">
        <v>572</v>
      </c>
      <c r="AB339" s="56" t="s">
        <v>573</v>
      </c>
      <c r="AC339" s="56">
        <v>220</v>
      </c>
      <c r="AD339" s="277" t="s">
        <v>610</v>
      </c>
      <c r="AE339" s="277"/>
    </row>
    <row r="340" spans="1:31" ht="15.75" x14ac:dyDescent="0.25">
      <c r="A340" s="56" t="s">
        <v>775</v>
      </c>
      <c r="B340" s="56" t="s">
        <v>583</v>
      </c>
      <c r="C340" s="56" t="s">
        <v>535</v>
      </c>
      <c r="D340" s="56" t="s">
        <v>569</v>
      </c>
      <c r="E340" s="56">
        <v>0.8</v>
      </c>
      <c r="F340" s="294">
        <v>45748.411111111112</v>
      </c>
      <c r="G340" s="56">
        <v>1</v>
      </c>
      <c r="H340" s="56">
        <v>51.380699999999997</v>
      </c>
      <c r="I340" s="56">
        <v>9.8547399999999996</v>
      </c>
      <c r="J340" s="56">
        <v>11.234906000000001</v>
      </c>
      <c r="K340" s="56">
        <v>12.292894</v>
      </c>
      <c r="L340" s="56">
        <v>987.95</v>
      </c>
      <c r="M340" s="56">
        <v>80.001023000000004</v>
      </c>
      <c r="N340" s="274">
        <v>8812.6435799999999</v>
      </c>
      <c r="O340" s="56">
        <v>0</v>
      </c>
      <c r="P340" s="275">
        <v>2091.86</v>
      </c>
      <c r="Q340" s="275">
        <f t="shared" si="4"/>
        <v>2091.86</v>
      </c>
      <c r="R340" s="275" t="s">
        <v>609</v>
      </c>
      <c r="S340" s="275">
        <v>10</v>
      </c>
      <c r="T340" s="275">
        <v>5</v>
      </c>
      <c r="U340" s="275">
        <v>0.7</v>
      </c>
      <c r="V340" s="275">
        <v>0.7</v>
      </c>
      <c r="W340" s="275">
        <v>0.7</v>
      </c>
      <c r="X340" s="56">
        <v>2000</v>
      </c>
      <c r="Y340" s="56" t="s">
        <v>571</v>
      </c>
      <c r="Z340" s="56">
        <v>0.2</v>
      </c>
      <c r="AA340" s="56" t="s">
        <v>572</v>
      </c>
      <c r="AB340" s="56" t="s">
        <v>573</v>
      </c>
      <c r="AC340" s="56">
        <v>220</v>
      </c>
      <c r="AD340" s="277" t="s">
        <v>610</v>
      </c>
      <c r="AE340" s="277"/>
    </row>
    <row r="341" spans="1:31" ht="15.75" x14ac:dyDescent="0.25">
      <c r="A341" s="56" t="s">
        <v>776</v>
      </c>
      <c r="B341" s="56" t="s">
        <v>583</v>
      </c>
      <c r="C341" s="56" t="s">
        <v>535</v>
      </c>
      <c r="D341" s="56" t="s">
        <v>569</v>
      </c>
      <c r="E341" s="56">
        <v>0.8</v>
      </c>
      <c r="F341" s="294">
        <v>45748.414583333331</v>
      </c>
      <c r="G341" s="56">
        <v>1</v>
      </c>
      <c r="H341" s="56">
        <v>51.374099999999999</v>
      </c>
      <c r="I341" s="56">
        <v>9.8893599999999999</v>
      </c>
      <c r="J341" s="56">
        <v>11.417619</v>
      </c>
      <c r="K341" s="56">
        <v>12.492019000000001</v>
      </c>
      <c r="L341" s="56">
        <v>970.45899999999995</v>
      </c>
      <c r="M341" s="56">
        <v>68.998362999999998</v>
      </c>
      <c r="N341" s="274">
        <v>8791.6955699999999</v>
      </c>
      <c r="O341" s="56">
        <v>0</v>
      </c>
      <c r="P341" s="275">
        <v>2091.86</v>
      </c>
      <c r="Q341" s="275">
        <f t="shared" si="4"/>
        <v>2091.86</v>
      </c>
      <c r="R341" s="275" t="s">
        <v>609</v>
      </c>
      <c r="S341" s="275">
        <v>10</v>
      </c>
      <c r="T341" s="275">
        <v>5</v>
      </c>
      <c r="U341" s="275">
        <v>0.7</v>
      </c>
      <c r="V341" s="275">
        <v>0.7</v>
      </c>
      <c r="W341" s="275">
        <v>0.7</v>
      </c>
      <c r="X341" s="56">
        <v>2000</v>
      </c>
      <c r="Y341" s="56" t="s">
        <v>571</v>
      </c>
      <c r="Z341" s="56">
        <v>0.2</v>
      </c>
      <c r="AA341" s="56" t="s">
        <v>572</v>
      </c>
      <c r="AB341" s="56" t="s">
        <v>573</v>
      </c>
      <c r="AC341" s="56">
        <v>220</v>
      </c>
      <c r="AD341" s="277" t="s">
        <v>610</v>
      </c>
      <c r="AE341" s="277"/>
    </row>
    <row r="342" spans="1:31" ht="15.75" x14ac:dyDescent="0.25">
      <c r="A342" s="56" t="s">
        <v>777</v>
      </c>
      <c r="B342" s="56" t="s">
        <v>583</v>
      </c>
      <c r="C342" s="56" t="s">
        <v>535</v>
      </c>
      <c r="D342" s="56" t="s">
        <v>569</v>
      </c>
      <c r="E342" s="56">
        <v>0.8</v>
      </c>
      <c r="F342" s="294">
        <v>45748.416666666664</v>
      </c>
      <c r="G342" s="56">
        <v>2</v>
      </c>
      <c r="H342" s="56">
        <v>51.374099999999999</v>
      </c>
      <c r="I342" s="56">
        <v>9.9213799999999992</v>
      </c>
      <c r="J342" s="56">
        <v>11.329694</v>
      </c>
      <c r="K342" s="56">
        <v>12.726725</v>
      </c>
      <c r="L342" s="56">
        <v>996.81899999999996</v>
      </c>
      <c r="M342" s="56">
        <v>64.499285</v>
      </c>
      <c r="N342" s="274">
        <v>8790.4795599999998</v>
      </c>
      <c r="O342" s="56">
        <v>8793.3089600000003</v>
      </c>
      <c r="P342" s="275">
        <v>2091.86</v>
      </c>
      <c r="Q342" s="275">
        <f t="shared" si="4"/>
        <v>2091.86</v>
      </c>
      <c r="R342" s="275" t="s">
        <v>570</v>
      </c>
      <c r="S342" s="275">
        <v>10</v>
      </c>
      <c r="T342" s="275">
        <v>5</v>
      </c>
      <c r="U342" s="275">
        <v>0.7</v>
      </c>
      <c r="V342" s="275">
        <v>0.7</v>
      </c>
      <c r="W342" s="275">
        <v>0.7</v>
      </c>
      <c r="X342" s="56">
        <v>2000</v>
      </c>
      <c r="Y342" s="56" t="s">
        <v>571</v>
      </c>
      <c r="Z342" s="56">
        <v>0.2</v>
      </c>
      <c r="AA342" s="56" t="s">
        <v>572</v>
      </c>
      <c r="AB342" s="56" t="s">
        <v>573</v>
      </c>
      <c r="AC342" s="56">
        <v>220</v>
      </c>
      <c r="AD342" s="277" t="s">
        <v>19</v>
      </c>
      <c r="AE342" s="277"/>
    </row>
    <row r="343" spans="1:31" ht="15.75" x14ac:dyDescent="0.25">
      <c r="A343" s="56" t="s">
        <v>778</v>
      </c>
      <c r="B343" s="56" t="s">
        <v>583</v>
      </c>
      <c r="C343" s="56" t="s">
        <v>535</v>
      </c>
      <c r="D343" s="56" t="s">
        <v>569</v>
      </c>
      <c r="E343" s="56">
        <v>0.8</v>
      </c>
      <c r="F343" s="294">
        <v>45748.419444444444</v>
      </c>
      <c r="G343" s="56">
        <v>2</v>
      </c>
      <c r="H343" s="56">
        <v>51.370800000000003</v>
      </c>
      <c r="I343" s="56">
        <v>9.6069300000000002</v>
      </c>
      <c r="J343" s="56">
        <v>11.353512</v>
      </c>
      <c r="K343" s="56">
        <v>12.099325</v>
      </c>
      <c r="L343" s="56">
        <v>973.73400000000004</v>
      </c>
      <c r="M343" s="56">
        <v>76.000845999999996</v>
      </c>
      <c r="N343" s="274">
        <v>8796.1383600000008</v>
      </c>
      <c r="O343" s="56">
        <v>8793.3089600000003</v>
      </c>
      <c r="P343" s="275">
        <v>2091.86</v>
      </c>
      <c r="Q343" s="275">
        <f t="shared" si="4"/>
        <v>2091.86</v>
      </c>
      <c r="R343" s="275" t="s">
        <v>570</v>
      </c>
      <c r="S343" s="275">
        <v>10</v>
      </c>
      <c r="T343" s="275">
        <v>5</v>
      </c>
      <c r="U343" s="275">
        <v>0.7</v>
      </c>
      <c r="V343" s="275">
        <v>0.7</v>
      </c>
      <c r="W343" s="275">
        <v>0.7</v>
      </c>
      <c r="X343" s="56">
        <v>2000</v>
      </c>
      <c r="Y343" s="56" t="s">
        <v>571</v>
      </c>
      <c r="Z343" s="56">
        <v>0.2</v>
      </c>
      <c r="AA343" s="56" t="s">
        <v>572</v>
      </c>
      <c r="AB343" s="56" t="s">
        <v>573</v>
      </c>
      <c r="AC343" s="56">
        <v>220</v>
      </c>
      <c r="AD343" s="277" t="s">
        <v>19</v>
      </c>
      <c r="AE343" s="277"/>
    </row>
    <row r="344" spans="1:31" ht="15.75" x14ac:dyDescent="0.25">
      <c r="A344" s="56" t="s">
        <v>779</v>
      </c>
      <c r="B344" s="56" t="s">
        <v>589</v>
      </c>
      <c r="C344" s="56" t="s">
        <v>535</v>
      </c>
      <c r="D344" s="56" t="s">
        <v>569</v>
      </c>
      <c r="E344" s="56">
        <v>1</v>
      </c>
      <c r="F344" s="294">
        <v>45748.42291666667</v>
      </c>
      <c r="G344" s="56">
        <v>1</v>
      </c>
      <c r="H344" s="56">
        <v>51.370800000000003</v>
      </c>
      <c r="I344" s="56">
        <v>9.4291300000000007</v>
      </c>
      <c r="J344" s="56">
        <v>11.215469000000001</v>
      </c>
      <c r="K344" s="56">
        <v>12.394975000000001</v>
      </c>
      <c r="L344" s="56">
        <v>1055.3599999999999</v>
      </c>
      <c r="M344" s="56">
        <v>75.499618999999996</v>
      </c>
      <c r="N344" s="274">
        <v>11024.7372</v>
      </c>
      <c r="O344" s="56">
        <v>11032.450699999999</v>
      </c>
      <c r="P344" s="275">
        <v>2091.86</v>
      </c>
      <c r="Q344" s="275">
        <f t="shared" si="4"/>
        <v>2091.86</v>
      </c>
      <c r="R344" s="275" t="s">
        <v>570</v>
      </c>
      <c r="S344" s="275">
        <v>10</v>
      </c>
      <c r="T344" s="275">
        <v>5</v>
      </c>
      <c r="U344" s="275">
        <v>0.7</v>
      </c>
      <c r="V344" s="275">
        <v>0.7</v>
      </c>
      <c r="W344" s="275">
        <v>0.7</v>
      </c>
      <c r="X344" s="56">
        <v>2000</v>
      </c>
      <c r="Y344" s="56" t="s">
        <v>571</v>
      </c>
      <c r="Z344" s="56">
        <v>0.2</v>
      </c>
      <c r="AA344" s="56" t="s">
        <v>572</v>
      </c>
      <c r="AB344" s="56" t="s">
        <v>573</v>
      </c>
      <c r="AC344" s="56">
        <v>220</v>
      </c>
      <c r="AD344" s="277" t="s">
        <v>19</v>
      </c>
      <c r="AE344" s="277"/>
    </row>
    <row r="345" spans="1:31" ht="15.75" x14ac:dyDescent="0.25">
      <c r="A345" s="56" t="s">
        <v>780</v>
      </c>
      <c r="B345" s="56" t="s">
        <v>589</v>
      </c>
      <c r="C345" s="56" t="s">
        <v>535</v>
      </c>
      <c r="D345" s="56" t="s">
        <v>569</v>
      </c>
      <c r="E345" s="56">
        <v>1</v>
      </c>
      <c r="F345" s="294">
        <v>45748.425694444442</v>
      </c>
      <c r="G345" s="56">
        <v>1</v>
      </c>
      <c r="H345" s="56">
        <v>51.374099999999999</v>
      </c>
      <c r="I345" s="56">
        <v>9.5335000000000001</v>
      </c>
      <c r="J345" s="56">
        <v>11.291338</v>
      </c>
      <c r="K345" s="56">
        <v>12.705856000000001</v>
      </c>
      <c r="L345" s="56">
        <v>1056.44</v>
      </c>
      <c r="M345" s="56">
        <v>71.500305999999995</v>
      </c>
      <c r="N345" s="274">
        <v>11040.164199999999</v>
      </c>
      <c r="O345" s="56">
        <v>11032.450699999999</v>
      </c>
      <c r="P345" s="275">
        <v>2091.86</v>
      </c>
      <c r="Q345" s="275">
        <f t="shared" si="4"/>
        <v>2091.86</v>
      </c>
      <c r="R345" s="275" t="s">
        <v>570</v>
      </c>
      <c r="S345" s="275">
        <v>10</v>
      </c>
      <c r="T345" s="275">
        <v>5</v>
      </c>
      <c r="U345" s="275">
        <v>0.7</v>
      </c>
      <c r="V345" s="275">
        <v>0.7</v>
      </c>
      <c r="W345" s="275">
        <v>0.7</v>
      </c>
      <c r="X345" s="56">
        <v>2000</v>
      </c>
      <c r="Y345" s="56" t="s">
        <v>571</v>
      </c>
      <c r="Z345" s="56">
        <v>0.2</v>
      </c>
      <c r="AA345" s="56" t="s">
        <v>572</v>
      </c>
      <c r="AB345" s="56" t="s">
        <v>573</v>
      </c>
      <c r="AC345" s="56">
        <v>220</v>
      </c>
      <c r="AD345" s="277" t="s">
        <v>19</v>
      </c>
      <c r="AE345" s="277"/>
    </row>
    <row r="346" spans="1:31" ht="15.75" x14ac:dyDescent="0.25">
      <c r="A346" s="56" t="s">
        <v>781</v>
      </c>
      <c r="B346" s="56" t="s">
        <v>594</v>
      </c>
      <c r="C346" s="56" t="s">
        <v>535</v>
      </c>
      <c r="D346" s="56" t="s">
        <v>569</v>
      </c>
      <c r="E346" s="56">
        <v>1.2</v>
      </c>
      <c r="F346" s="294">
        <v>45748.428472222222</v>
      </c>
      <c r="G346" s="56">
        <v>1</v>
      </c>
      <c r="H346" s="56">
        <v>51.377400000000002</v>
      </c>
      <c r="I346" s="56">
        <v>9.4138900000000003</v>
      </c>
      <c r="J346" s="56">
        <v>11.209987999999999</v>
      </c>
      <c r="K346" s="56">
        <v>12.877919</v>
      </c>
      <c r="L346" s="56">
        <v>1091.78</v>
      </c>
      <c r="M346" s="56">
        <v>76.002397999999999</v>
      </c>
      <c r="N346" s="274">
        <v>13260.9036</v>
      </c>
      <c r="O346" s="56">
        <v>13237.687400000001</v>
      </c>
      <c r="P346" s="275">
        <v>2091.86</v>
      </c>
      <c r="Q346" s="275">
        <f t="shared" si="4"/>
        <v>2091.86</v>
      </c>
      <c r="R346" s="275" t="s">
        <v>584</v>
      </c>
      <c r="S346" s="275">
        <v>10</v>
      </c>
      <c r="T346" s="275">
        <v>5</v>
      </c>
      <c r="U346" s="275">
        <v>0.7</v>
      </c>
      <c r="V346" s="275">
        <v>0.7</v>
      </c>
      <c r="W346" s="275">
        <v>0.7</v>
      </c>
      <c r="X346" s="56">
        <v>2000</v>
      </c>
      <c r="Y346" s="56" t="s">
        <v>571</v>
      </c>
      <c r="Z346" s="56">
        <v>0.2</v>
      </c>
      <c r="AA346" s="56" t="s">
        <v>572</v>
      </c>
      <c r="AB346" s="56" t="s">
        <v>573</v>
      </c>
      <c r="AC346" s="56">
        <v>220</v>
      </c>
      <c r="AD346" s="277" t="s">
        <v>19</v>
      </c>
      <c r="AE346" s="277"/>
    </row>
    <row r="347" spans="1:31" ht="15.75" x14ac:dyDescent="0.25">
      <c r="A347" s="56" t="s">
        <v>782</v>
      </c>
      <c r="B347" s="56" t="s">
        <v>594</v>
      </c>
      <c r="C347" s="56" t="s">
        <v>535</v>
      </c>
      <c r="D347" s="56" t="s">
        <v>569</v>
      </c>
      <c r="E347" s="56">
        <v>1.2</v>
      </c>
      <c r="F347" s="294">
        <v>45748.431250000001</v>
      </c>
      <c r="G347" s="56">
        <v>1</v>
      </c>
      <c r="H347" s="56">
        <v>51.377400000000002</v>
      </c>
      <c r="I347" s="56">
        <v>9.2261799999999994</v>
      </c>
      <c r="J347" s="56">
        <v>11.272774999999999</v>
      </c>
      <c r="K347" s="56">
        <v>13.170925</v>
      </c>
      <c r="L347" s="56">
        <v>1105.53</v>
      </c>
      <c r="M347" s="56">
        <v>70.999178000000001</v>
      </c>
      <c r="N347" s="274">
        <v>13229.437900000001</v>
      </c>
      <c r="O347" s="56">
        <v>13237.687400000001</v>
      </c>
      <c r="P347" s="275">
        <v>2091.86</v>
      </c>
      <c r="Q347" s="275">
        <f t="shared" si="4"/>
        <v>2091.86</v>
      </c>
      <c r="R347" s="275" t="s">
        <v>570</v>
      </c>
      <c r="S347" s="275">
        <v>10</v>
      </c>
      <c r="T347" s="275">
        <v>5</v>
      </c>
      <c r="U347" s="275">
        <v>0.7</v>
      </c>
      <c r="V347" s="275">
        <v>0.7</v>
      </c>
      <c r="W347" s="275">
        <v>0.7</v>
      </c>
      <c r="X347" s="56">
        <v>2000</v>
      </c>
      <c r="Y347" s="56" t="s">
        <v>571</v>
      </c>
      <c r="Z347" s="56">
        <v>0.2</v>
      </c>
      <c r="AA347" s="56" t="s">
        <v>572</v>
      </c>
      <c r="AB347" s="56" t="s">
        <v>573</v>
      </c>
      <c r="AC347" s="56">
        <v>220</v>
      </c>
      <c r="AD347" s="277" t="s">
        <v>19</v>
      </c>
      <c r="AE347" s="277"/>
    </row>
    <row r="348" spans="1:31" ht="15.75" x14ac:dyDescent="0.25">
      <c r="A348" s="56" t="s">
        <v>783</v>
      </c>
      <c r="B348" s="56" t="s">
        <v>594</v>
      </c>
      <c r="C348" s="56" t="s">
        <v>535</v>
      </c>
      <c r="D348" s="56" t="s">
        <v>569</v>
      </c>
      <c r="E348" s="56">
        <v>1.2</v>
      </c>
      <c r="F348" s="294">
        <v>45748.434027777781</v>
      </c>
      <c r="G348" s="56">
        <v>1</v>
      </c>
      <c r="H348" s="56">
        <v>51.374099999999999</v>
      </c>
      <c r="I348" s="56">
        <v>9.0875599999999999</v>
      </c>
      <c r="J348" s="56">
        <v>11.260975</v>
      </c>
      <c r="K348" s="56">
        <v>12.936019</v>
      </c>
      <c r="L348" s="56">
        <v>1091.83</v>
      </c>
      <c r="M348" s="56">
        <v>75.999843999999996</v>
      </c>
      <c r="N348" s="274">
        <v>13245.936900000001</v>
      </c>
      <c r="O348" s="56">
        <v>13237.687400000001</v>
      </c>
      <c r="P348" s="275">
        <v>2091.86</v>
      </c>
      <c r="Q348" s="275">
        <f t="shared" si="4"/>
        <v>2091.86</v>
      </c>
      <c r="R348" s="275" t="s">
        <v>570</v>
      </c>
      <c r="S348" s="275">
        <v>10</v>
      </c>
      <c r="T348" s="275">
        <v>5</v>
      </c>
      <c r="U348" s="275">
        <v>0.7</v>
      </c>
      <c r="V348" s="275">
        <v>0.7</v>
      </c>
      <c r="W348" s="275">
        <v>0.7</v>
      </c>
      <c r="X348" s="56">
        <v>2000</v>
      </c>
      <c r="Y348" s="56" t="s">
        <v>571</v>
      </c>
      <c r="Z348" s="56">
        <v>0.2</v>
      </c>
      <c r="AA348" s="56" t="s">
        <v>572</v>
      </c>
      <c r="AB348" s="56" t="s">
        <v>573</v>
      </c>
      <c r="AC348" s="56">
        <v>220</v>
      </c>
      <c r="AD348" s="277" t="s">
        <v>19</v>
      </c>
      <c r="AE348" s="277"/>
    </row>
    <row r="349" spans="1:31" ht="15.75" x14ac:dyDescent="0.25">
      <c r="A349" s="280" t="s">
        <v>579</v>
      </c>
      <c r="B349" s="280">
        <v>2</v>
      </c>
      <c r="C349" s="280" t="s">
        <v>535</v>
      </c>
      <c r="D349" s="280" t="s">
        <v>569</v>
      </c>
      <c r="E349" s="280">
        <v>1</v>
      </c>
      <c r="F349" s="296">
        <v>45748.436805555553</v>
      </c>
      <c r="G349" s="280">
        <v>1</v>
      </c>
      <c r="H349" s="280">
        <v>51.380699999999997</v>
      </c>
      <c r="I349" s="280">
        <v>9.1861300000000004</v>
      </c>
      <c r="J349" s="280">
        <v>11.224119</v>
      </c>
      <c r="K349" s="280">
        <v>12.821562</v>
      </c>
      <c r="L349" s="280">
        <v>1051.3</v>
      </c>
      <c r="M349" s="280">
        <v>70.000338999999997</v>
      </c>
      <c r="N349" s="282">
        <v>11006.6314</v>
      </c>
      <c r="O349" s="280">
        <v>11009.5653</v>
      </c>
      <c r="P349" s="283">
        <v>2089.67913</v>
      </c>
      <c r="Q349" s="275">
        <f t="shared" si="4"/>
        <v>2089.67913</v>
      </c>
      <c r="R349" s="283" t="s">
        <v>570</v>
      </c>
      <c r="S349" s="275">
        <v>10</v>
      </c>
      <c r="T349" s="275">
        <v>5</v>
      </c>
      <c r="U349" s="275">
        <v>0.7</v>
      </c>
      <c r="V349" s="275">
        <v>0.7</v>
      </c>
      <c r="W349" s="275">
        <v>0.7</v>
      </c>
      <c r="X349" s="56">
        <v>2000</v>
      </c>
      <c r="Y349" s="56" t="s">
        <v>571</v>
      </c>
      <c r="Z349" s="56">
        <v>0.2</v>
      </c>
      <c r="AA349" s="56" t="s">
        <v>572</v>
      </c>
      <c r="AB349" s="56" t="s">
        <v>573</v>
      </c>
      <c r="AC349" s="56">
        <v>220</v>
      </c>
      <c r="AD349" s="277" t="s">
        <v>19</v>
      </c>
      <c r="AE349" s="277"/>
    </row>
    <row r="350" spans="1:31" ht="15.75" x14ac:dyDescent="0.25">
      <c r="A350" s="280" t="s">
        <v>691</v>
      </c>
      <c r="B350" s="280">
        <v>2</v>
      </c>
      <c r="C350" s="280" t="s">
        <v>535</v>
      </c>
      <c r="D350" s="280" t="s">
        <v>569</v>
      </c>
      <c r="E350" s="280">
        <v>1</v>
      </c>
      <c r="F350" s="296">
        <v>45748.439583333333</v>
      </c>
      <c r="G350" s="280">
        <v>1</v>
      </c>
      <c r="H350" s="280">
        <v>51.370800000000003</v>
      </c>
      <c r="I350" s="280">
        <v>9.1346799999999995</v>
      </c>
      <c r="J350" s="280">
        <v>11.266544</v>
      </c>
      <c r="K350" s="280">
        <v>12.566163</v>
      </c>
      <c r="L350" s="280">
        <v>1046.07</v>
      </c>
      <c r="M350" s="280">
        <v>74.999098000000004</v>
      </c>
      <c r="N350" s="282">
        <v>11012.4992</v>
      </c>
      <c r="O350" s="280">
        <v>11009.5653</v>
      </c>
      <c r="P350" s="283">
        <v>2089.67913</v>
      </c>
      <c r="Q350" s="275">
        <f t="shared" si="4"/>
        <v>2089.67913</v>
      </c>
      <c r="R350" s="283" t="s">
        <v>570</v>
      </c>
      <c r="S350" s="275">
        <v>10</v>
      </c>
      <c r="T350" s="275">
        <v>5</v>
      </c>
      <c r="U350" s="275">
        <v>0.7</v>
      </c>
      <c r="V350" s="275">
        <v>0.7</v>
      </c>
      <c r="W350" s="275">
        <v>0.7</v>
      </c>
      <c r="X350" s="56">
        <v>2000</v>
      </c>
      <c r="Y350" s="56" t="s">
        <v>571</v>
      </c>
      <c r="Z350" s="56">
        <v>0.2</v>
      </c>
      <c r="AA350" s="56" t="s">
        <v>572</v>
      </c>
      <c r="AB350" s="56" t="s">
        <v>573</v>
      </c>
      <c r="AC350" s="56">
        <v>220</v>
      </c>
      <c r="AD350" s="277" t="s">
        <v>19</v>
      </c>
      <c r="AE350" s="277"/>
    </row>
    <row r="351" spans="1:31" ht="15.75" x14ac:dyDescent="0.25">
      <c r="A351" s="56" t="s">
        <v>580</v>
      </c>
      <c r="B351" s="56">
        <v>3</v>
      </c>
      <c r="C351" s="56">
        <v>261</v>
      </c>
      <c r="D351" s="56" t="s">
        <v>600</v>
      </c>
      <c r="E351" s="56">
        <v>1</v>
      </c>
      <c r="F351" s="294">
        <v>45748.443055555559</v>
      </c>
      <c r="G351" s="56">
        <v>1</v>
      </c>
      <c r="H351" s="56">
        <v>51.374099999999999</v>
      </c>
      <c r="I351" s="56">
        <v>9.0933799999999998</v>
      </c>
      <c r="J351" s="56">
        <v>11.225830999999999</v>
      </c>
      <c r="K351" s="56">
        <v>12.36905</v>
      </c>
      <c r="L351" s="56">
        <v>1033.54</v>
      </c>
      <c r="M351" s="56">
        <v>81.499855999999994</v>
      </c>
      <c r="N351" s="274">
        <v>10954.3688</v>
      </c>
      <c r="O351" s="56">
        <v>10925.905500000001</v>
      </c>
      <c r="P351" s="275">
        <v>2073.9284899999998</v>
      </c>
      <c r="Q351" s="275">
        <f t="shared" si="4"/>
        <v>2073.9284899999998</v>
      </c>
      <c r="R351" s="275" t="s">
        <v>584</v>
      </c>
      <c r="S351" s="275">
        <v>10</v>
      </c>
      <c r="T351" s="275">
        <v>5</v>
      </c>
      <c r="U351" s="275">
        <v>0.7</v>
      </c>
      <c r="V351" s="275">
        <v>0.7</v>
      </c>
      <c r="W351" s="275">
        <v>0.7</v>
      </c>
      <c r="X351" s="56">
        <v>2000</v>
      </c>
      <c r="Y351" s="56" t="s">
        <v>571</v>
      </c>
      <c r="Z351" s="56">
        <v>0.2</v>
      </c>
      <c r="AA351" s="56" t="s">
        <v>572</v>
      </c>
      <c r="AB351" s="56" t="s">
        <v>573</v>
      </c>
      <c r="AC351" s="56">
        <v>220</v>
      </c>
      <c r="AD351" s="277" t="s">
        <v>19</v>
      </c>
      <c r="AE351" s="277"/>
    </row>
    <row r="352" spans="1:31" ht="15.75" x14ac:dyDescent="0.25">
      <c r="A352" s="56" t="s">
        <v>694</v>
      </c>
      <c r="B352" s="56">
        <v>3</v>
      </c>
      <c r="C352" s="56">
        <v>261</v>
      </c>
      <c r="D352" s="56" t="s">
        <v>600</v>
      </c>
      <c r="E352" s="56">
        <v>1</v>
      </c>
      <c r="F352" s="294">
        <v>45748.445833333331</v>
      </c>
      <c r="G352" s="56">
        <v>1</v>
      </c>
      <c r="H352" s="56">
        <v>51.374099999999999</v>
      </c>
      <c r="I352" s="56">
        <v>9.1626600000000007</v>
      </c>
      <c r="J352" s="56">
        <v>11.370463000000001</v>
      </c>
      <c r="K352" s="56">
        <v>13.866756000000001</v>
      </c>
      <c r="L352" s="56">
        <v>1044.79</v>
      </c>
      <c r="M352" s="56">
        <v>64.001390000000001</v>
      </c>
      <c r="N352" s="274">
        <v>10917.580900000001</v>
      </c>
      <c r="O352" s="56">
        <v>10925.905500000001</v>
      </c>
      <c r="P352" s="275">
        <v>2073.9284899999998</v>
      </c>
      <c r="Q352" s="275">
        <f t="shared" si="4"/>
        <v>2073.9284899999998</v>
      </c>
      <c r="R352" s="275" t="s">
        <v>570</v>
      </c>
      <c r="S352" s="275">
        <v>10</v>
      </c>
      <c r="T352" s="275">
        <v>5</v>
      </c>
      <c r="U352" s="275">
        <v>0.7</v>
      </c>
      <c r="V352" s="275">
        <v>0.7</v>
      </c>
      <c r="W352" s="275">
        <v>0.7</v>
      </c>
      <c r="X352" s="56">
        <v>2000</v>
      </c>
      <c r="Y352" s="56" t="s">
        <v>571</v>
      </c>
      <c r="Z352" s="56">
        <v>0.2</v>
      </c>
      <c r="AA352" s="56" t="s">
        <v>572</v>
      </c>
      <c r="AB352" s="56" t="s">
        <v>573</v>
      </c>
      <c r="AC352" s="56">
        <v>220</v>
      </c>
      <c r="AD352" s="277" t="s">
        <v>19</v>
      </c>
      <c r="AE352" s="277"/>
    </row>
    <row r="353" spans="1:31" ht="15.75" x14ac:dyDescent="0.25">
      <c r="A353" s="56" t="s">
        <v>744</v>
      </c>
      <c r="B353" s="56">
        <v>3</v>
      </c>
      <c r="C353" s="56">
        <v>261</v>
      </c>
      <c r="D353" s="56" t="s">
        <v>600</v>
      </c>
      <c r="E353" s="56">
        <v>1</v>
      </c>
      <c r="F353" s="294">
        <v>45748.448611111111</v>
      </c>
      <c r="G353" s="56">
        <v>1</v>
      </c>
      <c r="H353" s="56">
        <v>51.380699999999997</v>
      </c>
      <c r="I353" s="56">
        <v>9.1410499999999999</v>
      </c>
      <c r="J353" s="56">
        <v>11.174731</v>
      </c>
      <c r="K353" s="56">
        <v>12.394213000000001</v>
      </c>
      <c r="L353" s="56">
        <v>1039.8599999999999</v>
      </c>
      <c r="M353" s="56">
        <v>81.500084000000001</v>
      </c>
      <c r="N353" s="274">
        <v>10934.2302</v>
      </c>
      <c r="O353" s="56">
        <v>10925.905500000001</v>
      </c>
      <c r="P353" s="275">
        <v>2073.9284899999998</v>
      </c>
      <c r="Q353" s="275">
        <f t="shared" si="4"/>
        <v>2073.9284899999998</v>
      </c>
      <c r="R353" s="275" t="s">
        <v>570</v>
      </c>
      <c r="S353" s="275">
        <v>10</v>
      </c>
      <c r="T353" s="275">
        <v>5</v>
      </c>
      <c r="U353" s="275">
        <v>0.7</v>
      </c>
      <c r="V353" s="275">
        <v>0.7</v>
      </c>
      <c r="W353" s="275">
        <v>0.7</v>
      </c>
      <c r="X353" s="56">
        <v>2000</v>
      </c>
      <c r="Y353" s="56" t="s">
        <v>571</v>
      </c>
      <c r="Z353" s="56">
        <v>0.2</v>
      </c>
      <c r="AA353" s="56" t="s">
        <v>572</v>
      </c>
      <c r="AB353" s="56" t="s">
        <v>573</v>
      </c>
      <c r="AC353" s="56">
        <v>220</v>
      </c>
      <c r="AD353" s="277" t="s">
        <v>19</v>
      </c>
      <c r="AE353" s="277"/>
    </row>
    <row r="354" spans="1:31" ht="15.75" x14ac:dyDescent="0.25">
      <c r="A354" s="56" t="s">
        <v>581</v>
      </c>
      <c r="B354" s="56">
        <v>4</v>
      </c>
      <c r="C354" s="56">
        <v>262</v>
      </c>
      <c r="D354" s="56" t="s">
        <v>604</v>
      </c>
      <c r="E354" s="56">
        <v>1</v>
      </c>
      <c r="F354" s="294">
        <v>45748.45208333333</v>
      </c>
      <c r="G354" s="56">
        <v>1</v>
      </c>
      <c r="H354" s="56">
        <v>51.380699999999997</v>
      </c>
      <c r="I354" s="56">
        <v>9.0640400000000003</v>
      </c>
      <c r="J354" s="56">
        <v>11.278575</v>
      </c>
      <c r="K354" s="56">
        <v>11.983143999999999</v>
      </c>
      <c r="L354" s="56">
        <v>1045.97</v>
      </c>
      <c r="M354" s="56">
        <v>98.999814000000001</v>
      </c>
      <c r="N354" s="274">
        <v>10992.824500000001</v>
      </c>
      <c r="O354" s="56">
        <v>10948.0602</v>
      </c>
      <c r="P354" s="275">
        <v>2078.0995499999999</v>
      </c>
      <c r="Q354" s="275">
        <f t="shared" si="4"/>
        <v>2078.0995499999999</v>
      </c>
      <c r="R354" s="275" t="s">
        <v>584</v>
      </c>
      <c r="S354" s="275">
        <v>10</v>
      </c>
      <c r="T354" s="275">
        <v>5</v>
      </c>
      <c r="U354" s="275">
        <v>0.7</v>
      </c>
      <c r="V354" s="275">
        <v>0.7</v>
      </c>
      <c r="W354" s="275">
        <v>0.7</v>
      </c>
      <c r="X354" s="56">
        <v>2000</v>
      </c>
      <c r="Y354" s="56" t="s">
        <v>571</v>
      </c>
      <c r="Z354" s="56">
        <v>0.2</v>
      </c>
      <c r="AA354" s="56" t="s">
        <v>572</v>
      </c>
      <c r="AB354" s="56" t="s">
        <v>573</v>
      </c>
      <c r="AC354" s="56">
        <v>220</v>
      </c>
      <c r="AD354" s="277" t="s">
        <v>19</v>
      </c>
      <c r="AE354" s="277"/>
    </row>
    <row r="355" spans="1:31" ht="15.75" x14ac:dyDescent="0.25">
      <c r="A355" s="56" t="s">
        <v>695</v>
      </c>
      <c r="B355" s="56">
        <v>4</v>
      </c>
      <c r="C355" s="56">
        <v>262</v>
      </c>
      <c r="D355" s="56" t="s">
        <v>604</v>
      </c>
      <c r="E355" s="56">
        <v>1</v>
      </c>
      <c r="F355" s="294">
        <v>45748.455555555556</v>
      </c>
      <c r="G355" s="56">
        <v>1</v>
      </c>
      <c r="H355" s="56">
        <v>51.377400000000002</v>
      </c>
      <c r="I355" s="56">
        <v>8.9337999999999997</v>
      </c>
      <c r="J355" s="56">
        <v>11.184150000000001</v>
      </c>
      <c r="K355" s="56">
        <v>12.610025</v>
      </c>
      <c r="L355" s="56">
        <v>1031.8699999999999</v>
      </c>
      <c r="M355" s="56">
        <v>73.999602999999993</v>
      </c>
      <c r="N355" s="274">
        <v>10943.0293</v>
      </c>
      <c r="O355" s="56">
        <v>10948.0602</v>
      </c>
      <c r="P355" s="275">
        <v>2078.0995499999999</v>
      </c>
      <c r="Q355" s="275">
        <f t="shared" si="4"/>
        <v>2078.0995499999999</v>
      </c>
      <c r="R355" s="275" t="s">
        <v>570</v>
      </c>
      <c r="S355" s="275">
        <v>10</v>
      </c>
      <c r="T355" s="275">
        <v>5</v>
      </c>
      <c r="U355" s="275">
        <v>0.7</v>
      </c>
      <c r="V355" s="275">
        <v>0.7</v>
      </c>
      <c r="W355" s="275">
        <v>0.7</v>
      </c>
      <c r="X355" s="56">
        <v>2000</v>
      </c>
      <c r="Y355" s="56" t="s">
        <v>571</v>
      </c>
      <c r="Z355" s="56">
        <v>0.2</v>
      </c>
      <c r="AA355" s="56" t="s">
        <v>572</v>
      </c>
      <c r="AB355" s="56" t="s">
        <v>573</v>
      </c>
      <c r="AC355" s="56">
        <v>220</v>
      </c>
      <c r="AD355" s="277" t="s">
        <v>19</v>
      </c>
      <c r="AE355" s="277"/>
    </row>
    <row r="356" spans="1:31" ht="15.75" x14ac:dyDescent="0.25">
      <c r="A356" s="56" t="s">
        <v>696</v>
      </c>
      <c r="B356" s="56">
        <v>4</v>
      </c>
      <c r="C356" s="56">
        <v>262</v>
      </c>
      <c r="D356" s="56" t="s">
        <v>604</v>
      </c>
      <c r="E356" s="56">
        <v>1</v>
      </c>
      <c r="F356" s="294">
        <v>45748.458333333336</v>
      </c>
      <c r="G356" s="56">
        <v>1</v>
      </c>
      <c r="H356" s="56">
        <v>51.377400000000002</v>
      </c>
      <c r="I356" s="56">
        <v>8.8107900000000008</v>
      </c>
      <c r="J356" s="56">
        <v>11.171738</v>
      </c>
      <c r="K356" s="56">
        <v>12.424419</v>
      </c>
      <c r="L356" s="56">
        <v>1047.6199999999999</v>
      </c>
      <c r="M356" s="56">
        <v>80.500114999999994</v>
      </c>
      <c r="N356" s="274">
        <v>10953.0911</v>
      </c>
      <c r="O356" s="56">
        <v>10948.0602</v>
      </c>
      <c r="P356" s="275">
        <v>2078.0995499999999</v>
      </c>
      <c r="Q356" s="275">
        <f t="shared" si="4"/>
        <v>2078.0995499999999</v>
      </c>
      <c r="R356" s="275" t="s">
        <v>570</v>
      </c>
      <c r="S356" s="275">
        <v>10</v>
      </c>
      <c r="T356" s="275">
        <v>5</v>
      </c>
      <c r="U356" s="275">
        <v>0.7</v>
      </c>
      <c r="V356" s="275">
        <v>0.7</v>
      </c>
      <c r="W356" s="275">
        <v>0.7</v>
      </c>
      <c r="X356" s="56">
        <v>2000</v>
      </c>
      <c r="Y356" s="56" t="s">
        <v>571</v>
      </c>
      <c r="Z356" s="56">
        <v>0.2</v>
      </c>
      <c r="AA356" s="56" t="s">
        <v>572</v>
      </c>
      <c r="AB356" s="56" t="s">
        <v>573</v>
      </c>
      <c r="AC356" s="56">
        <v>220</v>
      </c>
      <c r="AD356" s="277" t="s">
        <v>19</v>
      </c>
      <c r="AE356" s="277"/>
    </row>
    <row r="357" spans="1:31" ht="15.75" x14ac:dyDescent="0.25">
      <c r="A357" s="56" t="s">
        <v>697</v>
      </c>
      <c r="B357" s="56">
        <v>5</v>
      </c>
      <c r="C357" s="56">
        <v>287</v>
      </c>
      <c r="D357" s="56" t="s">
        <v>608</v>
      </c>
      <c r="E357" s="56">
        <v>1</v>
      </c>
      <c r="F357" s="294">
        <v>45748.461805555555</v>
      </c>
      <c r="G357" s="56">
        <v>1</v>
      </c>
      <c r="H357" s="56">
        <v>51.377400000000002</v>
      </c>
      <c r="I357" s="56">
        <v>8.7782099999999996</v>
      </c>
      <c r="J357" s="56">
        <v>11.281063</v>
      </c>
      <c r="K357" s="56">
        <v>12.914894</v>
      </c>
      <c r="L357" s="56">
        <v>1061.0999999999999</v>
      </c>
      <c r="M357" s="56">
        <v>71.499797999999998</v>
      </c>
      <c r="N357" s="274">
        <v>10976.8156</v>
      </c>
      <c r="O357" s="56">
        <v>0</v>
      </c>
      <c r="P357" s="275">
        <v>0</v>
      </c>
      <c r="Q357" s="275">
        <f t="shared" si="4"/>
        <v>0</v>
      </c>
      <c r="R357" s="275" t="s">
        <v>609</v>
      </c>
      <c r="S357" s="275">
        <v>10</v>
      </c>
      <c r="T357" s="275">
        <v>5</v>
      </c>
      <c r="U357" s="275">
        <v>0.7</v>
      </c>
      <c r="V357" s="275">
        <v>0.7</v>
      </c>
      <c r="W357" s="275">
        <v>0.7</v>
      </c>
      <c r="X357" s="56">
        <v>2000</v>
      </c>
      <c r="Y357" s="56" t="s">
        <v>571</v>
      </c>
      <c r="Z357" s="56">
        <v>0.2</v>
      </c>
      <c r="AA357" s="56" t="s">
        <v>572</v>
      </c>
      <c r="AB357" s="56" t="s">
        <v>573</v>
      </c>
      <c r="AC357" s="56">
        <v>218</v>
      </c>
      <c r="AD357" s="277" t="s">
        <v>610</v>
      </c>
      <c r="AE357" s="277"/>
    </row>
    <row r="358" spans="1:31" ht="15.75" x14ac:dyDescent="0.25">
      <c r="A358" s="56" t="s">
        <v>698</v>
      </c>
      <c r="B358" s="56">
        <v>5</v>
      </c>
      <c r="C358" s="56">
        <v>287</v>
      </c>
      <c r="D358" s="56" t="s">
        <v>608</v>
      </c>
      <c r="E358" s="56">
        <v>1</v>
      </c>
      <c r="F358" s="294">
        <v>45748.464583333334</v>
      </c>
      <c r="G358" s="56">
        <v>1</v>
      </c>
      <c r="H358" s="56">
        <v>51.370800000000003</v>
      </c>
      <c r="I358" s="56">
        <v>8.8170999999999999</v>
      </c>
      <c r="J358" s="56">
        <v>11.427362</v>
      </c>
      <c r="K358" s="56">
        <v>13.575494000000001</v>
      </c>
      <c r="L358" s="56">
        <v>1058.1099999999999</v>
      </c>
      <c r="M358" s="56">
        <v>67.498791999999995</v>
      </c>
      <c r="N358" s="274">
        <v>11134.9589</v>
      </c>
      <c r="O358" s="56">
        <v>0</v>
      </c>
      <c r="P358" s="275">
        <v>0</v>
      </c>
      <c r="Q358" s="275">
        <f t="shared" si="4"/>
        <v>0</v>
      </c>
      <c r="R358" s="275" t="s">
        <v>609</v>
      </c>
      <c r="S358" s="275">
        <v>10</v>
      </c>
      <c r="T358" s="275">
        <v>5</v>
      </c>
      <c r="U358" s="275">
        <v>0.7</v>
      </c>
      <c r="V358" s="275">
        <v>0.7</v>
      </c>
      <c r="W358" s="275">
        <v>0.7</v>
      </c>
      <c r="X358" s="56">
        <v>2000</v>
      </c>
      <c r="Y358" s="56" t="s">
        <v>571</v>
      </c>
      <c r="Z358" s="56">
        <v>0.2</v>
      </c>
      <c r="AA358" s="56" t="s">
        <v>572</v>
      </c>
      <c r="AB358" s="56" t="s">
        <v>573</v>
      </c>
      <c r="AC358" s="56">
        <v>212</v>
      </c>
      <c r="AD358" s="277" t="s">
        <v>610</v>
      </c>
      <c r="AE358" s="277"/>
    </row>
    <row r="359" spans="1:31" ht="15.75" x14ac:dyDescent="0.25">
      <c r="A359" s="56" t="s">
        <v>699</v>
      </c>
      <c r="B359" s="56">
        <v>5</v>
      </c>
      <c r="C359" s="56">
        <v>287</v>
      </c>
      <c r="D359" s="56" t="s">
        <v>608</v>
      </c>
      <c r="E359" s="56">
        <v>1</v>
      </c>
      <c r="F359" s="294">
        <v>45748.467361111114</v>
      </c>
      <c r="G359" s="56">
        <v>1</v>
      </c>
      <c r="H359" s="56">
        <v>51.377400000000002</v>
      </c>
      <c r="I359" s="56">
        <v>8.7354199999999995</v>
      </c>
      <c r="J359" s="56">
        <v>11.287119000000001</v>
      </c>
      <c r="K359" s="56">
        <v>13.388938</v>
      </c>
      <c r="L359" s="56">
        <v>1024.8900000000001</v>
      </c>
      <c r="M359" s="56">
        <v>65.501243000000002</v>
      </c>
      <c r="N359" s="274">
        <v>10852.1921</v>
      </c>
      <c r="O359" s="56">
        <v>0</v>
      </c>
      <c r="P359" s="275">
        <v>0</v>
      </c>
      <c r="Q359" s="275">
        <f t="shared" si="4"/>
        <v>0</v>
      </c>
      <c r="R359" s="275" t="s">
        <v>609</v>
      </c>
      <c r="S359" s="275">
        <v>10</v>
      </c>
      <c r="T359" s="275">
        <v>5</v>
      </c>
      <c r="U359" s="275">
        <v>0.7</v>
      </c>
      <c r="V359" s="275">
        <v>0.7</v>
      </c>
      <c r="W359" s="275">
        <v>0.7</v>
      </c>
      <c r="X359" s="56">
        <v>2000</v>
      </c>
      <c r="Y359" s="56" t="s">
        <v>571</v>
      </c>
      <c r="Z359" s="56">
        <v>0.2</v>
      </c>
      <c r="AA359" s="56" t="s">
        <v>572</v>
      </c>
      <c r="AB359" s="56" t="s">
        <v>573</v>
      </c>
      <c r="AC359" s="56">
        <v>220</v>
      </c>
      <c r="AD359" s="277" t="s">
        <v>610</v>
      </c>
      <c r="AE359" s="277"/>
    </row>
    <row r="360" spans="1:31" ht="15.75" x14ac:dyDescent="0.25">
      <c r="A360" s="56" t="s">
        <v>700</v>
      </c>
      <c r="B360" s="56">
        <v>5</v>
      </c>
      <c r="C360" s="56">
        <v>287</v>
      </c>
      <c r="D360" s="56" t="s">
        <v>608</v>
      </c>
      <c r="E360" s="56">
        <v>1</v>
      </c>
      <c r="F360" s="294">
        <v>45748.470138888886</v>
      </c>
      <c r="G360" s="56">
        <v>1</v>
      </c>
      <c r="H360" s="56">
        <v>51.374099999999999</v>
      </c>
      <c r="I360" s="56">
        <v>8.7778399999999994</v>
      </c>
      <c r="J360" s="56">
        <v>11.282194</v>
      </c>
      <c r="K360" s="56">
        <v>12.180980999999999</v>
      </c>
      <c r="L360" s="56">
        <v>1067.26</v>
      </c>
      <c r="M360" s="56">
        <v>94.501092999999997</v>
      </c>
      <c r="N360" s="274">
        <v>11197.0074</v>
      </c>
      <c r="O360" s="56">
        <v>0</v>
      </c>
      <c r="P360" s="275">
        <v>0</v>
      </c>
      <c r="Q360" s="275">
        <f t="shared" si="4"/>
        <v>0</v>
      </c>
      <c r="R360" s="275" t="s">
        <v>609</v>
      </c>
      <c r="S360" s="275">
        <v>10</v>
      </c>
      <c r="T360" s="275">
        <v>5</v>
      </c>
      <c r="U360" s="275">
        <v>0.7</v>
      </c>
      <c r="V360" s="275">
        <v>0.7</v>
      </c>
      <c r="W360" s="275">
        <v>0.7</v>
      </c>
      <c r="X360" s="56">
        <v>2000</v>
      </c>
      <c r="Y360" s="56" t="s">
        <v>571</v>
      </c>
      <c r="Z360" s="56">
        <v>0.2</v>
      </c>
      <c r="AA360" s="56" t="s">
        <v>572</v>
      </c>
      <c r="AB360" s="56" t="s">
        <v>573</v>
      </c>
      <c r="AC360" s="56">
        <v>216</v>
      </c>
      <c r="AD360" s="277" t="s">
        <v>610</v>
      </c>
      <c r="AE360" s="277"/>
    </row>
    <row r="361" spans="1:31" ht="15.75" x14ac:dyDescent="0.25">
      <c r="A361" s="56" t="s">
        <v>701</v>
      </c>
      <c r="B361" s="56">
        <v>5</v>
      </c>
      <c r="C361" s="56">
        <v>287</v>
      </c>
      <c r="D361" s="56" t="s">
        <v>608</v>
      </c>
      <c r="E361" s="56">
        <v>1</v>
      </c>
      <c r="F361" s="294">
        <v>45748.473611111112</v>
      </c>
      <c r="G361" s="56">
        <v>1</v>
      </c>
      <c r="H361" s="56">
        <v>51.380699999999997</v>
      </c>
      <c r="I361" s="56">
        <v>8.8717699999999997</v>
      </c>
      <c r="J361" s="56">
        <v>11.316881</v>
      </c>
      <c r="K361" s="56">
        <v>12.633088000000001</v>
      </c>
      <c r="L361" s="56">
        <v>1035.75</v>
      </c>
      <c r="M361" s="56">
        <v>74.500056999999998</v>
      </c>
      <c r="N361" s="274">
        <v>10982.714400000001</v>
      </c>
      <c r="O361" s="56">
        <v>0</v>
      </c>
      <c r="P361" s="275">
        <v>0</v>
      </c>
      <c r="Q361" s="275">
        <f t="shared" si="4"/>
        <v>0</v>
      </c>
      <c r="R361" s="275" t="s">
        <v>609</v>
      </c>
      <c r="S361" s="275">
        <v>10</v>
      </c>
      <c r="T361" s="275">
        <v>5</v>
      </c>
      <c r="U361" s="275">
        <v>0.7</v>
      </c>
      <c r="V361" s="275">
        <v>0.7</v>
      </c>
      <c r="W361" s="275">
        <v>0.7</v>
      </c>
      <c r="X361" s="56">
        <v>2000</v>
      </c>
      <c r="Y361" s="56" t="s">
        <v>571</v>
      </c>
      <c r="Z361" s="56">
        <v>0.2</v>
      </c>
      <c r="AA361" s="56" t="s">
        <v>572</v>
      </c>
      <c r="AB361" s="56" t="s">
        <v>573</v>
      </c>
      <c r="AC361" s="56">
        <v>217</v>
      </c>
      <c r="AD361" s="277" t="s">
        <v>610</v>
      </c>
      <c r="AE361" s="277"/>
    </row>
    <row r="362" spans="1:31" ht="15.75" x14ac:dyDescent="0.25">
      <c r="A362" s="56" t="s">
        <v>784</v>
      </c>
      <c r="B362" s="56">
        <v>5</v>
      </c>
      <c r="C362" s="56">
        <v>287</v>
      </c>
      <c r="D362" s="56" t="s">
        <v>608</v>
      </c>
      <c r="E362" s="56">
        <v>1</v>
      </c>
      <c r="F362" s="294">
        <v>45748.476388888892</v>
      </c>
      <c r="G362" s="56">
        <v>2</v>
      </c>
      <c r="H362" s="56">
        <v>51.377400000000002</v>
      </c>
      <c r="I362" s="56">
        <v>9.4162499999999998</v>
      </c>
      <c r="J362" s="56">
        <v>11.358444</v>
      </c>
      <c r="K362" s="56">
        <v>13.044219</v>
      </c>
      <c r="L362" s="56">
        <v>1042.31</v>
      </c>
      <c r="M362" s="56">
        <v>69.498165</v>
      </c>
      <c r="N362" s="274">
        <v>10873.3596</v>
      </c>
      <c r="O362" s="56">
        <v>10869.666499999999</v>
      </c>
      <c r="P362" s="275">
        <v>2063.3403499999999</v>
      </c>
      <c r="Q362" s="275">
        <f t="shared" si="4"/>
        <v>2063.3403499999999</v>
      </c>
      <c r="R362" s="275" t="s">
        <v>570</v>
      </c>
      <c r="S362" s="275">
        <v>10</v>
      </c>
      <c r="T362" s="275">
        <v>5</v>
      </c>
      <c r="U362" s="275">
        <v>0.7</v>
      </c>
      <c r="V362" s="275">
        <v>0.7</v>
      </c>
      <c r="W362" s="275">
        <v>0.7</v>
      </c>
      <c r="X362" s="56">
        <v>2000</v>
      </c>
      <c r="Y362" s="56" t="s">
        <v>571</v>
      </c>
      <c r="Z362" s="56">
        <v>0.2</v>
      </c>
      <c r="AA362" s="56" t="s">
        <v>572</v>
      </c>
      <c r="AB362" s="56" t="s">
        <v>573</v>
      </c>
      <c r="AC362" s="56">
        <v>220</v>
      </c>
      <c r="AD362" s="277" t="s">
        <v>19</v>
      </c>
      <c r="AE362" s="277"/>
    </row>
    <row r="363" spans="1:31" ht="15.75" x14ac:dyDescent="0.25">
      <c r="A363" s="56" t="s">
        <v>785</v>
      </c>
      <c r="B363" s="56">
        <v>5</v>
      </c>
      <c r="C363" s="56">
        <v>287</v>
      </c>
      <c r="D363" s="56" t="s">
        <v>608</v>
      </c>
      <c r="E363" s="56">
        <v>1</v>
      </c>
      <c r="F363" s="294">
        <v>45748.479166666664</v>
      </c>
      <c r="G363" s="56">
        <v>2</v>
      </c>
      <c r="H363" s="56">
        <v>51.380699999999997</v>
      </c>
      <c r="I363" s="56">
        <v>9.4234299999999998</v>
      </c>
      <c r="J363" s="56">
        <v>11.322699999999999</v>
      </c>
      <c r="K363" s="56">
        <v>13.039338000000001</v>
      </c>
      <c r="L363" s="56">
        <v>1033.9100000000001</v>
      </c>
      <c r="M363" s="56">
        <v>67.501007999999999</v>
      </c>
      <c r="N363" s="274">
        <v>10865.9733</v>
      </c>
      <c r="O363" s="56">
        <v>10869.666499999999</v>
      </c>
      <c r="P363" s="275">
        <v>2063.3403499999999</v>
      </c>
      <c r="Q363" s="275">
        <f t="shared" si="4"/>
        <v>2063.3403499999999</v>
      </c>
      <c r="R363" s="275" t="s">
        <v>570</v>
      </c>
      <c r="S363" s="275">
        <v>10</v>
      </c>
      <c r="T363" s="275">
        <v>5</v>
      </c>
      <c r="U363" s="275">
        <v>0.7</v>
      </c>
      <c r="V363" s="275">
        <v>0.7</v>
      </c>
      <c r="W363" s="275">
        <v>0.7</v>
      </c>
      <c r="X363" s="56">
        <v>2000</v>
      </c>
      <c r="Y363" s="56" t="s">
        <v>571</v>
      </c>
      <c r="Z363" s="56">
        <v>0.2</v>
      </c>
      <c r="AA363" s="56" t="s">
        <v>572</v>
      </c>
      <c r="AB363" s="56" t="s">
        <v>573</v>
      </c>
      <c r="AC363" s="56">
        <v>220</v>
      </c>
      <c r="AD363" s="277" t="s">
        <v>19</v>
      </c>
      <c r="AE363" s="277"/>
    </row>
    <row r="364" spans="1:31" ht="15.75" x14ac:dyDescent="0.25">
      <c r="A364" s="56" t="s">
        <v>596</v>
      </c>
      <c r="B364" s="56">
        <v>6</v>
      </c>
      <c r="C364" s="56">
        <v>288</v>
      </c>
      <c r="D364" s="56" t="s">
        <v>618</v>
      </c>
      <c r="E364" s="56">
        <v>1</v>
      </c>
      <c r="F364" s="294">
        <v>45748.482638888891</v>
      </c>
      <c r="G364" s="56">
        <v>1</v>
      </c>
      <c r="H364" s="56">
        <v>51.377400000000002</v>
      </c>
      <c r="I364" s="56">
        <v>9.1997599999999995</v>
      </c>
      <c r="J364" s="56">
        <v>11.321350000000001</v>
      </c>
      <c r="K364" s="56">
        <v>12.707094</v>
      </c>
      <c r="L364" s="56">
        <v>1044.0899999999999</v>
      </c>
      <c r="M364" s="56">
        <v>74.499129999999994</v>
      </c>
      <c r="N364" s="274">
        <v>10941.1368</v>
      </c>
      <c r="O364" s="56">
        <v>10937.9414</v>
      </c>
      <c r="P364" s="275">
        <v>2076.1944800000001</v>
      </c>
      <c r="Q364" s="275">
        <f t="shared" si="4"/>
        <v>2076.1944800000001</v>
      </c>
      <c r="R364" s="275" t="s">
        <v>570</v>
      </c>
      <c r="S364" s="275">
        <v>10</v>
      </c>
      <c r="T364" s="275">
        <v>5</v>
      </c>
      <c r="U364" s="275">
        <v>0.7</v>
      </c>
      <c r="V364" s="275">
        <v>0.7</v>
      </c>
      <c r="W364" s="275">
        <v>0.7</v>
      </c>
      <c r="X364" s="56">
        <v>2000</v>
      </c>
      <c r="Y364" s="56" t="s">
        <v>571</v>
      </c>
      <c r="Z364" s="56">
        <v>0.2</v>
      </c>
      <c r="AA364" s="56" t="s">
        <v>572</v>
      </c>
      <c r="AB364" s="56" t="s">
        <v>573</v>
      </c>
      <c r="AC364" s="56">
        <v>220</v>
      </c>
      <c r="AD364" s="277" t="s">
        <v>19</v>
      </c>
      <c r="AE364" s="277"/>
    </row>
    <row r="365" spans="1:31" ht="15.75" x14ac:dyDescent="0.25">
      <c r="A365" s="56" t="s">
        <v>597</v>
      </c>
      <c r="B365" s="56">
        <v>6</v>
      </c>
      <c r="C365" s="56">
        <v>288</v>
      </c>
      <c r="D365" s="56" t="s">
        <v>618</v>
      </c>
      <c r="E365" s="56">
        <v>1</v>
      </c>
      <c r="F365" s="294">
        <v>45748.48541666667</v>
      </c>
      <c r="G365" s="56">
        <v>1</v>
      </c>
      <c r="H365" s="56">
        <v>51.377400000000002</v>
      </c>
      <c r="I365" s="56">
        <v>9.1785700000000006</v>
      </c>
      <c r="J365" s="56">
        <v>11.311837000000001</v>
      </c>
      <c r="K365" s="56">
        <v>12.537463000000001</v>
      </c>
      <c r="L365" s="56">
        <v>1038.82</v>
      </c>
      <c r="M365" s="56">
        <v>79.999396000000004</v>
      </c>
      <c r="N365" s="274">
        <v>10934.745999999999</v>
      </c>
      <c r="O365" s="56">
        <v>10937.9414</v>
      </c>
      <c r="P365" s="275">
        <v>2076.1944800000001</v>
      </c>
      <c r="Q365" s="275">
        <f t="shared" si="4"/>
        <v>2076.1944800000001</v>
      </c>
      <c r="R365" s="275" t="s">
        <v>570</v>
      </c>
      <c r="S365" s="275">
        <v>10</v>
      </c>
      <c r="T365" s="275">
        <v>5</v>
      </c>
      <c r="U365" s="275">
        <v>0.7</v>
      </c>
      <c r="V365" s="275">
        <v>0.7</v>
      </c>
      <c r="W365" s="275">
        <v>0.7</v>
      </c>
      <c r="X365" s="56">
        <v>2000</v>
      </c>
      <c r="Y365" s="56" t="s">
        <v>571</v>
      </c>
      <c r="Z365" s="56">
        <v>0.2</v>
      </c>
      <c r="AA365" s="56" t="s">
        <v>572</v>
      </c>
      <c r="AB365" s="56" t="s">
        <v>573</v>
      </c>
      <c r="AC365" s="56">
        <v>220</v>
      </c>
      <c r="AD365" s="277" t="s">
        <v>19</v>
      </c>
      <c r="AE365" s="277"/>
    </row>
    <row r="366" spans="1:31" ht="15.75" x14ac:dyDescent="0.25">
      <c r="A366" s="56" t="s">
        <v>599</v>
      </c>
      <c r="B366" s="56">
        <v>7</v>
      </c>
      <c r="C366" s="56">
        <v>365</v>
      </c>
      <c r="D366" s="56" t="s">
        <v>623</v>
      </c>
      <c r="E366" s="56">
        <v>1</v>
      </c>
      <c r="F366" s="294">
        <v>45748.488888888889</v>
      </c>
      <c r="G366" s="56">
        <v>1</v>
      </c>
      <c r="H366" s="56">
        <v>51.377400000000002</v>
      </c>
      <c r="I366" s="56">
        <v>9.0562400000000007</v>
      </c>
      <c r="J366" s="56">
        <v>11.373837999999999</v>
      </c>
      <c r="K366" s="56">
        <v>12.362012</v>
      </c>
      <c r="L366" s="56">
        <v>1043.17</v>
      </c>
      <c r="M366" s="56">
        <v>82.500497999999993</v>
      </c>
      <c r="N366" s="274">
        <v>10837.615400000001</v>
      </c>
      <c r="O366" s="56">
        <v>10828.9792</v>
      </c>
      <c r="P366" s="275">
        <v>2055.6801599999999</v>
      </c>
      <c r="Q366" s="275">
        <f t="shared" si="4"/>
        <v>2055.6801599999999</v>
      </c>
      <c r="R366" s="275" t="s">
        <v>570</v>
      </c>
      <c r="S366" s="275">
        <v>10</v>
      </c>
      <c r="T366" s="275">
        <v>5</v>
      </c>
      <c r="U366" s="275">
        <v>0.7</v>
      </c>
      <c r="V366" s="275">
        <v>0.7</v>
      </c>
      <c r="W366" s="275">
        <v>0.7</v>
      </c>
      <c r="X366" s="56">
        <v>2000</v>
      </c>
      <c r="Y366" s="56" t="s">
        <v>571</v>
      </c>
      <c r="Z366" s="56">
        <v>0.2</v>
      </c>
      <c r="AA366" s="56" t="s">
        <v>572</v>
      </c>
      <c r="AB366" s="56" t="s">
        <v>573</v>
      </c>
      <c r="AC366" s="56">
        <v>220</v>
      </c>
      <c r="AD366" s="277" t="s">
        <v>19</v>
      </c>
      <c r="AE366" s="277"/>
    </row>
    <row r="367" spans="1:31" ht="15.75" x14ac:dyDescent="0.25">
      <c r="A367" s="56" t="s">
        <v>601</v>
      </c>
      <c r="B367" s="56">
        <v>7</v>
      </c>
      <c r="C367" s="56">
        <v>365</v>
      </c>
      <c r="D367" s="56" t="s">
        <v>623</v>
      </c>
      <c r="E367" s="56">
        <v>1</v>
      </c>
      <c r="F367" s="294">
        <v>45748.491666666669</v>
      </c>
      <c r="G367" s="56">
        <v>1</v>
      </c>
      <c r="H367" s="56">
        <v>51.380699999999997</v>
      </c>
      <c r="I367" s="56">
        <v>9.9717599999999997</v>
      </c>
      <c r="J367" s="56">
        <v>11.3184</v>
      </c>
      <c r="K367" s="56">
        <v>14.129681</v>
      </c>
      <c r="L367" s="56">
        <v>1041.74</v>
      </c>
      <c r="M367" s="56">
        <v>60.499958999999997</v>
      </c>
      <c r="N367" s="274">
        <v>10820.3431</v>
      </c>
      <c r="O367" s="56">
        <v>10828.9792</v>
      </c>
      <c r="P367" s="275">
        <v>2055.6801599999999</v>
      </c>
      <c r="Q367" s="275">
        <f t="shared" si="4"/>
        <v>2055.6801599999999</v>
      </c>
      <c r="R367" s="275" t="s">
        <v>570</v>
      </c>
      <c r="S367" s="275">
        <v>10</v>
      </c>
      <c r="T367" s="275">
        <v>5</v>
      </c>
      <c r="U367" s="275">
        <v>0.7</v>
      </c>
      <c r="V367" s="275">
        <v>0.7</v>
      </c>
      <c r="W367" s="275">
        <v>0.7</v>
      </c>
      <c r="X367" s="56">
        <v>2000</v>
      </c>
      <c r="Y367" s="56" t="s">
        <v>571</v>
      </c>
      <c r="Z367" s="56">
        <v>0.2</v>
      </c>
      <c r="AA367" s="56" t="s">
        <v>572</v>
      </c>
      <c r="AB367" s="56" t="s">
        <v>573</v>
      </c>
      <c r="AC367" s="56">
        <v>220</v>
      </c>
      <c r="AD367" s="277" t="s">
        <v>19</v>
      </c>
      <c r="AE367" s="277"/>
    </row>
    <row r="368" spans="1:31" ht="15.75" x14ac:dyDescent="0.25">
      <c r="A368" s="56" t="s">
        <v>603</v>
      </c>
      <c r="B368" s="56">
        <v>8</v>
      </c>
      <c r="C368" s="56">
        <v>366</v>
      </c>
      <c r="D368" s="56" t="s">
        <v>629</v>
      </c>
      <c r="E368" s="56">
        <v>1</v>
      </c>
      <c r="F368" s="294">
        <v>45748.495138888888</v>
      </c>
      <c r="G368" s="56">
        <v>1</v>
      </c>
      <c r="H368" s="56">
        <v>51.377400000000002</v>
      </c>
      <c r="I368" s="56">
        <v>9.9054900000000004</v>
      </c>
      <c r="J368" s="56">
        <v>11.339549999999999</v>
      </c>
      <c r="K368" s="56">
        <v>12.899056</v>
      </c>
      <c r="L368" s="56">
        <v>1048.96</v>
      </c>
      <c r="M368" s="56">
        <v>67.501751999999996</v>
      </c>
      <c r="N368" s="274">
        <v>10876.526099999999</v>
      </c>
      <c r="O368" s="56">
        <v>0</v>
      </c>
      <c r="P368" s="275">
        <v>0</v>
      </c>
      <c r="Q368" s="275">
        <f t="shared" si="4"/>
        <v>0</v>
      </c>
      <c r="R368" s="275" t="s">
        <v>609</v>
      </c>
      <c r="S368" s="275">
        <v>10</v>
      </c>
      <c r="T368" s="275">
        <v>5</v>
      </c>
      <c r="U368" s="275">
        <v>0.7</v>
      </c>
      <c r="V368" s="275">
        <v>0.7</v>
      </c>
      <c r="W368" s="275">
        <v>0.7</v>
      </c>
      <c r="X368" s="56">
        <v>2000</v>
      </c>
      <c r="Y368" s="56" t="s">
        <v>571</v>
      </c>
      <c r="Z368" s="56">
        <v>0.2</v>
      </c>
      <c r="AA368" s="56" t="s">
        <v>572</v>
      </c>
      <c r="AB368" s="56" t="s">
        <v>573</v>
      </c>
      <c r="AC368" s="56">
        <v>220</v>
      </c>
      <c r="AD368" s="277" t="s">
        <v>610</v>
      </c>
      <c r="AE368" s="277"/>
    </row>
    <row r="369" spans="1:31" ht="15.75" x14ac:dyDescent="0.25">
      <c r="A369" s="56" t="s">
        <v>605</v>
      </c>
      <c r="B369" s="56">
        <v>8</v>
      </c>
      <c r="C369" s="56">
        <v>366</v>
      </c>
      <c r="D369" s="56" t="s">
        <v>629</v>
      </c>
      <c r="E369" s="56">
        <v>1</v>
      </c>
      <c r="F369" s="294">
        <v>45748.497916666667</v>
      </c>
      <c r="G369" s="56">
        <v>1</v>
      </c>
      <c r="H369" s="56">
        <v>51.377400000000002</v>
      </c>
      <c r="I369" s="56">
        <v>9.8132900000000003</v>
      </c>
      <c r="J369" s="56">
        <v>11.349688</v>
      </c>
      <c r="K369" s="56">
        <v>12.886631</v>
      </c>
      <c r="L369" s="56">
        <v>1039.04</v>
      </c>
      <c r="M369" s="56">
        <v>68.500524999999996</v>
      </c>
      <c r="N369" s="274">
        <v>10845.494500000001</v>
      </c>
      <c r="O369" s="56">
        <v>0</v>
      </c>
      <c r="P369" s="275">
        <v>0</v>
      </c>
      <c r="Q369" s="275">
        <f t="shared" si="4"/>
        <v>0</v>
      </c>
      <c r="R369" s="275" t="s">
        <v>609</v>
      </c>
      <c r="S369" s="275">
        <v>10</v>
      </c>
      <c r="T369" s="275">
        <v>5</v>
      </c>
      <c r="U369" s="275">
        <v>0.7</v>
      </c>
      <c r="V369" s="275">
        <v>0.7</v>
      </c>
      <c r="W369" s="275">
        <v>0.7</v>
      </c>
      <c r="X369" s="56">
        <v>2000</v>
      </c>
      <c r="Y369" s="56" t="s">
        <v>571</v>
      </c>
      <c r="Z369" s="56">
        <v>0.2</v>
      </c>
      <c r="AA369" s="56" t="s">
        <v>572</v>
      </c>
      <c r="AB369" s="56" t="s">
        <v>573</v>
      </c>
      <c r="AC369" s="56">
        <v>220</v>
      </c>
      <c r="AD369" s="277" t="s">
        <v>610</v>
      </c>
      <c r="AE369" s="277"/>
    </row>
    <row r="370" spans="1:31" ht="15.75" x14ac:dyDescent="0.25">
      <c r="A370" s="56" t="s">
        <v>606</v>
      </c>
      <c r="B370" s="56">
        <v>8</v>
      </c>
      <c r="C370" s="56">
        <v>366</v>
      </c>
      <c r="D370" s="56" t="s">
        <v>629</v>
      </c>
      <c r="E370" s="56">
        <v>1</v>
      </c>
      <c r="F370" s="294">
        <v>45748.500694444447</v>
      </c>
      <c r="G370" s="56">
        <v>1</v>
      </c>
      <c r="H370" s="56">
        <v>51.377400000000002</v>
      </c>
      <c r="I370" s="56">
        <v>9.9254800000000003</v>
      </c>
      <c r="J370" s="56">
        <v>11.539211999999999</v>
      </c>
      <c r="K370" s="56">
        <v>13.067724999999999</v>
      </c>
      <c r="L370" s="56">
        <v>1042.8</v>
      </c>
      <c r="M370" s="56">
        <v>67.999073999999993</v>
      </c>
      <c r="N370" s="274">
        <v>10882.578600000001</v>
      </c>
      <c r="O370" s="56">
        <v>0</v>
      </c>
      <c r="P370" s="275">
        <v>0</v>
      </c>
      <c r="Q370" s="275">
        <f t="shared" si="4"/>
        <v>0</v>
      </c>
      <c r="R370" s="275" t="s">
        <v>609</v>
      </c>
      <c r="S370" s="275">
        <v>10</v>
      </c>
      <c r="T370" s="275">
        <v>5</v>
      </c>
      <c r="U370" s="275">
        <v>0.7</v>
      </c>
      <c r="V370" s="275">
        <v>0.7</v>
      </c>
      <c r="W370" s="275">
        <v>0.7</v>
      </c>
      <c r="X370" s="56">
        <v>2000</v>
      </c>
      <c r="Y370" s="56" t="s">
        <v>571</v>
      </c>
      <c r="Z370" s="56">
        <v>0.2</v>
      </c>
      <c r="AA370" s="56" t="s">
        <v>572</v>
      </c>
      <c r="AB370" s="56" t="s">
        <v>573</v>
      </c>
      <c r="AC370" s="56">
        <v>220</v>
      </c>
      <c r="AD370" s="277" t="s">
        <v>610</v>
      </c>
      <c r="AE370" s="277"/>
    </row>
    <row r="371" spans="1:31" ht="15.75" x14ac:dyDescent="0.25">
      <c r="A371" s="56" t="s">
        <v>786</v>
      </c>
      <c r="B371" s="56">
        <v>8</v>
      </c>
      <c r="C371" s="56">
        <v>366</v>
      </c>
      <c r="D371" s="56" t="s">
        <v>629</v>
      </c>
      <c r="E371" s="56">
        <v>1</v>
      </c>
      <c r="F371" s="294">
        <v>45748.503472222219</v>
      </c>
      <c r="G371" s="56">
        <v>1</v>
      </c>
      <c r="H371" s="56">
        <v>51.374099999999999</v>
      </c>
      <c r="I371" s="56">
        <v>9.8199000000000005</v>
      </c>
      <c r="J371" s="56">
        <v>11.465213</v>
      </c>
      <c r="K371" s="56">
        <v>12.607131000000001</v>
      </c>
      <c r="L371" s="56">
        <v>1029</v>
      </c>
      <c r="M371" s="56">
        <v>79.499493999999999</v>
      </c>
      <c r="N371" s="274">
        <v>10915.163399999999</v>
      </c>
      <c r="O371" s="56">
        <v>0</v>
      </c>
      <c r="P371" s="275">
        <v>0</v>
      </c>
      <c r="Q371" s="275">
        <f t="shared" si="4"/>
        <v>0</v>
      </c>
      <c r="R371" s="275" t="s">
        <v>609</v>
      </c>
      <c r="S371" s="275">
        <v>10</v>
      </c>
      <c r="T371" s="275">
        <v>5</v>
      </c>
      <c r="U371" s="275">
        <v>0.7</v>
      </c>
      <c r="V371" s="275">
        <v>0.7</v>
      </c>
      <c r="W371" s="275">
        <v>0.7</v>
      </c>
      <c r="X371" s="56">
        <v>2000</v>
      </c>
      <c r="Y371" s="56" t="s">
        <v>571</v>
      </c>
      <c r="Z371" s="56">
        <v>0.2</v>
      </c>
      <c r="AA371" s="56" t="s">
        <v>572</v>
      </c>
      <c r="AB371" s="56" t="s">
        <v>573</v>
      </c>
      <c r="AC371" s="56">
        <v>220</v>
      </c>
      <c r="AD371" s="277" t="s">
        <v>610</v>
      </c>
      <c r="AE371" s="277"/>
    </row>
    <row r="372" spans="1:31" ht="15.75" x14ac:dyDescent="0.25">
      <c r="A372" s="56" t="s">
        <v>787</v>
      </c>
      <c r="B372" s="56">
        <v>8</v>
      </c>
      <c r="C372" s="56">
        <v>366</v>
      </c>
      <c r="D372" s="56" t="s">
        <v>629</v>
      </c>
      <c r="E372" s="56">
        <v>1</v>
      </c>
      <c r="F372" s="294">
        <v>45748.506249999999</v>
      </c>
      <c r="G372" s="56">
        <v>1</v>
      </c>
      <c r="H372" s="56">
        <v>51.370800000000003</v>
      </c>
      <c r="I372" s="56">
        <v>9.9210499999999993</v>
      </c>
      <c r="J372" s="56">
        <v>11.448518999999999</v>
      </c>
      <c r="K372" s="56">
        <v>12.350194</v>
      </c>
      <c r="L372" s="56">
        <v>1036.3599999999999</v>
      </c>
      <c r="M372" s="56">
        <v>87.500992999999994</v>
      </c>
      <c r="N372" s="274">
        <v>10884.3709</v>
      </c>
      <c r="O372" s="56">
        <v>0</v>
      </c>
      <c r="P372" s="275">
        <v>0</v>
      </c>
      <c r="Q372" s="275">
        <f t="shared" si="4"/>
        <v>0</v>
      </c>
      <c r="R372" s="275" t="s">
        <v>609</v>
      </c>
      <c r="S372" s="275">
        <v>10</v>
      </c>
      <c r="T372" s="275">
        <v>5</v>
      </c>
      <c r="U372" s="275">
        <v>0.7</v>
      </c>
      <c r="V372" s="275">
        <v>0.7</v>
      </c>
      <c r="W372" s="275">
        <v>0.7</v>
      </c>
      <c r="X372" s="56">
        <v>2000</v>
      </c>
      <c r="Y372" s="56" t="s">
        <v>571</v>
      </c>
      <c r="Z372" s="56">
        <v>0.2</v>
      </c>
      <c r="AA372" s="56" t="s">
        <v>572</v>
      </c>
      <c r="AB372" s="56" t="s">
        <v>573</v>
      </c>
      <c r="AC372" s="56">
        <v>220</v>
      </c>
      <c r="AD372" s="277" t="s">
        <v>610</v>
      </c>
      <c r="AE372" s="277"/>
    </row>
    <row r="373" spans="1:31" ht="15.75" x14ac:dyDescent="0.25">
      <c r="A373" s="56" t="s">
        <v>788</v>
      </c>
      <c r="B373" s="56">
        <v>8</v>
      </c>
      <c r="C373" s="56">
        <v>366</v>
      </c>
      <c r="D373" s="56" t="s">
        <v>629</v>
      </c>
      <c r="E373" s="56">
        <v>1</v>
      </c>
      <c r="F373" s="294">
        <v>45748.509027777778</v>
      </c>
      <c r="G373" s="56">
        <v>2</v>
      </c>
      <c r="H373" s="56">
        <v>51.374099999999999</v>
      </c>
      <c r="I373" s="56">
        <v>9.7325999999999997</v>
      </c>
      <c r="J373" s="56">
        <v>11.321156</v>
      </c>
      <c r="K373" s="56">
        <v>12.778975000000001</v>
      </c>
      <c r="L373" s="56">
        <v>1027.52</v>
      </c>
      <c r="M373" s="56">
        <v>73.000559999999993</v>
      </c>
      <c r="N373" s="274">
        <v>10887.493700000001</v>
      </c>
      <c r="O373" s="56">
        <v>10934.9944</v>
      </c>
      <c r="P373" s="275">
        <v>2075.6396500000001</v>
      </c>
      <c r="Q373" s="275">
        <f t="shared" si="4"/>
        <v>2075.6396500000001</v>
      </c>
      <c r="R373" s="275" t="s">
        <v>584</v>
      </c>
      <c r="S373" s="275">
        <v>10</v>
      </c>
      <c r="T373" s="275">
        <v>5</v>
      </c>
      <c r="U373" s="275">
        <v>0.7</v>
      </c>
      <c r="V373" s="275">
        <v>0.7</v>
      </c>
      <c r="W373" s="275">
        <v>0.7</v>
      </c>
      <c r="X373" s="56">
        <v>2000</v>
      </c>
      <c r="Y373" s="56" t="s">
        <v>571</v>
      </c>
      <c r="Z373" s="56">
        <v>0.2</v>
      </c>
      <c r="AA373" s="56" t="s">
        <v>572</v>
      </c>
      <c r="AB373" s="56" t="s">
        <v>573</v>
      </c>
      <c r="AC373" s="56">
        <v>220</v>
      </c>
      <c r="AD373" s="277" t="s">
        <v>19</v>
      </c>
      <c r="AE373" s="277"/>
    </row>
    <row r="374" spans="1:31" ht="15.75" x14ac:dyDescent="0.25">
      <c r="A374" s="56" t="s">
        <v>789</v>
      </c>
      <c r="B374" s="56">
        <v>8</v>
      </c>
      <c r="C374" s="56">
        <v>366</v>
      </c>
      <c r="D374" s="56" t="s">
        <v>629</v>
      </c>
      <c r="E374" s="56">
        <v>1</v>
      </c>
      <c r="F374" s="294">
        <v>45748.511805555558</v>
      </c>
      <c r="G374" s="56">
        <v>2</v>
      </c>
      <c r="H374" s="56">
        <v>51.374099999999999</v>
      </c>
      <c r="I374" s="56">
        <v>9.6091800000000003</v>
      </c>
      <c r="J374" s="56">
        <v>11.408474999999999</v>
      </c>
      <c r="K374" s="56">
        <v>13.339043999999999</v>
      </c>
      <c r="L374" s="56">
        <v>1032.1099999999999</v>
      </c>
      <c r="M374" s="56">
        <v>65.499685999999997</v>
      </c>
      <c r="N374" s="274">
        <v>10863.078100000001</v>
      </c>
      <c r="O374" s="56">
        <v>10934.9944</v>
      </c>
      <c r="P374" s="275">
        <v>2075.6396500000001</v>
      </c>
      <c r="Q374" s="275">
        <f t="shared" si="4"/>
        <v>2075.6396500000001</v>
      </c>
      <c r="R374" s="275" t="s">
        <v>584</v>
      </c>
      <c r="S374" s="275">
        <v>10</v>
      </c>
      <c r="T374" s="275">
        <v>5</v>
      </c>
      <c r="U374" s="275">
        <v>0.7</v>
      </c>
      <c r="V374" s="275">
        <v>0.7</v>
      </c>
      <c r="W374" s="275">
        <v>0.7</v>
      </c>
      <c r="X374" s="56">
        <v>2000</v>
      </c>
      <c r="Y374" s="56" t="s">
        <v>571</v>
      </c>
      <c r="Z374" s="56">
        <v>0.2</v>
      </c>
      <c r="AA374" s="56" t="s">
        <v>572</v>
      </c>
      <c r="AB374" s="56" t="s">
        <v>573</v>
      </c>
      <c r="AC374" s="56">
        <v>220</v>
      </c>
      <c r="AD374" s="277" t="s">
        <v>19</v>
      </c>
      <c r="AE374" s="277"/>
    </row>
    <row r="375" spans="1:31" ht="15.75" x14ac:dyDescent="0.25">
      <c r="A375" s="56" t="s">
        <v>790</v>
      </c>
      <c r="B375" s="56">
        <v>8</v>
      </c>
      <c r="C375" s="56">
        <v>366</v>
      </c>
      <c r="D375" s="56" t="s">
        <v>629</v>
      </c>
      <c r="E375" s="56">
        <v>1</v>
      </c>
      <c r="F375" s="294">
        <v>45748.51458333333</v>
      </c>
      <c r="G375" s="56">
        <v>2</v>
      </c>
      <c r="H375" s="56">
        <v>51.380699999999997</v>
      </c>
      <c r="I375" s="56">
        <v>9.5821100000000001</v>
      </c>
      <c r="J375" s="56">
        <v>11.555462</v>
      </c>
      <c r="K375" s="56">
        <v>12.7303</v>
      </c>
      <c r="L375" s="56">
        <v>1037.27</v>
      </c>
      <c r="M375" s="56">
        <v>73.999846000000005</v>
      </c>
      <c r="N375" s="274">
        <v>10891.3207</v>
      </c>
      <c r="O375" s="56">
        <v>10934.9944</v>
      </c>
      <c r="P375" s="275">
        <v>2075.6396500000001</v>
      </c>
      <c r="Q375" s="275">
        <f t="shared" si="4"/>
        <v>2075.6396500000001</v>
      </c>
      <c r="R375" s="275" t="s">
        <v>584</v>
      </c>
      <c r="S375" s="275">
        <v>10</v>
      </c>
      <c r="T375" s="275">
        <v>5</v>
      </c>
      <c r="U375" s="275">
        <v>0.7</v>
      </c>
      <c r="V375" s="275">
        <v>0.7</v>
      </c>
      <c r="W375" s="275">
        <v>0.7</v>
      </c>
      <c r="X375" s="56">
        <v>2000</v>
      </c>
      <c r="Y375" s="56" t="s">
        <v>571</v>
      </c>
      <c r="Z375" s="56">
        <v>0.2</v>
      </c>
      <c r="AA375" s="56" t="s">
        <v>572</v>
      </c>
      <c r="AB375" s="56" t="s">
        <v>573</v>
      </c>
      <c r="AC375" s="56">
        <v>220</v>
      </c>
      <c r="AD375" s="277" t="s">
        <v>19</v>
      </c>
      <c r="AE375" s="277"/>
    </row>
    <row r="376" spans="1:31" ht="15.75" x14ac:dyDescent="0.25">
      <c r="A376" s="56" t="s">
        <v>791</v>
      </c>
      <c r="B376" s="56">
        <v>8</v>
      </c>
      <c r="C376" s="56">
        <v>366</v>
      </c>
      <c r="D376" s="56" t="s">
        <v>629</v>
      </c>
      <c r="E376" s="56">
        <v>1</v>
      </c>
      <c r="F376" s="294">
        <v>45748.517361111109</v>
      </c>
      <c r="G376" s="56">
        <v>2</v>
      </c>
      <c r="H376" s="56">
        <v>51.374099999999999</v>
      </c>
      <c r="I376" s="56">
        <v>9.4256399999999996</v>
      </c>
      <c r="J376" s="56">
        <v>11.320638000000001</v>
      </c>
      <c r="K376" s="56">
        <v>12.61275</v>
      </c>
      <c r="L376" s="56">
        <v>1043.82</v>
      </c>
      <c r="M376" s="56">
        <v>74.497991999999996</v>
      </c>
      <c r="N376" s="274">
        <v>10937.9355</v>
      </c>
      <c r="O376" s="56">
        <v>10934.9944</v>
      </c>
      <c r="P376" s="275">
        <v>2075.6396500000001</v>
      </c>
      <c r="Q376" s="275">
        <f t="shared" si="4"/>
        <v>2075.6396500000001</v>
      </c>
      <c r="R376" s="275" t="s">
        <v>570</v>
      </c>
      <c r="S376" s="275">
        <v>10</v>
      </c>
      <c r="T376" s="275">
        <v>5</v>
      </c>
      <c r="U376" s="275">
        <v>0.7</v>
      </c>
      <c r="V376" s="275">
        <v>0.7</v>
      </c>
      <c r="W376" s="275">
        <v>0.7</v>
      </c>
      <c r="X376" s="56">
        <v>2000</v>
      </c>
      <c r="Y376" s="56" t="s">
        <v>571</v>
      </c>
      <c r="Z376" s="56">
        <v>0.2</v>
      </c>
      <c r="AA376" s="56" t="s">
        <v>572</v>
      </c>
      <c r="AB376" s="56" t="s">
        <v>573</v>
      </c>
      <c r="AC376" s="56">
        <v>220</v>
      </c>
      <c r="AD376" s="277" t="s">
        <v>19</v>
      </c>
      <c r="AE376" s="277"/>
    </row>
    <row r="377" spans="1:31" ht="15.75" x14ac:dyDescent="0.25">
      <c r="A377" s="56" t="s">
        <v>792</v>
      </c>
      <c r="B377" s="56">
        <v>8</v>
      </c>
      <c r="C377" s="56">
        <v>366</v>
      </c>
      <c r="D377" s="56" t="s">
        <v>629</v>
      </c>
      <c r="E377" s="56">
        <v>1</v>
      </c>
      <c r="F377" s="294">
        <v>45748.520138888889</v>
      </c>
      <c r="G377" s="56">
        <v>2</v>
      </c>
      <c r="H377" s="56">
        <v>51.380699999999997</v>
      </c>
      <c r="I377" s="56">
        <v>9.14114</v>
      </c>
      <c r="J377" s="56">
        <v>11.486544</v>
      </c>
      <c r="K377" s="56">
        <v>13.038975000000001</v>
      </c>
      <c r="L377" s="56">
        <v>1035.28</v>
      </c>
      <c r="M377" s="56">
        <v>70.500860000000003</v>
      </c>
      <c r="N377" s="274">
        <v>10932.0532</v>
      </c>
      <c r="O377" s="56">
        <v>10934.9944</v>
      </c>
      <c r="P377" s="275">
        <v>2075.6396500000001</v>
      </c>
      <c r="Q377" s="275">
        <f t="shared" si="4"/>
        <v>2075.6396500000001</v>
      </c>
      <c r="R377" s="275" t="s">
        <v>570</v>
      </c>
      <c r="S377" s="275">
        <v>10</v>
      </c>
      <c r="T377" s="275">
        <v>5</v>
      </c>
      <c r="U377" s="275">
        <v>0.7</v>
      </c>
      <c r="V377" s="275">
        <v>0.7</v>
      </c>
      <c r="W377" s="275">
        <v>0.7</v>
      </c>
      <c r="X377" s="56">
        <v>2000</v>
      </c>
      <c r="Y377" s="56" t="s">
        <v>571</v>
      </c>
      <c r="Z377" s="56">
        <v>0.2</v>
      </c>
      <c r="AA377" s="56" t="s">
        <v>572</v>
      </c>
      <c r="AB377" s="56" t="s">
        <v>573</v>
      </c>
      <c r="AC377" s="56">
        <v>220</v>
      </c>
      <c r="AD377" s="277" t="s">
        <v>19</v>
      </c>
      <c r="AE377" s="277"/>
    </row>
    <row r="378" spans="1:31" ht="15.75" x14ac:dyDescent="0.25">
      <c r="A378" s="56" t="s">
        <v>607</v>
      </c>
      <c r="B378" s="56">
        <v>9</v>
      </c>
      <c r="C378" s="56">
        <v>378</v>
      </c>
      <c r="D378" s="56" t="s">
        <v>633</v>
      </c>
      <c r="E378" s="56">
        <v>1</v>
      </c>
      <c r="F378" s="294">
        <v>45748.523611111108</v>
      </c>
      <c r="G378" s="56">
        <v>1</v>
      </c>
      <c r="H378" s="56">
        <v>51.380699999999997</v>
      </c>
      <c r="I378" s="56">
        <v>9.0377100000000006</v>
      </c>
      <c r="J378" s="56">
        <v>11.522625</v>
      </c>
      <c r="K378" s="56">
        <v>13.057331</v>
      </c>
      <c r="L378" s="56">
        <v>1033.79</v>
      </c>
      <c r="M378" s="56">
        <v>70.499578</v>
      </c>
      <c r="N378" s="274">
        <v>10865.152400000001</v>
      </c>
      <c r="O378" s="56">
        <v>0</v>
      </c>
      <c r="P378" s="275">
        <v>0</v>
      </c>
      <c r="Q378" s="275">
        <f t="shared" si="4"/>
        <v>0</v>
      </c>
      <c r="R378" s="275" t="s">
        <v>609</v>
      </c>
      <c r="S378" s="275">
        <v>10</v>
      </c>
      <c r="T378" s="275">
        <v>5</v>
      </c>
      <c r="U378" s="275">
        <v>0.7</v>
      </c>
      <c r="V378" s="275">
        <v>0.7</v>
      </c>
      <c r="W378" s="275">
        <v>0.7</v>
      </c>
      <c r="X378" s="56">
        <v>2000</v>
      </c>
      <c r="Y378" s="56" t="s">
        <v>571</v>
      </c>
      <c r="Z378" s="56">
        <v>0.2</v>
      </c>
      <c r="AA378" s="56" t="s">
        <v>572</v>
      </c>
      <c r="AB378" s="56" t="s">
        <v>573</v>
      </c>
      <c r="AC378" s="56">
        <v>220</v>
      </c>
      <c r="AD378" s="277" t="s">
        <v>610</v>
      </c>
      <c r="AE378" s="277"/>
    </row>
    <row r="379" spans="1:31" ht="15.75" x14ac:dyDescent="0.25">
      <c r="A379" s="56" t="s">
        <v>611</v>
      </c>
      <c r="B379" s="56">
        <v>9</v>
      </c>
      <c r="C379" s="56">
        <v>378</v>
      </c>
      <c r="D379" s="56" t="s">
        <v>633</v>
      </c>
      <c r="E379" s="56">
        <v>1</v>
      </c>
      <c r="F379" s="294">
        <v>45748.526388888888</v>
      </c>
      <c r="G379" s="56">
        <v>1</v>
      </c>
      <c r="H379" s="56">
        <v>51.380699999999997</v>
      </c>
      <c r="I379" s="56">
        <v>8.9696499999999997</v>
      </c>
      <c r="J379" s="56">
        <v>11.443763000000001</v>
      </c>
      <c r="K379" s="56">
        <v>12.648069</v>
      </c>
      <c r="L379" s="56">
        <v>1038.73</v>
      </c>
      <c r="M379" s="56">
        <v>79.500766999999996</v>
      </c>
      <c r="N379" s="274">
        <v>10921.5466</v>
      </c>
      <c r="O379" s="56">
        <v>0</v>
      </c>
      <c r="P379" s="275">
        <v>0</v>
      </c>
      <c r="Q379" s="275">
        <f t="shared" si="4"/>
        <v>0</v>
      </c>
      <c r="R379" s="275" t="s">
        <v>609</v>
      </c>
      <c r="S379" s="275">
        <v>10</v>
      </c>
      <c r="T379" s="275">
        <v>5</v>
      </c>
      <c r="U379" s="275">
        <v>0.7</v>
      </c>
      <c r="V379" s="275">
        <v>0.7</v>
      </c>
      <c r="W379" s="275">
        <v>0.7</v>
      </c>
      <c r="X379" s="56">
        <v>2000</v>
      </c>
      <c r="Y379" s="56" t="s">
        <v>571</v>
      </c>
      <c r="Z379" s="56">
        <v>0.2</v>
      </c>
      <c r="AA379" s="56" t="s">
        <v>572</v>
      </c>
      <c r="AB379" s="56" t="s">
        <v>573</v>
      </c>
      <c r="AC379" s="56">
        <v>220</v>
      </c>
      <c r="AD379" s="277" t="s">
        <v>610</v>
      </c>
      <c r="AE379" s="277"/>
    </row>
    <row r="380" spans="1:31" ht="15.75" x14ac:dyDescent="0.25">
      <c r="A380" s="56" t="s">
        <v>612</v>
      </c>
      <c r="B380" s="56">
        <v>9</v>
      </c>
      <c r="C380" s="56">
        <v>378</v>
      </c>
      <c r="D380" s="56" t="s">
        <v>633</v>
      </c>
      <c r="E380" s="56">
        <v>1</v>
      </c>
      <c r="F380" s="294">
        <v>45748.529166666667</v>
      </c>
      <c r="G380" s="56">
        <v>1</v>
      </c>
      <c r="H380" s="56">
        <v>51.377400000000002</v>
      </c>
      <c r="I380" s="56">
        <v>8.8485700000000005</v>
      </c>
      <c r="J380" s="56">
        <v>11.528744</v>
      </c>
      <c r="K380" s="56">
        <v>12.806956</v>
      </c>
      <c r="L380" s="56">
        <v>1069.27</v>
      </c>
      <c r="M380" s="56">
        <v>79.499660000000006</v>
      </c>
      <c r="N380" s="274">
        <v>11443.197399999999</v>
      </c>
      <c r="O380" s="56">
        <v>0</v>
      </c>
      <c r="P380" s="275">
        <v>0</v>
      </c>
      <c r="Q380" s="275">
        <f t="shared" si="4"/>
        <v>0</v>
      </c>
      <c r="R380" s="275" t="s">
        <v>609</v>
      </c>
      <c r="S380" s="275">
        <v>10</v>
      </c>
      <c r="T380" s="275">
        <v>5</v>
      </c>
      <c r="U380" s="275">
        <v>0.7</v>
      </c>
      <c r="V380" s="275">
        <v>0.7</v>
      </c>
      <c r="W380" s="275">
        <v>0.7</v>
      </c>
      <c r="X380" s="56">
        <v>2000</v>
      </c>
      <c r="Y380" s="56" t="s">
        <v>571</v>
      </c>
      <c r="Z380" s="56">
        <v>0.2</v>
      </c>
      <c r="AA380" s="56" t="s">
        <v>572</v>
      </c>
      <c r="AB380" s="56" t="s">
        <v>573</v>
      </c>
      <c r="AC380" s="56">
        <v>211</v>
      </c>
      <c r="AD380" s="277" t="s">
        <v>610</v>
      </c>
      <c r="AE380" s="277"/>
    </row>
    <row r="381" spans="1:31" ht="15.75" x14ac:dyDescent="0.25">
      <c r="A381" s="56" t="s">
        <v>613</v>
      </c>
      <c r="B381" s="56">
        <v>9</v>
      </c>
      <c r="C381" s="56">
        <v>378</v>
      </c>
      <c r="D381" s="56" t="s">
        <v>633</v>
      </c>
      <c r="E381" s="56">
        <v>1</v>
      </c>
      <c r="F381" s="294">
        <v>45748.532638888886</v>
      </c>
      <c r="G381" s="56">
        <v>1</v>
      </c>
      <c r="H381" s="56">
        <v>51.377400000000002</v>
      </c>
      <c r="I381" s="56">
        <v>8.7445400000000006</v>
      </c>
      <c r="J381" s="56">
        <v>11.682681000000001</v>
      </c>
      <c r="K381" s="56">
        <v>13.651944</v>
      </c>
      <c r="L381" s="56">
        <v>1113.8</v>
      </c>
      <c r="M381" s="56">
        <v>73.000405000000001</v>
      </c>
      <c r="N381" s="274">
        <v>12101.654399999999</v>
      </c>
      <c r="O381" s="56">
        <v>0</v>
      </c>
      <c r="P381" s="275">
        <v>0</v>
      </c>
      <c r="Q381" s="275">
        <f t="shared" si="4"/>
        <v>0</v>
      </c>
      <c r="R381" s="275" t="s">
        <v>609</v>
      </c>
      <c r="S381" s="275">
        <v>10</v>
      </c>
      <c r="T381" s="275">
        <v>5</v>
      </c>
      <c r="U381" s="275">
        <v>0.7</v>
      </c>
      <c r="V381" s="275">
        <v>0.7</v>
      </c>
      <c r="W381" s="275">
        <v>0.7</v>
      </c>
      <c r="X381" s="56">
        <v>2000</v>
      </c>
      <c r="Y381" s="56" t="s">
        <v>571</v>
      </c>
      <c r="Z381" s="56">
        <v>0.2</v>
      </c>
      <c r="AA381" s="56" t="s">
        <v>572</v>
      </c>
      <c r="AB381" s="56" t="s">
        <v>573</v>
      </c>
      <c r="AC381" s="56">
        <v>200</v>
      </c>
      <c r="AD381" s="277" t="s">
        <v>610</v>
      </c>
      <c r="AE381" s="277"/>
    </row>
    <row r="382" spans="1:31" ht="15.75" x14ac:dyDescent="0.25">
      <c r="A382" s="56" t="s">
        <v>614</v>
      </c>
      <c r="B382" s="56">
        <v>9</v>
      </c>
      <c r="C382" s="56">
        <v>378</v>
      </c>
      <c r="D382" s="56" t="s">
        <v>633</v>
      </c>
      <c r="E382" s="56">
        <v>1</v>
      </c>
      <c r="F382" s="294">
        <v>45748.535416666666</v>
      </c>
      <c r="G382" s="56">
        <v>1</v>
      </c>
      <c r="H382" s="56">
        <v>51.377400000000002</v>
      </c>
      <c r="I382" s="56">
        <v>8.6241299999999992</v>
      </c>
      <c r="J382" s="56">
        <v>11.631225000000001</v>
      </c>
      <c r="K382" s="56">
        <v>13.625006000000001</v>
      </c>
      <c r="L382" s="56">
        <v>1164.74</v>
      </c>
      <c r="M382" s="56">
        <v>76.999397999999999</v>
      </c>
      <c r="N382" s="274">
        <v>12584.899799999999</v>
      </c>
      <c r="O382" s="56">
        <v>0</v>
      </c>
      <c r="P382" s="275">
        <v>0</v>
      </c>
      <c r="Q382" s="275">
        <f t="shared" si="4"/>
        <v>0</v>
      </c>
      <c r="R382" s="275" t="s">
        <v>609</v>
      </c>
      <c r="S382" s="275">
        <v>10</v>
      </c>
      <c r="T382" s="275">
        <v>5</v>
      </c>
      <c r="U382" s="275">
        <v>0.7</v>
      </c>
      <c r="V382" s="275">
        <v>0.7</v>
      </c>
      <c r="W382" s="275">
        <v>0.7</v>
      </c>
      <c r="X382" s="56">
        <v>2000</v>
      </c>
      <c r="Y382" s="56" t="s">
        <v>571</v>
      </c>
      <c r="Z382" s="56">
        <v>0.2</v>
      </c>
      <c r="AA382" s="56" t="s">
        <v>572</v>
      </c>
      <c r="AB382" s="56" t="s">
        <v>573</v>
      </c>
      <c r="AC382" s="56">
        <v>193</v>
      </c>
      <c r="AD382" s="277" t="s">
        <v>610</v>
      </c>
      <c r="AE382" s="277"/>
    </row>
    <row r="383" spans="1:31" ht="15.75" x14ac:dyDescent="0.25">
      <c r="A383" s="56" t="s">
        <v>615</v>
      </c>
      <c r="B383" s="56">
        <v>9</v>
      </c>
      <c r="C383" s="56">
        <v>378</v>
      </c>
      <c r="D383" s="56" t="s">
        <v>633</v>
      </c>
      <c r="E383" s="56">
        <v>1</v>
      </c>
      <c r="F383" s="294">
        <v>45748.538194444445</v>
      </c>
      <c r="G383" s="56">
        <v>2</v>
      </c>
      <c r="H383" s="56">
        <v>51.377400000000002</v>
      </c>
      <c r="I383" s="56">
        <v>8.5042500000000008</v>
      </c>
      <c r="J383" s="56">
        <v>11.652324999999999</v>
      </c>
      <c r="K383" s="56">
        <v>12.627394000000001</v>
      </c>
      <c r="L383" s="56">
        <v>1130.55</v>
      </c>
      <c r="M383" s="56">
        <v>96.000988000000007</v>
      </c>
      <c r="N383" s="274">
        <v>12400.6504</v>
      </c>
      <c r="O383" s="56">
        <v>12913.447099999999</v>
      </c>
      <c r="P383" s="275">
        <v>2448.1233400000001</v>
      </c>
      <c r="Q383" s="275">
        <f t="shared" si="4"/>
        <v>2448.1233400000001</v>
      </c>
      <c r="R383" s="275" t="s">
        <v>584</v>
      </c>
      <c r="S383" s="275">
        <v>10</v>
      </c>
      <c r="T383" s="275">
        <v>5</v>
      </c>
      <c r="U383" s="275">
        <v>0.7</v>
      </c>
      <c r="V383" s="275">
        <v>0.7</v>
      </c>
      <c r="W383" s="275">
        <v>0.7</v>
      </c>
      <c r="X383" s="56">
        <v>2000</v>
      </c>
      <c r="Y383" s="56" t="s">
        <v>571</v>
      </c>
      <c r="Z383" s="56">
        <v>0.2</v>
      </c>
      <c r="AA383" s="56" t="s">
        <v>572</v>
      </c>
      <c r="AB383" s="56" t="s">
        <v>573</v>
      </c>
      <c r="AC383" s="56">
        <v>191</v>
      </c>
      <c r="AD383" s="277" t="s">
        <v>610</v>
      </c>
      <c r="AE383" s="277"/>
    </row>
    <row r="384" spans="1:31" ht="15.75" x14ac:dyDescent="0.25">
      <c r="A384" s="56" t="s">
        <v>616</v>
      </c>
      <c r="B384" s="56">
        <v>9</v>
      </c>
      <c r="C384" s="56">
        <v>378</v>
      </c>
      <c r="D384" s="56" t="s">
        <v>633</v>
      </c>
      <c r="E384" s="56">
        <v>1</v>
      </c>
      <c r="F384" s="294">
        <v>45748.540972222225</v>
      </c>
      <c r="G384" s="56">
        <v>2</v>
      </c>
      <c r="H384" s="56">
        <v>51.374099999999999</v>
      </c>
      <c r="I384" s="56">
        <v>8.6003600000000002</v>
      </c>
      <c r="J384" s="56">
        <v>11.875419000000001</v>
      </c>
      <c r="K384" s="56">
        <v>13.659337000000001</v>
      </c>
      <c r="L384" s="56">
        <v>1199.67</v>
      </c>
      <c r="M384" s="56">
        <v>79.499525000000006</v>
      </c>
      <c r="N384" s="274">
        <v>12905.906800000001</v>
      </c>
      <c r="O384" s="56">
        <v>12913.447099999999</v>
      </c>
      <c r="P384" s="275">
        <v>2448.1233400000001</v>
      </c>
      <c r="Q384" s="275">
        <f t="shared" si="4"/>
        <v>2448.1233400000001</v>
      </c>
      <c r="R384" s="275" t="s">
        <v>570</v>
      </c>
      <c r="S384" s="275">
        <v>10</v>
      </c>
      <c r="T384" s="275">
        <v>5</v>
      </c>
      <c r="U384" s="275">
        <v>0.7</v>
      </c>
      <c r="V384" s="275">
        <v>0.7</v>
      </c>
      <c r="W384" s="275">
        <v>0.7</v>
      </c>
      <c r="X384" s="56">
        <v>2000</v>
      </c>
      <c r="Y384" s="56" t="s">
        <v>571</v>
      </c>
      <c r="Z384" s="56">
        <v>0.2</v>
      </c>
      <c r="AA384" s="56" t="s">
        <v>572</v>
      </c>
      <c r="AB384" s="56" t="s">
        <v>573</v>
      </c>
      <c r="AC384" s="56">
        <v>187</v>
      </c>
      <c r="AD384" s="277" t="s">
        <v>610</v>
      </c>
      <c r="AE384" s="277"/>
    </row>
    <row r="385" spans="1:31" ht="15.75" x14ac:dyDescent="0.25">
      <c r="A385" s="56" t="s">
        <v>793</v>
      </c>
      <c r="B385" s="56">
        <v>9</v>
      </c>
      <c r="C385" s="56">
        <v>378</v>
      </c>
      <c r="D385" s="56" t="s">
        <v>633</v>
      </c>
      <c r="E385" s="56">
        <v>1</v>
      </c>
      <c r="F385" s="294">
        <v>45748.544444444444</v>
      </c>
      <c r="G385" s="56">
        <v>2</v>
      </c>
      <c r="H385" s="56">
        <v>51.377400000000002</v>
      </c>
      <c r="I385" s="56">
        <v>8.4194700000000005</v>
      </c>
      <c r="J385" s="56">
        <v>11.771831000000001</v>
      </c>
      <c r="K385" s="56">
        <v>13.391944000000001</v>
      </c>
      <c r="L385" s="56">
        <v>1157.3800000000001</v>
      </c>
      <c r="M385" s="56">
        <v>83.498554999999996</v>
      </c>
      <c r="N385" s="274">
        <v>12920.9874</v>
      </c>
      <c r="O385" s="56">
        <v>12913.447099999999</v>
      </c>
      <c r="P385" s="275">
        <v>2448.1233400000001</v>
      </c>
      <c r="Q385" s="275">
        <f t="shared" si="4"/>
        <v>2448.1233400000001</v>
      </c>
      <c r="R385" s="275" t="s">
        <v>570</v>
      </c>
      <c r="S385" s="275">
        <v>10</v>
      </c>
      <c r="T385" s="275">
        <v>5</v>
      </c>
      <c r="U385" s="275">
        <v>0.7</v>
      </c>
      <c r="V385" s="275">
        <v>0.7</v>
      </c>
      <c r="W385" s="275">
        <v>0.7</v>
      </c>
      <c r="X385" s="56">
        <v>2000</v>
      </c>
      <c r="Y385" s="56" t="s">
        <v>571</v>
      </c>
      <c r="Z385" s="56">
        <v>0.2</v>
      </c>
      <c r="AA385" s="56" t="s">
        <v>572</v>
      </c>
      <c r="AB385" s="56" t="s">
        <v>573</v>
      </c>
      <c r="AC385" s="56">
        <v>185</v>
      </c>
      <c r="AD385" s="277" t="s">
        <v>610</v>
      </c>
      <c r="AE385" s="277"/>
    </row>
    <row r="386" spans="1:31" ht="76.5" x14ac:dyDescent="0.25">
      <c r="A386" s="280" t="s">
        <v>617</v>
      </c>
      <c r="B386" s="280">
        <v>10</v>
      </c>
      <c r="C386" s="280">
        <v>379</v>
      </c>
      <c r="D386" s="280" t="s">
        <v>637</v>
      </c>
      <c r="E386" s="280">
        <v>1</v>
      </c>
      <c r="F386" s="296">
        <v>45748.54791666667</v>
      </c>
      <c r="G386" s="280">
        <v>1</v>
      </c>
      <c r="H386" s="280">
        <v>51.374099999999999</v>
      </c>
      <c r="I386" s="280">
        <v>8.4891799999999993</v>
      </c>
      <c r="J386" s="280">
        <v>11.799613000000001</v>
      </c>
      <c r="K386" s="280">
        <v>13.396986999999999</v>
      </c>
      <c r="L386" s="280">
        <v>1219.08</v>
      </c>
      <c r="M386" s="280">
        <v>84.499184999999997</v>
      </c>
      <c r="N386" s="282">
        <v>12924.0939</v>
      </c>
      <c r="O386" s="280">
        <v>0</v>
      </c>
      <c r="P386" s="283">
        <v>0</v>
      </c>
      <c r="Q386" s="275">
        <f t="shared" si="4"/>
        <v>0</v>
      </c>
      <c r="R386" s="283" t="s">
        <v>609</v>
      </c>
      <c r="S386" s="275">
        <v>10</v>
      </c>
      <c r="T386" s="275">
        <v>5</v>
      </c>
      <c r="U386" s="275">
        <v>0.7</v>
      </c>
      <c r="V386" s="275">
        <v>0.7</v>
      </c>
      <c r="W386" s="275">
        <v>0.7</v>
      </c>
      <c r="X386" s="56">
        <v>2000</v>
      </c>
      <c r="Y386" s="56" t="s">
        <v>571</v>
      </c>
      <c r="Z386" s="56">
        <v>0.2</v>
      </c>
      <c r="AA386" s="56" t="s">
        <v>572</v>
      </c>
      <c r="AB386" s="56" t="s">
        <v>573</v>
      </c>
      <c r="AC386" s="56">
        <v>186</v>
      </c>
      <c r="AD386" s="277" t="s">
        <v>610</v>
      </c>
      <c r="AE386" s="297" t="s">
        <v>794</v>
      </c>
    </row>
    <row r="387" spans="1:31" ht="15.75" x14ac:dyDescent="0.25">
      <c r="A387" s="280" t="s">
        <v>619</v>
      </c>
      <c r="B387" s="280">
        <v>10</v>
      </c>
      <c r="C387" s="280">
        <v>379</v>
      </c>
      <c r="D387" s="280" t="s">
        <v>637</v>
      </c>
      <c r="E387" s="280">
        <v>1</v>
      </c>
      <c r="F387" s="296">
        <v>45748.550694444442</v>
      </c>
      <c r="G387" s="280">
        <v>1</v>
      </c>
      <c r="H387" s="280">
        <v>51.377400000000002</v>
      </c>
      <c r="I387" s="280">
        <v>8.54223</v>
      </c>
      <c r="J387" s="280">
        <v>11.862337</v>
      </c>
      <c r="K387" s="280">
        <v>13.727138</v>
      </c>
      <c r="L387" s="280">
        <v>1172.8</v>
      </c>
      <c r="M387" s="280">
        <v>77.998343000000006</v>
      </c>
      <c r="N387" s="282">
        <v>12845.6657</v>
      </c>
      <c r="O387" s="280">
        <v>0</v>
      </c>
      <c r="P387" s="283">
        <v>0</v>
      </c>
      <c r="Q387" s="275">
        <f t="shared" si="4"/>
        <v>0</v>
      </c>
      <c r="R387" s="283" t="s">
        <v>609</v>
      </c>
      <c r="S387" s="275">
        <v>10</v>
      </c>
      <c r="T387" s="275">
        <v>5</v>
      </c>
      <c r="U387" s="275">
        <v>0.7</v>
      </c>
      <c r="V387" s="275">
        <v>0.7</v>
      </c>
      <c r="W387" s="275">
        <v>0.7</v>
      </c>
      <c r="X387" s="56">
        <v>2000</v>
      </c>
      <c r="Y387" s="56" t="s">
        <v>571</v>
      </c>
      <c r="Z387" s="56">
        <v>0.2</v>
      </c>
      <c r="AA387" s="56" t="s">
        <v>572</v>
      </c>
      <c r="AB387" s="56" t="s">
        <v>573</v>
      </c>
      <c r="AC387" s="56">
        <v>187</v>
      </c>
      <c r="AD387" s="277" t="s">
        <v>610</v>
      </c>
      <c r="AE387" s="277"/>
    </row>
    <row r="388" spans="1:31" ht="15.75" x14ac:dyDescent="0.25">
      <c r="A388" s="280" t="s">
        <v>620</v>
      </c>
      <c r="B388" s="280">
        <v>10</v>
      </c>
      <c r="C388" s="280">
        <v>379</v>
      </c>
      <c r="D388" s="280" t="s">
        <v>637</v>
      </c>
      <c r="E388" s="280">
        <v>1</v>
      </c>
      <c r="F388" s="296">
        <v>45748.553472222222</v>
      </c>
      <c r="G388" s="280">
        <v>1</v>
      </c>
      <c r="H388" s="280">
        <v>51.374099999999999</v>
      </c>
      <c r="I388" s="280">
        <v>8.5307300000000001</v>
      </c>
      <c r="J388" s="280">
        <v>11.923344</v>
      </c>
      <c r="K388" s="280">
        <v>13.374019000000001</v>
      </c>
      <c r="L388" s="280">
        <v>1205.67</v>
      </c>
      <c r="M388" s="280">
        <v>88.500079999999997</v>
      </c>
      <c r="N388" s="282">
        <v>13153.861500000001</v>
      </c>
      <c r="O388" s="280">
        <v>0</v>
      </c>
      <c r="P388" s="283">
        <v>0</v>
      </c>
      <c r="Q388" s="275">
        <f t="shared" si="4"/>
        <v>0</v>
      </c>
      <c r="R388" s="283" t="s">
        <v>609</v>
      </c>
      <c r="S388" s="275">
        <v>10</v>
      </c>
      <c r="T388" s="275">
        <v>5</v>
      </c>
      <c r="U388" s="275">
        <v>0.7</v>
      </c>
      <c r="V388" s="275">
        <v>0.7</v>
      </c>
      <c r="W388" s="275">
        <v>0.7</v>
      </c>
      <c r="X388" s="56">
        <v>2000</v>
      </c>
      <c r="Y388" s="56" t="s">
        <v>571</v>
      </c>
      <c r="Z388" s="56">
        <v>0.2</v>
      </c>
      <c r="AA388" s="56" t="s">
        <v>572</v>
      </c>
      <c r="AB388" s="56" t="s">
        <v>573</v>
      </c>
      <c r="AC388" s="56">
        <v>183</v>
      </c>
      <c r="AD388" s="277" t="s">
        <v>610</v>
      </c>
      <c r="AE388" s="277"/>
    </row>
    <row r="389" spans="1:31" ht="15.75" x14ac:dyDescent="0.25">
      <c r="A389" s="280" t="s">
        <v>621</v>
      </c>
      <c r="B389" s="280">
        <v>10</v>
      </c>
      <c r="C389" s="280">
        <v>379</v>
      </c>
      <c r="D389" s="280" t="s">
        <v>637</v>
      </c>
      <c r="E389" s="280">
        <v>1</v>
      </c>
      <c r="F389" s="296">
        <v>45748.556250000001</v>
      </c>
      <c r="G389" s="280">
        <v>1</v>
      </c>
      <c r="H389" s="280">
        <v>51.377400000000002</v>
      </c>
      <c r="I389" s="280">
        <v>8.5355799999999995</v>
      </c>
      <c r="J389" s="280">
        <v>11.899255999999999</v>
      </c>
      <c r="K389" s="280">
        <v>13.701924999999999</v>
      </c>
      <c r="L389" s="280">
        <v>1197.6600000000001</v>
      </c>
      <c r="M389" s="280">
        <v>80.999189000000001</v>
      </c>
      <c r="N389" s="282">
        <v>13058.7991</v>
      </c>
      <c r="O389" s="280">
        <v>0</v>
      </c>
      <c r="P389" s="283">
        <v>0</v>
      </c>
      <c r="Q389" s="275">
        <f t="shared" si="4"/>
        <v>0</v>
      </c>
      <c r="R389" s="283" t="s">
        <v>609</v>
      </c>
      <c r="S389" s="275">
        <v>10</v>
      </c>
      <c r="T389" s="275">
        <v>5</v>
      </c>
      <c r="U389" s="275">
        <v>0.7</v>
      </c>
      <c r="V389" s="275">
        <v>0.7</v>
      </c>
      <c r="W389" s="275">
        <v>0.7</v>
      </c>
      <c r="X389" s="56">
        <v>2000</v>
      </c>
      <c r="Y389" s="56" t="s">
        <v>571</v>
      </c>
      <c r="Z389" s="56">
        <v>0.2</v>
      </c>
      <c r="AA389" s="56" t="s">
        <v>572</v>
      </c>
      <c r="AB389" s="56" t="s">
        <v>573</v>
      </c>
      <c r="AC389" s="56">
        <v>184</v>
      </c>
      <c r="AD389" s="277" t="s">
        <v>610</v>
      </c>
      <c r="AE389" s="277"/>
    </row>
    <row r="390" spans="1:31" ht="14.25" customHeight="1" x14ac:dyDescent="0.25">
      <c r="A390" s="280" t="s">
        <v>795</v>
      </c>
      <c r="B390" s="280">
        <v>10</v>
      </c>
      <c r="C390" s="280">
        <v>379</v>
      </c>
      <c r="D390" s="280" t="s">
        <v>637</v>
      </c>
      <c r="E390" s="280">
        <v>1</v>
      </c>
      <c r="F390" s="296">
        <v>45748.55972222222</v>
      </c>
      <c r="G390" s="280">
        <v>1</v>
      </c>
      <c r="H390" s="280">
        <v>51.374099999999999</v>
      </c>
      <c r="I390" s="280">
        <v>8.5088600000000003</v>
      </c>
      <c r="J390" s="280">
        <v>11.938530999999999</v>
      </c>
      <c r="K390" s="280">
        <v>13.168462999999999</v>
      </c>
      <c r="L390" s="280">
        <v>1188.7</v>
      </c>
      <c r="M390" s="280">
        <v>93.499904999999998</v>
      </c>
      <c r="N390" s="282">
        <v>13148.6332</v>
      </c>
      <c r="O390" s="280">
        <v>0</v>
      </c>
      <c r="P390" s="283">
        <v>0</v>
      </c>
      <c r="Q390" s="275">
        <f t="shared" si="4"/>
        <v>0</v>
      </c>
      <c r="R390" s="283" t="s">
        <v>609</v>
      </c>
      <c r="S390" s="275">
        <v>10</v>
      </c>
      <c r="T390" s="275">
        <v>5</v>
      </c>
      <c r="U390" s="275">
        <v>0.7</v>
      </c>
      <c r="V390" s="275">
        <v>0.7</v>
      </c>
      <c r="W390" s="275">
        <v>0.7</v>
      </c>
      <c r="X390" s="56">
        <v>2000</v>
      </c>
      <c r="Y390" s="56" t="s">
        <v>571</v>
      </c>
      <c r="Z390" s="56">
        <v>0.2</v>
      </c>
      <c r="AA390" s="56" t="s">
        <v>572</v>
      </c>
      <c r="AB390" s="56" t="s">
        <v>573</v>
      </c>
      <c r="AC390" s="56">
        <v>182</v>
      </c>
      <c r="AD390" s="277" t="s">
        <v>610</v>
      </c>
      <c r="AE390" s="277"/>
    </row>
    <row r="391" spans="1:31" ht="15.75" x14ac:dyDescent="0.25">
      <c r="A391" s="280" t="s">
        <v>796</v>
      </c>
      <c r="B391" s="280">
        <v>10</v>
      </c>
      <c r="C391" s="280">
        <v>379</v>
      </c>
      <c r="D391" s="280" t="s">
        <v>637</v>
      </c>
      <c r="E391" s="280">
        <v>1</v>
      </c>
      <c r="F391" s="298">
        <v>45748.5625</v>
      </c>
      <c r="G391" s="280">
        <v>2</v>
      </c>
      <c r="H391" s="280">
        <v>51.377400000000002</v>
      </c>
      <c r="I391" s="280">
        <v>8.4474499999999999</v>
      </c>
      <c r="J391" s="280">
        <v>11.950975</v>
      </c>
      <c r="K391" s="280">
        <v>13.8849</v>
      </c>
      <c r="L391" s="280">
        <v>1200.67</v>
      </c>
      <c r="M391" s="280">
        <v>83.499522999999996</v>
      </c>
      <c r="N391" s="282">
        <v>13530.744500000001</v>
      </c>
      <c r="O391" s="280">
        <v>0</v>
      </c>
      <c r="P391" s="283">
        <v>0</v>
      </c>
      <c r="Q391" s="275">
        <f t="shared" si="4"/>
        <v>0</v>
      </c>
      <c r="R391" s="283" t="s">
        <v>609</v>
      </c>
      <c r="S391" s="275">
        <v>10</v>
      </c>
      <c r="T391" s="275">
        <v>5</v>
      </c>
      <c r="U391" s="275">
        <v>0.7</v>
      </c>
      <c r="V391" s="275">
        <v>0.7</v>
      </c>
      <c r="W391" s="275">
        <v>0.7</v>
      </c>
      <c r="X391" s="56">
        <v>2000</v>
      </c>
      <c r="Y391" s="56" t="s">
        <v>571</v>
      </c>
      <c r="Z391" s="56">
        <v>0.2</v>
      </c>
      <c r="AA391" s="56" t="s">
        <v>572</v>
      </c>
      <c r="AB391" s="56" t="s">
        <v>573</v>
      </c>
      <c r="AC391" s="56">
        <v>177</v>
      </c>
      <c r="AD391" s="277" t="s">
        <v>610</v>
      </c>
      <c r="AE391" s="277"/>
    </row>
    <row r="392" spans="1:31" ht="15.75" x14ac:dyDescent="0.25">
      <c r="A392" s="280" t="s">
        <v>797</v>
      </c>
      <c r="B392" s="280">
        <v>10</v>
      </c>
      <c r="C392" s="280">
        <v>379</v>
      </c>
      <c r="D392" s="280" t="s">
        <v>637</v>
      </c>
      <c r="E392" s="280">
        <v>1</v>
      </c>
      <c r="F392" s="296">
        <v>45748.56527777778</v>
      </c>
      <c r="G392" s="280">
        <v>2</v>
      </c>
      <c r="H392" s="280">
        <v>51.380699999999997</v>
      </c>
      <c r="I392" s="280">
        <v>8.3958300000000001</v>
      </c>
      <c r="J392" s="280">
        <v>12.105480999999999</v>
      </c>
      <c r="K392" s="280">
        <v>13.616061999999999</v>
      </c>
      <c r="L392" s="280">
        <v>1231.3800000000001</v>
      </c>
      <c r="M392" s="280">
        <v>89.500878999999998</v>
      </c>
      <c r="N392" s="282">
        <v>13826.557000000001</v>
      </c>
      <c r="O392" s="280">
        <v>0</v>
      </c>
      <c r="P392" s="283">
        <v>0</v>
      </c>
      <c r="Q392" s="275">
        <f t="shared" si="4"/>
        <v>0</v>
      </c>
      <c r="R392" s="283" t="s">
        <v>609</v>
      </c>
      <c r="S392" s="275">
        <v>10</v>
      </c>
      <c r="T392" s="275">
        <v>5</v>
      </c>
      <c r="U392" s="275">
        <v>0.7</v>
      </c>
      <c r="V392" s="275">
        <v>0.7</v>
      </c>
      <c r="W392" s="275">
        <v>0.7</v>
      </c>
      <c r="X392" s="56">
        <v>2000</v>
      </c>
      <c r="Y392" s="56" t="s">
        <v>571</v>
      </c>
      <c r="Z392" s="56">
        <v>0.2</v>
      </c>
      <c r="AA392" s="56" t="s">
        <v>572</v>
      </c>
      <c r="AB392" s="56" t="s">
        <v>573</v>
      </c>
      <c r="AC392" s="56">
        <v>173</v>
      </c>
      <c r="AD392" s="277" t="s">
        <v>610</v>
      </c>
      <c r="AE392" s="277"/>
    </row>
    <row r="393" spans="1:31" ht="15.75" x14ac:dyDescent="0.25">
      <c r="A393" s="280" t="s">
        <v>798</v>
      </c>
      <c r="B393" s="280">
        <v>10</v>
      </c>
      <c r="C393" s="280">
        <v>379</v>
      </c>
      <c r="D393" s="280" t="s">
        <v>637</v>
      </c>
      <c r="E393" s="280">
        <v>1</v>
      </c>
      <c r="F393" s="281">
        <v>45748.568749999999</v>
      </c>
      <c r="G393" s="280">
        <v>2</v>
      </c>
      <c r="H393" s="280">
        <v>51.377400000000002</v>
      </c>
      <c r="I393" s="280">
        <v>8.26736</v>
      </c>
      <c r="J393" s="280">
        <v>12.080368999999999</v>
      </c>
      <c r="K393" s="280">
        <v>13.848038000000001</v>
      </c>
      <c r="L393" s="280">
        <v>1240.98</v>
      </c>
      <c r="M393" s="280">
        <v>88.499978999999996</v>
      </c>
      <c r="N393" s="282">
        <v>14123.304099999999</v>
      </c>
      <c r="O393" s="280">
        <v>0</v>
      </c>
      <c r="P393" s="283">
        <v>0</v>
      </c>
      <c r="Q393" s="275">
        <f t="shared" si="4"/>
        <v>0</v>
      </c>
      <c r="R393" s="283" t="s">
        <v>609</v>
      </c>
      <c r="S393" s="275">
        <v>10</v>
      </c>
      <c r="T393" s="275">
        <v>5</v>
      </c>
      <c r="U393" s="275">
        <v>0.7</v>
      </c>
      <c r="V393" s="275">
        <v>0.7</v>
      </c>
      <c r="W393" s="275">
        <v>0.7</v>
      </c>
      <c r="X393" s="56">
        <v>2000</v>
      </c>
      <c r="Y393" s="56" t="s">
        <v>571</v>
      </c>
      <c r="Z393" s="56">
        <v>0.2</v>
      </c>
      <c r="AA393" s="56" t="s">
        <v>572</v>
      </c>
      <c r="AB393" s="56" t="s">
        <v>573</v>
      </c>
      <c r="AC393" s="56">
        <v>169</v>
      </c>
      <c r="AD393" s="277" t="s">
        <v>610</v>
      </c>
      <c r="AE393" s="277"/>
    </row>
    <row r="394" spans="1:31" ht="15.75" x14ac:dyDescent="0.25">
      <c r="A394" s="280" t="s">
        <v>799</v>
      </c>
      <c r="B394" s="280">
        <v>10</v>
      </c>
      <c r="C394" s="280">
        <v>379</v>
      </c>
      <c r="D394" s="280" t="s">
        <v>637</v>
      </c>
      <c r="E394" s="280">
        <v>1</v>
      </c>
      <c r="F394" s="281">
        <v>45748.571527777778</v>
      </c>
      <c r="G394" s="280">
        <v>2</v>
      </c>
      <c r="H394" s="280">
        <v>51.377400000000002</v>
      </c>
      <c r="I394" s="280">
        <v>8.2358399999999996</v>
      </c>
      <c r="J394" s="280">
        <v>11.994906</v>
      </c>
      <c r="K394" s="280">
        <v>13.891337999999999</v>
      </c>
      <c r="L394" s="280">
        <v>1232.22</v>
      </c>
      <c r="M394" s="280">
        <v>84.999298999999993</v>
      </c>
      <c r="N394" s="282">
        <v>13840.7718</v>
      </c>
      <c r="O394" s="280">
        <v>0</v>
      </c>
      <c r="P394" s="283">
        <v>0</v>
      </c>
      <c r="Q394" s="275">
        <f t="shared" si="4"/>
        <v>0</v>
      </c>
      <c r="R394" s="283" t="s">
        <v>609</v>
      </c>
      <c r="S394" s="275">
        <v>10</v>
      </c>
      <c r="T394" s="275">
        <v>5</v>
      </c>
      <c r="U394" s="275">
        <v>0.7</v>
      </c>
      <c r="V394" s="275">
        <v>0.7</v>
      </c>
      <c r="W394" s="275">
        <v>0.7</v>
      </c>
      <c r="X394" s="56">
        <v>2000</v>
      </c>
      <c r="Y394" s="56" t="s">
        <v>571</v>
      </c>
      <c r="Z394" s="56">
        <v>0.2</v>
      </c>
      <c r="AA394" s="56" t="s">
        <v>572</v>
      </c>
      <c r="AB394" s="56" t="s">
        <v>573</v>
      </c>
      <c r="AC394" s="56">
        <v>174</v>
      </c>
      <c r="AD394" s="277" t="s">
        <v>610</v>
      </c>
      <c r="AE394" s="277"/>
    </row>
    <row r="395" spans="1:31" ht="15.75" x14ac:dyDescent="0.25">
      <c r="A395" s="280" t="s">
        <v>800</v>
      </c>
      <c r="B395" s="280">
        <v>10</v>
      </c>
      <c r="C395" s="280">
        <v>379</v>
      </c>
      <c r="D395" s="280" t="s">
        <v>637</v>
      </c>
      <c r="E395" s="280">
        <v>1</v>
      </c>
      <c r="F395" s="281">
        <v>45748.574305555558</v>
      </c>
      <c r="G395" s="280">
        <v>2</v>
      </c>
      <c r="H395" s="280">
        <v>51.377400000000002</v>
      </c>
      <c r="I395" s="280">
        <v>8.2427200000000003</v>
      </c>
      <c r="J395" s="280">
        <v>12.103475</v>
      </c>
      <c r="K395" s="280">
        <v>13.8729</v>
      </c>
      <c r="L395" s="280">
        <v>1229.9000000000001</v>
      </c>
      <c r="M395" s="280">
        <v>88.499713999999997</v>
      </c>
      <c r="N395" s="282">
        <v>14186.241400000001</v>
      </c>
      <c r="O395" s="280">
        <v>0</v>
      </c>
      <c r="P395" s="283">
        <v>0</v>
      </c>
      <c r="Q395" s="275">
        <f t="shared" si="4"/>
        <v>0</v>
      </c>
      <c r="R395" s="283" t="s">
        <v>609</v>
      </c>
      <c r="S395" s="275">
        <v>10</v>
      </c>
      <c r="T395" s="275">
        <v>5</v>
      </c>
      <c r="U395" s="275">
        <v>0.7</v>
      </c>
      <c r="V395" s="275">
        <v>0.7</v>
      </c>
      <c r="W395" s="275">
        <v>0.7</v>
      </c>
      <c r="X395" s="56">
        <v>2000</v>
      </c>
      <c r="Y395" s="56" t="s">
        <v>571</v>
      </c>
      <c r="Z395" s="56">
        <v>0.2</v>
      </c>
      <c r="AA395" s="56" t="s">
        <v>572</v>
      </c>
      <c r="AB395" s="56" t="s">
        <v>573</v>
      </c>
      <c r="AC395" s="56">
        <v>169</v>
      </c>
      <c r="AD395" s="277" t="s">
        <v>610</v>
      </c>
      <c r="AE395" s="277"/>
    </row>
    <row r="396" spans="1:31" ht="15.75" x14ac:dyDescent="0.25">
      <c r="A396" s="280" t="s">
        <v>622</v>
      </c>
      <c r="B396" s="280">
        <v>11</v>
      </c>
      <c r="C396" s="280" t="s">
        <v>535</v>
      </c>
      <c r="D396" s="280" t="s">
        <v>569</v>
      </c>
      <c r="E396" s="280">
        <v>1</v>
      </c>
      <c r="F396" s="281">
        <v>45748.578472222223</v>
      </c>
      <c r="G396" s="280">
        <v>1</v>
      </c>
      <c r="H396" s="280">
        <v>51.380699999999997</v>
      </c>
      <c r="I396" s="280">
        <v>8.2934900000000003</v>
      </c>
      <c r="J396" s="280">
        <v>12.018738000000001</v>
      </c>
      <c r="K396" s="280">
        <v>14.123794</v>
      </c>
      <c r="L396" s="280">
        <v>1229.8800000000001</v>
      </c>
      <c r="M396" s="280">
        <v>82.999458000000004</v>
      </c>
      <c r="N396" s="282">
        <v>13753.344999999999</v>
      </c>
      <c r="O396" s="280">
        <v>0</v>
      </c>
      <c r="P396" s="283">
        <v>0</v>
      </c>
      <c r="Q396" s="275">
        <f t="shared" si="4"/>
        <v>0</v>
      </c>
      <c r="R396" s="283" t="s">
        <v>609</v>
      </c>
      <c r="S396" s="275">
        <v>10</v>
      </c>
      <c r="T396" s="275">
        <v>5</v>
      </c>
      <c r="U396" s="275">
        <v>0.7</v>
      </c>
      <c r="V396" s="275">
        <v>0.7</v>
      </c>
      <c r="W396" s="275">
        <v>0.7</v>
      </c>
      <c r="X396" s="56">
        <v>2000</v>
      </c>
      <c r="Y396" s="56" t="s">
        <v>571</v>
      </c>
      <c r="Z396" s="56">
        <v>0.2</v>
      </c>
      <c r="AA396" s="56" t="s">
        <v>572</v>
      </c>
      <c r="AB396" s="56" t="s">
        <v>573</v>
      </c>
      <c r="AC396" s="56">
        <v>177</v>
      </c>
      <c r="AD396" s="277" t="s">
        <v>610</v>
      </c>
      <c r="AE396" s="277"/>
    </row>
    <row r="397" spans="1:31" ht="15.75" x14ac:dyDescent="0.25">
      <c r="A397" s="280" t="s">
        <v>624</v>
      </c>
      <c r="B397" s="280">
        <v>11</v>
      </c>
      <c r="C397" s="280" t="s">
        <v>535</v>
      </c>
      <c r="D397" s="280" t="s">
        <v>569</v>
      </c>
      <c r="E397" s="280">
        <v>1</v>
      </c>
      <c r="F397" s="281">
        <v>45748.581250000003</v>
      </c>
      <c r="G397" s="280">
        <v>1</v>
      </c>
      <c r="H397" s="280">
        <v>51.374099999999999</v>
      </c>
      <c r="I397" s="280">
        <v>8.1739200000000007</v>
      </c>
      <c r="J397" s="280">
        <v>12.075456000000001</v>
      </c>
      <c r="K397" s="280">
        <v>14.015000000000001</v>
      </c>
      <c r="L397" s="280">
        <v>1269.73</v>
      </c>
      <c r="M397" s="280">
        <v>87.499523999999994</v>
      </c>
      <c r="N397" s="282">
        <v>13986.817300000001</v>
      </c>
      <c r="O397" s="280">
        <v>0</v>
      </c>
      <c r="P397" s="283">
        <v>0</v>
      </c>
      <c r="Q397" s="275">
        <f t="shared" si="4"/>
        <v>0</v>
      </c>
      <c r="R397" s="283" t="s">
        <v>609</v>
      </c>
      <c r="S397" s="275">
        <v>10</v>
      </c>
      <c r="T397" s="275">
        <v>5</v>
      </c>
      <c r="U397" s="275">
        <v>0.7</v>
      </c>
      <c r="V397" s="275">
        <v>0.7</v>
      </c>
      <c r="W397" s="275">
        <v>0.7</v>
      </c>
      <c r="X397" s="56">
        <v>2000</v>
      </c>
      <c r="Y397" s="56" t="s">
        <v>571</v>
      </c>
      <c r="Z397" s="56">
        <v>0.2</v>
      </c>
      <c r="AA397" s="56" t="s">
        <v>572</v>
      </c>
      <c r="AB397" s="56" t="s">
        <v>573</v>
      </c>
      <c r="AC397" s="56">
        <v>174</v>
      </c>
      <c r="AD397" s="277" t="s">
        <v>610</v>
      </c>
      <c r="AE397" s="277"/>
    </row>
    <row r="398" spans="1:31" ht="15.75" x14ac:dyDescent="0.25">
      <c r="A398" s="280" t="s">
        <v>625</v>
      </c>
      <c r="B398" s="280">
        <v>11</v>
      </c>
      <c r="C398" s="280" t="s">
        <v>535</v>
      </c>
      <c r="D398" s="280" t="s">
        <v>569</v>
      </c>
      <c r="E398" s="280">
        <v>1</v>
      </c>
      <c r="F398" s="281">
        <v>45748.584027777775</v>
      </c>
      <c r="G398" s="280">
        <v>1</v>
      </c>
      <c r="H398" s="280">
        <v>51.380699999999997</v>
      </c>
      <c r="I398" s="280">
        <v>8.1577300000000008</v>
      </c>
      <c r="J398" s="280">
        <v>12.209406</v>
      </c>
      <c r="K398" s="280">
        <v>13.886150000000001</v>
      </c>
      <c r="L398" s="280">
        <v>1260.01</v>
      </c>
      <c r="M398" s="280">
        <v>87.500460000000004</v>
      </c>
      <c r="N398" s="282">
        <v>14155.665000000001</v>
      </c>
      <c r="O398" s="280">
        <v>0</v>
      </c>
      <c r="P398" s="283">
        <v>0</v>
      </c>
      <c r="Q398" s="275">
        <f t="shared" si="4"/>
        <v>0</v>
      </c>
      <c r="R398" s="283" t="s">
        <v>609</v>
      </c>
      <c r="S398" s="275">
        <v>10</v>
      </c>
      <c r="T398" s="275">
        <v>5</v>
      </c>
      <c r="U398" s="275">
        <v>0.7</v>
      </c>
      <c r="V398" s="275">
        <v>0.7</v>
      </c>
      <c r="W398" s="275">
        <v>0.7</v>
      </c>
      <c r="X398" s="56">
        <v>2000</v>
      </c>
      <c r="Y398" s="56" t="s">
        <v>571</v>
      </c>
      <c r="Z398" s="56">
        <v>0.2</v>
      </c>
      <c r="AA398" s="56" t="s">
        <v>572</v>
      </c>
      <c r="AB398" s="56" t="s">
        <v>573</v>
      </c>
      <c r="AC398" s="56">
        <v>172</v>
      </c>
      <c r="AD398" s="277" t="s">
        <v>610</v>
      </c>
      <c r="AE398" s="277"/>
    </row>
    <row r="399" spans="1:31" ht="15.75" x14ac:dyDescent="0.25">
      <c r="A399" s="280" t="s">
        <v>626</v>
      </c>
      <c r="B399" s="280">
        <v>11</v>
      </c>
      <c r="C399" s="280" t="s">
        <v>535</v>
      </c>
      <c r="D399" s="280" t="s">
        <v>569</v>
      </c>
      <c r="E399" s="280">
        <v>1</v>
      </c>
      <c r="F399" s="281">
        <v>45748.587500000001</v>
      </c>
      <c r="G399" s="280">
        <v>1</v>
      </c>
      <c r="H399" s="280">
        <v>51.377400000000002</v>
      </c>
      <c r="I399" s="280">
        <v>8.0936900000000005</v>
      </c>
      <c r="J399" s="280">
        <v>12.146962</v>
      </c>
      <c r="K399" s="280">
        <v>14.209987999999999</v>
      </c>
      <c r="L399" s="280">
        <v>1313.01</v>
      </c>
      <c r="M399" s="280">
        <v>84.999298999999993</v>
      </c>
      <c r="N399" s="282">
        <v>14540.567800000001</v>
      </c>
      <c r="O399" s="280">
        <v>0</v>
      </c>
      <c r="P399" s="283">
        <v>0</v>
      </c>
      <c r="Q399" s="275">
        <f t="shared" si="4"/>
        <v>0</v>
      </c>
      <c r="R399" s="283" t="s">
        <v>609</v>
      </c>
      <c r="S399" s="275">
        <v>10</v>
      </c>
      <c r="T399" s="275">
        <v>5</v>
      </c>
      <c r="U399" s="275">
        <v>0.7</v>
      </c>
      <c r="V399" s="275">
        <v>0.7</v>
      </c>
      <c r="W399" s="275">
        <v>0.7</v>
      </c>
      <c r="X399" s="56">
        <v>2000</v>
      </c>
      <c r="Y399" s="56" t="s">
        <v>571</v>
      </c>
      <c r="Z399" s="56">
        <v>0.2</v>
      </c>
      <c r="AA399" s="56" t="s">
        <v>572</v>
      </c>
      <c r="AB399" s="56" t="s">
        <v>573</v>
      </c>
      <c r="AC399" s="56">
        <v>168</v>
      </c>
      <c r="AD399" s="277" t="s">
        <v>610</v>
      </c>
      <c r="AE399" s="277"/>
    </row>
    <row r="400" spans="1:31" ht="15.75" x14ac:dyDescent="0.25">
      <c r="A400" s="280" t="s">
        <v>627</v>
      </c>
      <c r="B400" s="280">
        <v>11</v>
      </c>
      <c r="C400" s="280" t="s">
        <v>535</v>
      </c>
      <c r="D400" s="280" t="s">
        <v>569</v>
      </c>
      <c r="E400" s="280">
        <v>1</v>
      </c>
      <c r="F400" s="281">
        <v>45748.590277777781</v>
      </c>
      <c r="G400" s="280">
        <v>1</v>
      </c>
      <c r="H400" s="280">
        <v>51.374099999999999</v>
      </c>
      <c r="I400" s="280">
        <v>7.9692999999999996</v>
      </c>
      <c r="J400" s="280">
        <v>12.283780999999999</v>
      </c>
      <c r="K400" s="280">
        <v>13.827743999999999</v>
      </c>
      <c r="L400" s="280">
        <v>1301.81</v>
      </c>
      <c r="M400" s="280">
        <v>97.999740000000003</v>
      </c>
      <c r="N400" s="282">
        <v>15159.681699999999</v>
      </c>
      <c r="O400" s="280">
        <v>0</v>
      </c>
      <c r="P400" s="283">
        <v>0</v>
      </c>
      <c r="Q400" s="275">
        <f t="shared" si="4"/>
        <v>0</v>
      </c>
      <c r="R400" s="283" t="s">
        <v>609</v>
      </c>
      <c r="S400" s="275">
        <v>10</v>
      </c>
      <c r="T400" s="275">
        <v>5</v>
      </c>
      <c r="U400" s="275">
        <v>0.7</v>
      </c>
      <c r="V400" s="275">
        <v>0.7</v>
      </c>
      <c r="W400" s="275">
        <v>0.7</v>
      </c>
      <c r="X400" s="56">
        <v>2000</v>
      </c>
      <c r="Y400" s="56" t="s">
        <v>571</v>
      </c>
      <c r="Z400" s="56">
        <v>0.2</v>
      </c>
      <c r="AA400" s="56" t="s">
        <v>572</v>
      </c>
      <c r="AB400" s="56" t="s">
        <v>573</v>
      </c>
      <c r="AC400" s="56">
        <v>161</v>
      </c>
      <c r="AD400" s="277" t="s">
        <v>610</v>
      </c>
      <c r="AE400" s="277"/>
    </row>
    <row r="401" spans="1:31" ht="15.75" x14ac:dyDescent="0.25">
      <c r="A401" s="280" t="s">
        <v>801</v>
      </c>
      <c r="B401" s="280">
        <v>11</v>
      </c>
      <c r="C401" s="280" t="s">
        <v>535</v>
      </c>
      <c r="D401" s="280" t="s">
        <v>569</v>
      </c>
      <c r="E401" s="280">
        <v>1</v>
      </c>
      <c r="F401" s="281">
        <v>45748.593055555553</v>
      </c>
      <c r="G401" s="280">
        <v>2</v>
      </c>
      <c r="H401" s="280">
        <v>51.370800000000003</v>
      </c>
      <c r="I401" s="280">
        <v>7.9006400000000001</v>
      </c>
      <c r="J401" s="280">
        <v>12.390706</v>
      </c>
      <c r="K401" s="280">
        <v>14.934456000000001</v>
      </c>
      <c r="L401" s="280">
        <v>1361.64</v>
      </c>
      <c r="M401" s="280">
        <v>86.000208999999998</v>
      </c>
      <c r="N401" s="282">
        <v>15758.597299999999</v>
      </c>
      <c r="O401" s="280">
        <v>16552.2114</v>
      </c>
      <c r="P401" s="283">
        <v>3133.1942100000001</v>
      </c>
      <c r="Q401" s="275">
        <f t="shared" si="4"/>
        <v>3133.1942100000001</v>
      </c>
      <c r="R401" s="283" t="s">
        <v>584</v>
      </c>
      <c r="S401" s="275">
        <v>10</v>
      </c>
      <c r="T401" s="275">
        <v>5</v>
      </c>
      <c r="U401" s="275">
        <v>0.7</v>
      </c>
      <c r="V401" s="275">
        <v>0.7</v>
      </c>
      <c r="W401" s="275">
        <v>0.7</v>
      </c>
      <c r="X401" s="56">
        <v>2000</v>
      </c>
      <c r="Y401" s="56" t="s">
        <v>571</v>
      </c>
      <c r="Z401" s="56">
        <v>0.2</v>
      </c>
      <c r="AA401" s="56" t="s">
        <v>572</v>
      </c>
      <c r="AB401" s="56" t="s">
        <v>573</v>
      </c>
      <c r="AC401" s="56">
        <v>154</v>
      </c>
      <c r="AD401" s="277" t="s">
        <v>610</v>
      </c>
      <c r="AE401" s="277"/>
    </row>
    <row r="402" spans="1:31" ht="15.75" x14ac:dyDescent="0.25">
      <c r="A402" s="280" t="s">
        <v>802</v>
      </c>
      <c r="B402" s="280">
        <v>11</v>
      </c>
      <c r="C402" s="280" t="s">
        <v>535</v>
      </c>
      <c r="D402" s="280" t="s">
        <v>569</v>
      </c>
      <c r="E402" s="280">
        <v>1</v>
      </c>
      <c r="F402" s="281">
        <v>45748.59652777778</v>
      </c>
      <c r="G402" s="280">
        <v>2</v>
      </c>
      <c r="H402" s="280">
        <v>51.374099999999999</v>
      </c>
      <c r="I402" s="280">
        <v>7.8017399999999997</v>
      </c>
      <c r="J402" s="280">
        <v>12.391619</v>
      </c>
      <c r="K402" s="280">
        <v>14.391887000000001</v>
      </c>
      <c r="L402" s="280">
        <v>1380.66</v>
      </c>
      <c r="M402" s="280">
        <v>98.000669000000002</v>
      </c>
      <c r="N402" s="282">
        <v>16538.737700000001</v>
      </c>
      <c r="O402" s="280">
        <v>16552.2114</v>
      </c>
      <c r="P402" s="283">
        <v>3133.1942100000001</v>
      </c>
      <c r="Q402" s="275">
        <f t="shared" si="4"/>
        <v>3133.1942100000001</v>
      </c>
      <c r="R402" s="283" t="s">
        <v>570</v>
      </c>
      <c r="S402" s="275">
        <v>10</v>
      </c>
      <c r="T402" s="275">
        <v>5</v>
      </c>
      <c r="U402" s="275">
        <v>0.7</v>
      </c>
      <c r="V402" s="275">
        <v>0.7</v>
      </c>
      <c r="W402" s="275">
        <v>0.7</v>
      </c>
      <c r="X402" s="56">
        <v>2000</v>
      </c>
      <c r="Y402" s="56" t="s">
        <v>571</v>
      </c>
      <c r="Z402" s="56">
        <v>0.2</v>
      </c>
      <c r="AA402" s="56" t="s">
        <v>572</v>
      </c>
      <c r="AB402" s="56" t="s">
        <v>573</v>
      </c>
      <c r="AC402" s="56">
        <v>148</v>
      </c>
      <c r="AD402" s="277" t="s">
        <v>610</v>
      </c>
      <c r="AE402" s="277"/>
    </row>
    <row r="403" spans="1:31" ht="15.75" x14ac:dyDescent="0.25">
      <c r="A403" s="280" t="s">
        <v>803</v>
      </c>
      <c r="B403" s="280">
        <v>11</v>
      </c>
      <c r="C403" s="280" t="s">
        <v>535</v>
      </c>
      <c r="D403" s="280" t="s">
        <v>569</v>
      </c>
      <c r="E403" s="280">
        <v>1</v>
      </c>
      <c r="F403" s="281">
        <v>45748.599305555559</v>
      </c>
      <c r="G403" s="280">
        <v>2</v>
      </c>
      <c r="H403" s="280">
        <v>51.374099999999999</v>
      </c>
      <c r="I403" s="280">
        <v>7.6542500000000002</v>
      </c>
      <c r="J403" s="280">
        <v>12.591894</v>
      </c>
      <c r="K403" s="280">
        <v>14.586881</v>
      </c>
      <c r="L403" s="280">
        <v>1394.68</v>
      </c>
      <c r="M403" s="280">
        <v>96.001226000000003</v>
      </c>
      <c r="N403" s="282">
        <v>16565.685099999999</v>
      </c>
      <c r="O403" s="280">
        <v>16552.2114</v>
      </c>
      <c r="P403" s="283">
        <v>3133.1942100000001</v>
      </c>
      <c r="Q403" s="275">
        <f t="shared" si="4"/>
        <v>3133.1942100000001</v>
      </c>
      <c r="R403" s="283" t="s">
        <v>570</v>
      </c>
      <c r="S403" s="275">
        <v>10</v>
      </c>
      <c r="T403" s="275">
        <v>5</v>
      </c>
      <c r="U403" s="275">
        <v>0.7</v>
      </c>
      <c r="V403" s="275">
        <v>0.7</v>
      </c>
      <c r="W403" s="275">
        <v>0.7</v>
      </c>
      <c r="X403" s="56">
        <v>2000</v>
      </c>
      <c r="Y403" s="56" t="s">
        <v>571</v>
      </c>
      <c r="Z403" s="56">
        <v>0.2</v>
      </c>
      <c r="AA403" s="56" t="s">
        <v>572</v>
      </c>
      <c r="AB403" s="56" t="s">
        <v>573</v>
      </c>
      <c r="AC403" s="56">
        <v>148</v>
      </c>
      <c r="AD403" s="277" t="s">
        <v>610</v>
      </c>
      <c r="AE403" s="277"/>
    </row>
    <row r="404" spans="1:31" ht="15.75" x14ac:dyDescent="0.25">
      <c r="A404" s="280" t="s">
        <v>804</v>
      </c>
      <c r="B404" s="280" t="s">
        <v>583</v>
      </c>
      <c r="C404" s="280" t="s">
        <v>535</v>
      </c>
      <c r="D404" s="280" t="s">
        <v>569</v>
      </c>
      <c r="E404" s="280">
        <v>0.8</v>
      </c>
      <c r="F404" s="281">
        <v>45748.602777777778</v>
      </c>
      <c r="G404" s="280">
        <v>1</v>
      </c>
      <c r="H404" s="280">
        <v>0</v>
      </c>
      <c r="I404" s="280">
        <v>0</v>
      </c>
      <c r="J404" s="280">
        <v>0</v>
      </c>
      <c r="K404" s="280">
        <v>0</v>
      </c>
      <c r="L404" s="280">
        <v>0</v>
      </c>
      <c r="M404" s="280">
        <v>0</v>
      </c>
      <c r="N404" s="282">
        <v>0</v>
      </c>
      <c r="O404" s="280">
        <v>0</v>
      </c>
      <c r="P404" s="283">
        <v>0</v>
      </c>
      <c r="Q404" s="275">
        <f t="shared" si="4"/>
        <v>0</v>
      </c>
      <c r="R404" s="283" t="s">
        <v>805</v>
      </c>
      <c r="S404" s="275">
        <v>10</v>
      </c>
      <c r="T404" s="275">
        <v>5</v>
      </c>
      <c r="U404" s="275">
        <v>0.7</v>
      </c>
      <c r="V404" s="275">
        <v>0.7</v>
      </c>
      <c r="W404" s="275">
        <v>0.7</v>
      </c>
      <c r="X404" s="56">
        <v>2000</v>
      </c>
      <c r="Y404" s="56"/>
      <c r="Z404" s="56"/>
      <c r="AA404" s="56" t="s">
        <v>572</v>
      </c>
      <c r="AB404" s="56" t="s">
        <v>573</v>
      </c>
      <c r="AC404" s="56">
        <v>149</v>
      </c>
      <c r="AD404" s="277" t="s">
        <v>610</v>
      </c>
      <c r="AE404" s="277"/>
    </row>
    <row r="405" spans="1:31" ht="15.75" x14ac:dyDescent="0.25">
      <c r="A405" s="280" t="s">
        <v>806</v>
      </c>
      <c r="B405" s="280" t="s">
        <v>583</v>
      </c>
      <c r="C405" s="280" t="s">
        <v>535</v>
      </c>
      <c r="D405" s="280" t="s">
        <v>569</v>
      </c>
      <c r="E405" s="280">
        <v>0.8</v>
      </c>
      <c r="F405" s="281">
        <v>45748.625</v>
      </c>
      <c r="G405" s="280">
        <v>1</v>
      </c>
      <c r="H405" s="280">
        <v>51.370800000000003</v>
      </c>
      <c r="I405" s="280">
        <v>7.7504600000000003</v>
      </c>
      <c r="J405" s="280">
        <v>12.985837999999999</v>
      </c>
      <c r="K405" s="280">
        <v>13.759256000000001</v>
      </c>
      <c r="L405" s="280">
        <v>1227.02</v>
      </c>
      <c r="M405" s="280">
        <v>122.498288</v>
      </c>
      <c r="N405" s="282">
        <v>13452.417299999999</v>
      </c>
      <c r="O405" s="280">
        <v>0</v>
      </c>
      <c r="P405" s="283">
        <v>2091.86</v>
      </c>
      <c r="Q405" s="275">
        <f t="shared" si="4"/>
        <v>2091.86</v>
      </c>
      <c r="R405" s="283" t="s">
        <v>807</v>
      </c>
      <c r="S405" s="275">
        <v>10</v>
      </c>
      <c r="T405" s="275">
        <v>5</v>
      </c>
      <c r="U405" s="275">
        <v>0.7</v>
      </c>
      <c r="V405" s="275">
        <v>0.7</v>
      </c>
      <c r="W405" s="275">
        <v>0.7</v>
      </c>
      <c r="X405" s="56">
        <v>2000</v>
      </c>
      <c r="Y405" s="56" t="s">
        <v>571</v>
      </c>
      <c r="Z405" s="56">
        <v>0.2</v>
      </c>
      <c r="AA405" s="56" t="s">
        <v>572</v>
      </c>
      <c r="AB405" s="56" t="s">
        <v>573</v>
      </c>
      <c r="AC405" s="56">
        <v>145</v>
      </c>
      <c r="AD405" s="277" t="s">
        <v>610</v>
      </c>
      <c r="AE405" s="277"/>
    </row>
    <row r="406" spans="1:31" ht="15.75" x14ac:dyDescent="0.25">
      <c r="A406" s="280" t="s">
        <v>808</v>
      </c>
      <c r="B406" s="280" t="s">
        <v>583</v>
      </c>
      <c r="C406" s="280" t="s">
        <v>535</v>
      </c>
      <c r="D406" s="280" t="s">
        <v>569</v>
      </c>
      <c r="E406" s="280">
        <v>0.8</v>
      </c>
      <c r="F406" s="281"/>
      <c r="G406" s="280">
        <v>1</v>
      </c>
      <c r="H406" s="280">
        <v>0</v>
      </c>
      <c r="I406" s="280">
        <v>0</v>
      </c>
      <c r="J406" s="280">
        <v>0</v>
      </c>
      <c r="K406" s="280">
        <v>0</v>
      </c>
      <c r="L406" s="280">
        <v>0</v>
      </c>
      <c r="M406" s="280">
        <v>0</v>
      </c>
      <c r="N406" s="282">
        <v>0</v>
      </c>
      <c r="O406" s="280">
        <v>0</v>
      </c>
      <c r="P406" s="283">
        <v>0</v>
      </c>
      <c r="Q406" s="275">
        <f t="shared" si="4"/>
        <v>0</v>
      </c>
      <c r="R406" s="283" t="s">
        <v>805</v>
      </c>
      <c r="S406" s="275">
        <v>10</v>
      </c>
      <c r="T406" s="275">
        <v>5</v>
      </c>
      <c r="U406" s="275">
        <v>0.7</v>
      </c>
      <c r="V406" s="275">
        <v>0.7</v>
      </c>
      <c r="W406" s="275">
        <v>0.7</v>
      </c>
      <c r="X406" s="56">
        <v>2000</v>
      </c>
      <c r="Y406" s="56"/>
      <c r="Z406" s="56"/>
      <c r="AA406" s="56" t="s">
        <v>572</v>
      </c>
      <c r="AB406" s="56" t="s">
        <v>573</v>
      </c>
      <c r="AC406" s="56">
        <v>145</v>
      </c>
      <c r="AD406" s="277" t="s">
        <v>610</v>
      </c>
      <c r="AE406" s="277"/>
    </row>
    <row r="407" spans="1:31" ht="15.75" x14ac:dyDescent="0.25">
      <c r="A407" s="280" t="s">
        <v>809</v>
      </c>
      <c r="B407" s="280" t="s">
        <v>583</v>
      </c>
      <c r="C407" s="280" t="s">
        <v>535</v>
      </c>
      <c r="D407" s="280" t="s">
        <v>569</v>
      </c>
      <c r="E407" s="280">
        <v>0.8</v>
      </c>
      <c r="F407" s="281"/>
      <c r="G407" s="280">
        <v>1</v>
      </c>
      <c r="H407" s="280">
        <v>0</v>
      </c>
      <c r="I407" s="280">
        <v>0</v>
      </c>
      <c r="J407" s="280">
        <v>0</v>
      </c>
      <c r="K407" s="280">
        <v>0</v>
      </c>
      <c r="L407" s="280">
        <v>0</v>
      </c>
      <c r="M407" s="280">
        <v>0</v>
      </c>
      <c r="N407" s="282">
        <v>0</v>
      </c>
      <c r="O407" s="280">
        <v>0</v>
      </c>
      <c r="P407" s="283">
        <v>0</v>
      </c>
      <c r="Q407" s="275">
        <f t="shared" si="4"/>
        <v>0</v>
      </c>
      <c r="R407" s="283" t="s">
        <v>805</v>
      </c>
      <c r="S407" s="275">
        <v>10</v>
      </c>
      <c r="T407" s="275">
        <v>5</v>
      </c>
      <c r="U407" s="275">
        <v>0.7</v>
      </c>
      <c r="V407" s="275">
        <v>0.7</v>
      </c>
      <c r="W407" s="275">
        <v>0.7</v>
      </c>
      <c r="X407" s="56">
        <v>2000</v>
      </c>
      <c r="Y407" s="56"/>
      <c r="Z407" s="56"/>
      <c r="AA407" s="56" t="s">
        <v>572</v>
      </c>
      <c r="AB407" s="56" t="s">
        <v>573</v>
      </c>
      <c r="AC407" s="56">
        <v>50</v>
      </c>
      <c r="AD407" s="277" t="s">
        <v>610</v>
      </c>
      <c r="AE407" s="277"/>
    </row>
    <row r="408" spans="1:31" ht="15.75" x14ac:dyDescent="0.25">
      <c r="A408" s="280" t="s">
        <v>810</v>
      </c>
      <c r="B408" s="280" t="s">
        <v>583</v>
      </c>
      <c r="C408" s="280" t="s">
        <v>535</v>
      </c>
      <c r="D408" s="280" t="s">
        <v>569</v>
      </c>
      <c r="E408" s="280">
        <v>0.8</v>
      </c>
      <c r="F408" s="281"/>
      <c r="G408" s="280">
        <v>1</v>
      </c>
      <c r="H408" s="280">
        <v>0</v>
      </c>
      <c r="I408" s="280">
        <v>0</v>
      </c>
      <c r="J408" s="280">
        <v>0</v>
      </c>
      <c r="K408" s="280">
        <v>0</v>
      </c>
      <c r="L408" s="280">
        <v>0</v>
      </c>
      <c r="M408" s="280">
        <v>0</v>
      </c>
      <c r="N408" s="282">
        <v>0</v>
      </c>
      <c r="O408" s="280">
        <v>0</v>
      </c>
      <c r="P408" s="283">
        <v>0</v>
      </c>
      <c r="Q408" s="275">
        <f t="shared" si="4"/>
        <v>0</v>
      </c>
      <c r="R408" s="283" t="s">
        <v>805</v>
      </c>
      <c r="S408" s="275">
        <v>10</v>
      </c>
      <c r="T408" s="275">
        <v>5</v>
      </c>
      <c r="U408" s="275">
        <v>0.7</v>
      </c>
      <c r="V408" s="275">
        <v>0.7</v>
      </c>
      <c r="W408" s="275">
        <v>0.7</v>
      </c>
      <c r="X408" s="56">
        <v>2000</v>
      </c>
      <c r="Y408" s="56"/>
      <c r="Z408" s="56"/>
      <c r="AA408" s="56" t="s">
        <v>572</v>
      </c>
      <c r="AB408" s="56" t="s">
        <v>573</v>
      </c>
      <c r="AC408" s="56">
        <v>220</v>
      </c>
      <c r="AD408" s="277" t="s">
        <v>610</v>
      </c>
      <c r="AE408" s="277"/>
    </row>
    <row r="409" spans="1:31" ht="15.75" x14ac:dyDescent="0.25">
      <c r="A409" s="280" t="s">
        <v>811</v>
      </c>
      <c r="B409" s="280" t="s">
        <v>583</v>
      </c>
      <c r="C409" s="280" t="s">
        <v>535</v>
      </c>
      <c r="D409" s="280" t="s">
        <v>569</v>
      </c>
      <c r="E409" s="280">
        <v>0.8</v>
      </c>
      <c r="F409" s="281"/>
      <c r="G409" s="280">
        <v>1</v>
      </c>
      <c r="H409" s="280">
        <v>0</v>
      </c>
      <c r="I409" s="280">
        <v>0</v>
      </c>
      <c r="J409" s="280">
        <v>0</v>
      </c>
      <c r="K409" s="280">
        <v>0</v>
      </c>
      <c r="L409" s="280">
        <v>0</v>
      </c>
      <c r="M409" s="280">
        <v>0</v>
      </c>
      <c r="N409" s="282">
        <v>0</v>
      </c>
      <c r="O409" s="280">
        <v>0</v>
      </c>
      <c r="P409" s="283">
        <v>0</v>
      </c>
      <c r="Q409" s="275">
        <f t="shared" si="4"/>
        <v>0</v>
      </c>
      <c r="R409" s="283" t="s">
        <v>805</v>
      </c>
      <c r="S409" s="275">
        <v>10</v>
      </c>
      <c r="T409" s="275">
        <v>5</v>
      </c>
      <c r="U409" s="275">
        <v>0.7</v>
      </c>
      <c r="V409" s="275">
        <v>0.7</v>
      </c>
      <c r="W409" s="275">
        <v>0.7</v>
      </c>
      <c r="X409" s="56">
        <v>2000</v>
      </c>
      <c r="Y409" s="56"/>
      <c r="Z409" s="56"/>
      <c r="AA409" s="56" t="s">
        <v>572</v>
      </c>
      <c r="AB409" s="56" t="s">
        <v>573</v>
      </c>
      <c r="AC409" s="56">
        <v>50</v>
      </c>
      <c r="AD409" s="277" t="s">
        <v>610</v>
      </c>
      <c r="AE409" s="277"/>
    </row>
    <row r="410" spans="1:31" ht="15.75" x14ac:dyDescent="0.25">
      <c r="A410" s="280" t="s">
        <v>812</v>
      </c>
      <c r="B410" s="280" t="s">
        <v>583</v>
      </c>
      <c r="C410" s="280" t="s">
        <v>535</v>
      </c>
      <c r="D410" s="280" t="s">
        <v>569</v>
      </c>
      <c r="E410" s="280">
        <v>0.8</v>
      </c>
      <c r="F410" s="281"/>
      <c r="G410" s="280">
        <v>1</v>
      </c>
      <c r="H410" s="280">
        <v>0</v>
      </c>
      <c r="I410" s="280">
        <v>0</v>
      </c>
      <c r="J410" s="280">
        <v>0</v>
      </c>
      <c r="K410" s="280">
        <v>0</v>
      </c>
      <c r="L410" s="280">
        <v>0</v>
      </c>
      <c r="M410" s="280">
        <v>0</v>
      </c>
      <c r="N410" s="282">
        <v>0</v>
      </c>
      <c r="O410" s="280">
        <v>0</v>
      </c>
      <c r="P410" s="283">
        <v>0</v>
      </c>
      <c r="Q410" s="275">
        <f t="shared" si="4"/>
        <v>0</v>
      </c>
      <c r="R410" s="283" t="s">
        <v>805</v>
      </c>
      <c r="S410" s="275">
        <v>10</v>
      </c>
      <c r="T410" s="275">
        <v>5</v>
      </c>
      <c r="U410" s="275">
        <v>0.7</v>
      </c>
      <c r="V410" s="275">
        <v>0.7</v>
      </c>
      <c r="W410" s="275">
        <v>0.7</v>
      </c>
      <c r="X410" s="56">
        <v>2000</v>
      </c>
      <c r="Y410" s="56"/>
      <c r="Z410" s="56"/>
      <c r="AA410" s="56" t="s">
        <v>572</v>
      </c>
      <c r="AB410" s="56" t="s">
        <v>573</v>
      </c>
      <c r="AC410" s="56">
        <v>50</v>
      </c>
      <c r="AD410" s="277" t="s">
        <v>610</v>
      </c>
      <c r="AE410" s="277"/>
    </row>
    <row r="411" spans="1:31" ht="15.75" x14ac:dyDescent="0.25">
      <c r="A411" s="56" t="s">
        <v>566</v>
      </c>
      <c r="B411" s="56" t="s">
        <v>567</v>
      </c>
      <c r="C411" s="56" t="s">
        <v>568</v>
      </c>
      <c r="D411" s="56" t="s">
        <v>569</v>
      </c>
      <c r="E411" s="56">
        <v>1</v>
      </c>
      <c r="F411" s="278">
        <v>45755.486111111109</v>
      </c>
      <c r="G411" s="56">
        <v>1</v>
      </c>
      <c r="H411" s="56">
        <v>51.374099999999999</v>
      </c>
      <c r="I411" s="56">
        <v>17.9115</v>
      </c>
      <c r="J411" s="56">
        <v>11.819936999999999</v>
      </c>
      <c r="K411" s="56">
        <v>13.111086999999999</v>
      </c>
      <c r="L411" s="56">
        <v>985.03200000000004</v>
      </c>
      <c r="M411" s="56">
        <v>69.000197999999997</v>
      </c>
      <c r="N411" s="274">
        <v>10500.971100000001</v>
      </c>
      <c r="O411" s="56">
        <v>10500.971100000001</v>
      </c>
      <c r="P411" s="275">
        <v>1993.93</v>
      </c>
      <c r="Q411" s="275">
        <f t="shared" si="4"/>
        <v>1993.93</v>
      </c>
      <c r="R411" s="275" t="s">
        <v>570</v>
      </c>
      <c r="S411" s="275">
        <v>10</v>
      </c>
      <c r="T411" s="275">
        <v>5</v>
      </c>
      <c r="U411" s="275">
        <v>0.7</v>
      </c>
      <c r="V411" s="275">
        <v>0.7</v>
      </c>
      <c r="W411" s="275">
        <v>0.7</v>
      </c>
      <c r="X411" s="56">
        <v>2000</v>
      </c>
      <c r="Y411" s="56" t="s">
        <v>571</v>
      </c>
      <c r="Z411" s="56">
        <v>0.2</v>
      </c>
      <c r="AA411" s="56" t="s">
        <v>572</v>
      </c>
      <c r="AB411" s="56" t="s">
        <v>573</v>
      </c>
      <c r="AC411" s="56">
        <v>220</v>
      </c>
      <c r="AD411" s="277" t="s">
        <v>19</v>
      </c>
      <c r="AE411" s="277"/>
    </row>
    <row r="412" spans="1:31" ht="15.75" x14ac:dyDescent="0.25">
      <c r="A412" s="56" t="s">
        <v>574</v>
      </c>
      <c r="B412" s="56" t="s">
        <v>567</v>
      </c>
      <c r="C412" s="56" t="s">
        <v>568</v>
      </c>
      <c r="D412" s="56" t="s">
        <v>569</v>
      </c>
      <c r="E412" s="56">
        <v>1</v>
      </c>
      <c r="F412" s="278">
        <v>45755.488888888889</v>
      </c>
      <c r="G412" s="56">
        <v>1</v>
      </c>
      <c r="H412" s="56">
        <v>51.377400000000002</v>
      </c>
      <c r="I412" s="56">
        <v>12.9773</v>
      </c>
      <c r="J412" s="56">
        <v>11.471719</v>
      </c>
      <c r="K412" s="56">
        <v>12.180794000000001</v>
      </c>
      <c r="L412" s="56">
        <v>977.61199999999997</v>
      </c>
      <c r="M412" s="56">
        <v>89.500926000000007</v>
      </c>
      <c r="N412" s="274">
        <v>10556.3946</v>
      </c>
      <c r="O412" s="56">
        <v>10556.3946</v>
      </c>
      <c r="P412" s="275">
        <v>2004.36</v>
      </c>
      <c r="Q412" s="275">
        <f t="shared" si="4"/>
        <v>2004.36</v>
      </c>
      <c r="R412" s="275" t="s">
        <v>570</v>
      </c>
      <c r="S412" s="275">
        <v>10</v>
      </c>
      <c r="T412" s="275">
        <v>5</v>
      </c>
      <c r="U412" s="275">
        <v>0.7</v>
      </c>
      <c r="V412" s="275">
        <v>0.7</v>
      </c>
      <c r="W412" s="275">
        <v>0.7</v>
      </c>
      <c r="X412" s="56">
        <v>2000</v>
      </c>
      <c r="Y412" s="56" t="s">
        <v>571</v>
      </c>
      <c r="Z412" s="56">
        <v>0.2</v>
      </c>
      <c r="AA412" s="56" t="s">
        <v>572</v>
      </c>
      <c r="AB412" s="56" t="s">
        <v>573</v>
      </c>
      <c r="AC412" s="56">
        <v>220</v>
      </c>
      <c r="AD412" s="277" t="s">
        <v>19</v>
      </c>
      <c r="AE412" s="277"/>
    </row>
    <row r="413" spans="1:31" ht="15.75" x14ac:dyDescent="0.25">
      <c r="A413" s="56" t="s">
        <v>575</v>
      </c>
      <c r="B413" s="56" t="s">
        <v>567</v>
      </c>
      <c r="C413" s="56" t="s">
        <v>568</v>
      </c>
      <c r="D413" s="56" t="s">
        <v>569</v>
      </c>
      <c r="E413" s="56">
        <v>1</v>
      </c>
      <c r="F413" s="278">
        <v>45755.491666666669</v>
      </c>
      <c r="G413" s="56">
        <v>1</v>
      </c>
      <c r="H413" s="56">
        <v>51.374099999999999</v>
      </c>
      <c r="I413" s="56">
        <v>11.153700000000001</v>
      </c>
      <c r="J413" s="56">
        <v>11.422331</v>
      </c>
      <c r="K413" s="56">
        <v>12.300599999999999</v>
      </c>
      <c r="L413" s="56">
        <v>972.10500000000002</v>
      </c>
      <c r="M413" s="56">
        <v>92.999018000000007</v>
      </c>
      <c r="N413" s="274">
        <v>10574.4347</v>
      </c>
      <c r="O413" s="56">
        <v>10574.4347</v>
      </c>
      <c r="P413" s="275">
        <v>2007.76</v>
      </c>
      <c r="Q413" s="275">
        <f t="shared" si="4"/>
        <v>2007.76</v>
      </c>
      <c r="R413" s="275" t="s">
        <v>570</v>
      </c>
      <c r="S413" s="275">
        <v>10</v>
      </c>
      <c r="T413" s="275">
        <v>5</v>
      </c>
      <c r="U413" s="275">
        <v>0.7</v>
      </c>
      <c r="V413" s="275">
        <v>0.7</v>
      </c>
      <c r="W413" s="275">
        <v>0.7</v>
      </c>
      <c r="X413" s="56">
        <v>2000</v>
      </c>
      <c r="Y413" s="56" t="s">
        <v>571</v>
      </c>
      <c r="Z413" s="56">
        <v>0.2</v>
      </c>
      <c r="AA413" s="56" t="s">
        <v>572</v>
      </c>
      <c r="AB413" s="56" t="s">
        <v>573</v>
      </c>
      <c r="AC413" s="56">
        <v>220</v>
      </c>
      <c r="AD413" s="277" t="s">
        <v>19</v>
      </c>
      <c r="AE413" s="277"/>
    </row>
    <row r="414" spans="1:31" ht="15.75" x14ac:dyDescent="0.25">
      <c r="A414" s="56" t="s">
        <v>576</v>
      </c>
      <c r="B414" s="56" t="s">
        <v>567</v>
      </c>
      <c r="C414" s="56" t="s">
        <v>568</v>
      </c>
      <c r="D414" s="56" t="s">
        <v>569</v>
      </c>
      <c r="E414" s="56">
        <v>1</v>
      </c>
      <c r="F414" s="278">
        <v>45755.495138888888</v>
      </c>
      <c r="G414" s="56">
        <v>1</v>
      </c>
      <c r="H414" s="56">
        <v>51.3675</v>
      </c>
      <c r="I414" s="56">
        <v>10.6562</v>
      </c>
      <c r="J414" s="56">
        <v>11.435819</v>
      </c>
      <c r="K414" s="56">
        <v>12.863868999999999</v>
      </c>
      <c r="L414" s="56">
        <v>979.79200000000003</v>
      </c>
      <c r="M414" s="56">
        <v>72.500534000000002</v>
      </c>
      <c r="N414" s="274">
        <v>10565.1466</v>
      </c>
      <c r="O414" s="56">
        <v>10565.1466</v>
      </c>
      <c r="P414" s="275">
        <v>2006.01</v>
      </c>
      <c r="Q414" s="275">
        <f t="shared" si="4"/>
        <v>2006.01</v>
      </c>
      <c r="R414" s="275" t="s">
        <v>570</v>
      </c>
      <c r="S414" s="275">
        <v>10</v>
      </c>
      <c r="T414" s="275">
        <v>5</v>
      </c>
      <c r="U414" s="275">
        <v>0.7</v>
      </c>
      <c r="V414" s="275">
        <v>0.7</v>
      </c>
      <c r="W414" s="275">
        <v>0.7</v>
      </c>
      <c r="X414" s="56">
        <v>2000</v>
      </c>
      <c r="Y414" s="56" t="s">
        <v>571</v>
      </c>
      <c r="Z414" s="56">
        <v>0.2</v>
      </c>
      <c r="AA414" s="56" t="s">
        <v>572</v>
      </c>
      <c r="AB414" s="56" t="s">
        <v>573</v>
      </c>
      <c r="AC414" s="56">
        <v>220</v>
      </c>
      <c r="AD414" s="277" t="s">
        <v>19</v>
      </c>
      <c r="AE414" s="277"/>
    </row>
    <row r="415" spans="1:31" ht="15.75" x14ac:dyDescent="0.25">
      <c r="A415" s="56" t="s">
        <v>813</v>
      </c>
      <c r="B415" s="56" t="s">
        <v>583</v>
      </c>
      <c r="C415" s="56" t="s">
        <v>537</v>
      </c>
      <c r="D415" s="56" t="s">
        <v>569</v>
      </c>
      <c r="E415" s="56">
        <v>0.8</v>
      </c>
      <c r="F415" s="278">
        <v>45755.499305555553</v>
      </c>
      <c r="G415" s="56">
        <v>1</v>
      </c>
      <c r="H415" s="56">
        <v>51.370800000000003</v>
      </c>
      <c r="I415" s="56">
        <v>10.4198</v>
      </c>
      <c r="J415" s="56">
        <v>11.497356</v>
      </c>
      <c r="K415" s="56">
        <v>12.9937</v>
      </c>
      <c r="L415" s="56">
        <v>987.97299999999996</v>
      </c>
      <c r="M415" s="56">
        <v>66.499407000000005</v>
      </c>
      <c r="N415" s="274">
        <v>8635.5210700000007</v>
      </c>
      <c r="O415" s="56">
        <v>8778.3884799999996</v>
      </c>
      <c r="P415" s="275">
        <v>2091.86</v>
      </c>
      <c r="Q415" s="275">
        <f t="shared" si="4"/>
        <v>2091.86</v>
      </c>
      <c r="R415" s="275" t="s">
        <v>584</v>
      </c>
      <c r="S415" s="275">
        <v>10</v>
      </c>
      <c r="T415" s="275">
        <v>5</v>
      </c>
      <c r="U415" s="275">
        <v>0.7</v>
      </c>
      <c r="V415" s="275">
        <v>0.7</v>
      </c>
      <c r="W415" s="275">
        <v>0.7</v>
      </c>
      <c r="X415" s="56">
        <v>2000</v>
      </c>
      <c r="Y415" s="56" t="s">
        <v>571</v>
      </c>
      <c r="Z415" s="56">
        <v>0.2</v>
      </c>
      <c r="AA415" s="56" t="s">
        <v>572</v>
      </c>
      <c r="AB415" s="56" t="s">
        <v>573</v>
      </c>
      <c r="AC415" s="56">
        <v>220</v>
      </c>
      <c r="AD415" s="277" t="s">
        <v>19</v>
      </c>
      <c r="AE415" s="277"/>
    </row>
    <row r="416" spans="1:31" ht="15.75" x14ac:dyDescent="0.25">
      <c r="A416" s="56" t="s">
        <v>814</v>
      </c>
      <c r="B416" s="56" t="s">
        <v>583</v>
      </c>
      <c r="C416" s="56" t="s">
        <v>537</v>
      </c>
      <c r="D416" s="56" t="s">
        <v>569</v>
      </c>
      <c r="E416" s="56">
        <v>0.8</v>
      </c>
      <c r="F416" s="278">
        <v>45755.502083333333</v>
      </c>
      <c r="G416" s="56">
        <v>1</v>
      </c>
      <c r="H416" s="56">
        <v>51.370800000000003</v>
      </c>
      <c r="I416" s="56">
        <v>10.3689</v>
      </c>
      <c r="J416" s="56">
        <v>11.5389</v>
      </c>
      <c r="K416" s="56">
        <v>13.543862000000001</v>
      </c>
      <c r="L416" s="56">
        <v>997.85799999999995</v>
      </c>
      <c r="M416" s="56">
        <v>60.999290000000002</v>
      </c>
      <c r="N416" s="274">
        <v>8719.5916899999993</v>
      </c>
      <c r="O416" s="56">
        <v>8778.3884799999996</v>
      </c>
      <c r="P416" s="275">
        <v>2091.86</v>
      </c>
      <c r="Q416" s="275">
        <f t="shared" si="4"/>
        <v>2091.86</v>
      </c>
      <c r="R416" s="275" t="s">
        <v>584</v>
      </c>
      <c r="S416" s="275">
        <v>10</v>
      </c>
      <c r="T416" s="275">
        <v>5</v>
      </c>
      <c r="U416" s="275">
        <v>0.7</v>
      </c>
      <c r="V416" s="275">
        <v>0.7</v>
      </c>
      <c r="W416" s="275">
        <v>0.7</v>
      </c>
      <c r="X416" s="56">
        <v>2000</v>
      </c>
      <c r="Y416" s="56" t="s">
        <v>571</v>
      </c>
      <c r="Z416" s="56">
        <v>0.2</v>
      </c>
      <c r="AA416" s="56" t="s">
        <v>572</v>
      </c>
      <c r="AB416" s="56" t="s">
        <v>573</v>
      </c>
      <c r="AC416" s="56">
        <v>220</v>
      </c>
      <c r="AD416" s="277" t="s">
        <v>19</v>
      </c>
      <c r="AE416" s="277"/>
    </row>
    <row r="417" spans="1:31" ht="15.75" x14ac:dyDescent="0.25">
      <c r="A417" s="56" t="s">
        <v>815</v>
      </c>
      <c r="B417" s="56" t="s">
        <v>583</v>
      </c>
      <c r="C417" s="56" t="s">
        <v>537</v>
      </c>
      <c r="D417" s="56" t="s">
        <v>569</v>
      </c>
      <c r="E417" s="56">
        <v>0.8</v>
      </c>
      <c r="F417" s="278">
        <v>45755.504166666666</v>
      </c>
      <c r="G417" s="56">
        <v>1</v>
      </c>
      <c r="H417" s="56">
        <v>51.374099999999999</v>
      </c>
      <c r="I417" s="56">
        <v>10.149800000000001</v>
      </c>
      <c r="J417" s="56">
        <v>11.508956</v>
      </c>
      <c r="K417" s="56">
        <v>12.918606</v>
      </c>
      <c r="L417" s="56">
        <v>1003.53</v>
      </c>
      <c r="M417" s="56">
        <v>67.999274999999997</v>
      </c>
      <c r="N417" s="274">
        <v>8750.56574</v>
      </c>
      <c r="O417" s="56">
        <v>8778.3884799999996</v>
      </c>
      <c r="P417" s="275">
        <v>2091.86</v>
      </c>
      <c r="Q417" s="275">
        <f t="shared" si="4"/>
        <v>2091.86</v>
      </c>
      <c r="R417" s="275" t="s">
        <v>584</v>
      </c>
      <c r="S417" s="275">
        <v>10</v>
      </c>
      <c r="T417" s="275">
        <v>5</v>
      </c>
      <c r="U417" s="275">
        <v>0.7</v>
      </c>
      <c r="V417" s="275">
        <v>0.7</v>
      </c>
      <c r="W417" s="275">
        <v>0.7</v>
      </c>
      <c r="X417" s="56">
        <v>2000</v>
      </c>
      <c r="Y417" s="56" t="s">
        <v>571</v>
      </c>
      <c r="Z417" s="56">
        <v>0.2</v>
      </c>
      <c r="AA417" s="56" t="s">
        <v>572</v>
      </c>
      <c r="AB417" s="56" t="s">
        <v>573</v>
      </c>
      <c r="AC417" s="56">
        <v>220</v>
      </c>
      <c r="AD417" s="277" t="s">
        <v>19</v>
      </c>
      <c r="AE417" s="277"/>
    </row>
    <row r="418" spans="1:31" ht="15.75" x14ac:dyDescent="0.25">
      <c r="A418" s="56" t="s">
        <v>816</v>
      </c>
      <c r="B418" s="56" t="s">
        <v>583</v>
      </c>
      <c r="C418" s="56" t="s">
        <v>537</v>
      </c>
      <c r="D418" s="56" t="s">
        <v>569</v>
      </c>
      <c r="E418" s="56">
        <v>0.8</v>
      </c>
      <c r="F418" s="278">
        <v>45755.506944444445</v>
      </c>
      <c r="G418" s="56">
        <v>1</v>
      </c>
      <c r="H418" s="56">
        <v>51.374099999999999</v>
      </c>
      <c r="I418" s="56">
        <v>10.1677</v>
      </c>
      <c r="J418" s="56">
        <v>11.472331000000001</v>
      </c>
      <c r="K418" s="56">
        <v>12.492963</v>
      </c>
      <c r="L418" s="56">
        <v>991.428</v>
      </c>
      <c r="M418" s="56">
        <v>80.000669000000002</v>
      </c>
      <c r="N418" s="274">
        <v>8776.2369699999999</v>
      </c>
      <c r="O418" s="56">
        <v>8778.3884799999996</v>
      </c>
      <c r="P418" s="275">
        <v>2091.86</v>
      </c>
      <c r="Q418" s="275">
        <f t="shared" si="4"/>
        <v>2091.86</v>
      </c>
      <c r="R418" s="275" t="s">
        <v>570</v>
      </c>
      <c r="S418" s="275">
        <v>10</v>
      </c>
      <c r="T418" s="275">
        <v>5</v>
      </c>
      <c r="U418" s="275">
        <v>0.7</v>
      </c>
      <c r="V418" s="275">
        <v>0.7</v>
      </c>
      <c r="W418" s="275">
        <v>0.7</v>
      </c>
      <c r="X418" s="56">
        <v>2000</v>
      </c>
      <c r="Y418" s="56" t="s">
        <v>571</v>
      </c>
      <c r="Z418" s="56">
        <v>0.2</v>
      </c>
      <c r="AA418" s="56" t="s">
        <v>572</v>
      </c>
      <c r="AB418" s="56" t="s">
        <v>573</v>
      </c>
      <c r="AC418" s="56">
        <v>220</v>
      </c>
      <c r="AD418" s="277" t="s">
        <v>19</v>
      </c>
      <c r="AE418" s="277"/>
    </row>
    <row r="419" spans="1:31" ht="15.75" x14ac:dyDescent="0.25">
      <c r="A419" s="56" t="s">
        <v>817</v>
      </c>
      <c r="B419" s="56" t="s">
        <v>583</v>
      </c>
      <c r="C419" s="56" t="s">
        <v>537</v>
      </c>
      <c r="D419" s="56" t="s">
        <v>569</v>
      </c>
      <c r="E419" s="56">
        <v>0.8</v>
      </c>
      <c r="F419" s="278">
        <v>45755.509722222225</v>
      </c>
      <c r="G419" s="56">
        <v>1</v>
      </c>
      <c r="H419" s="56">
        <v>51.370800000000003</v>
      </c>
      <c r="I419" s="56">
        <v>10.1235</v>
      </c>
      <c r="J419" s="56">
        <v>11.910869</v>
      </c>
      <c r="K419" s="56">
        <v>12.509906000000001</v>
      </c>
      <c r="L419" s="56">
        <v>996.66600000000005</v>
      </c>
      <c r="M419" s="56">
        <v>87.999347</v>
      </c>
      <c r="N419" s="274">
        <v>8780.5399899999993</v>
      </c>
      <c r="O419" s="56">
        <v>8778.3884799999996</v>
      </c>
      <c r="P419" s="275">
        <v>2091.86</v>
      </c>
      <c r="Q419" s="275">
        <f t="shared" si="4"/>
        <v>2091.86</v>
      </c>
      <c r="R419" s="275" t="s">
        <v>570</v>
      </c>
      <c r="S419" s="275">
        <v>10</v>
      </c>
      <c r="T419" s="275">
        <v>5</v>
      </c>
      <c r="U419" s="275">
        <v>0.7</v>
      </c>
      <c r="V419" s="275">
        <v>0.7</v>
      </c>
      <c r="W419" s="275">
        <v>0.7</v>
      </c>
      <c r="X419" s="56">
        <v>2000</v>
      </c>
      <c r="Y419" s="56" t="s">
        <v>571</v>
      </c>
      <c r="Z419" s="56">
        <v>0.2</v>
      </c>
      <c r="AA419" s="56" t="s">
        <v>572</v>
      </c>
      <c r="AB419" s="56" t="s">
        <v>573</v>
      </c>
      <c r="AC419" s="56">
        <v>220</v>
      </c>
      <c r="AD419" s="277" t="s">
        <v>19</v>
      </c>
      <c r="AE419" s="277"/>
    </row>
    <row r="420" spans="1:31" ht="15.75" x14ac:dyDescent="0.25">
      <c r="A420" s="56" t="s">
        <v>818</v>
      </c>
      <c r="B420" s="56" t="s">
        <v>589</v>
      </c>
      <c r="C420" s="56" t="s">
        <v>537</v>
      </c>
      <c r="D420" s="56" t="s">
        <v>569</v>
      </c>
      <c r="E420" s="56">
        <v>1</v>
      </c>
      <c r="F420" s="278">
        <v>45755.513194444444</v>
      </c>
      <c r="G420" s="56">
        <v>1</v>
      </c>
      <c r="H420" s="56">
        <v>51.377400000000002</v>
      </c>
      <c r="I420" s="56">
        <v>10.170999999999999</v>
      </c>
      <c r="J420" s="56">
        <v>11.770006</v>
      </c>
      <c r="K420" s="56">
        <v>13.429494</v>
      </c>
      <c r="L420" s="56">
        <v>1061.83</v>
      </c>
      <c r="M420" s="56">
        <v>65.500505000000004</v>
      </c>
      <c r="N420" s="274">
        <v>10970.501099999999</v>
      </c>
      <c r="O420" s="56">
        <v>10967.3789</v>
      </c>
      <c r="P420" s="275">
        <v>2091.86</v>
      </c>
      <c r="Q420" s="275">
        <f t="shared" si="4"/>
        <v>2091.86</v>
      </c>
      <c r="R420" s="275" t="s">
        <v>570</v>
      </c>
      <c r="S420" s="275">
        <v>10</v>
      </c>
      <c r="T420" s="275">
        <v>5</v>
      </c>
      <c r="U420" s="275">
        <v>0.7</v>
      </c>
      <c r="V420" s="275">
        <v>0.7</v>
      </c>
      <c r="W420" s="275">
        <v>0.7</v>
      </c>
      <c r="X420" s="56">
        <v>2000</v>
      </c>
      <c r="Y420" s="56" t="s">
        <v>571</v>
      </c>
      <c r="Z420" s="56">
        <v>0.2</v>
      </c>
      <c r="AA420" s="56" t="s">
        <v>572</v>
      </c>
      <c r="AB420" s="56" t="s">
        <v>573</v>
      </c>
      <c r="AC420" s="56">
        <v>220</v>
      </c>
      <c r="AD420" s="277" t="s">
        <v>19</v>
      </c>
      <c r="AE420" s="277"/>
    </row>
    <row r="421" spans="1:31" ht="15.75" x14ac:dyDescent="0.25">
      <c r="A421" s="56" t="s">
        <v>819</v>
      </c>
      <c r="B421" s="56" t="s">
        <v>589</v>
      </c>
      <c r="C421" s="56" t="s">
        <v>537</v>
      </c>
      <c r="D421" s="56" t="s">
        <v>569</v>
      </c>
      <c r="E421" s="56">
        <v>1</v>
      </c>
      <c r="F421" s="278">
        <v>45755.515972222223</v>
      </c>
      <c r="G421" s="56">
        <v>1</v>
      </c>
      <c r="H421" s="56">
        <v>51.3675</v>
      </c>
      <c r="I421" s="56">
        <v>10.249700000000001</v>
      </c>
      <c r="J421" s="56">
        <v>11.944969</v>
      </c>
      <c r="K421" s="56">
        <v>13.110061999999999</v>
      </c>
      <c r="L421" s="56">
        <v>1063.0899999999999</v>
      </c>
      <c r="M421" s="56">
        <v>70.50103</v>
      </c>
      <c r="N421" s="274">
        <v>10964.2567</v>
      </c>
      <c r="O421" s="56">
        <v>10967.3789</v>
      </c>
      <c r="P421" s="275">
        <v>2091.86</v>
      </c>
      <c r="Q421" s="275">
        <f t="shared" si="4"/>
        <v>2091.86</v>
      </c>
      <c r="R421" s="275" t="s">
        <v>570</v>
      </c>
      <c r="S421" s="275">
        <v>10</v>
      </c>
      <c r="T421" s="275">
        <v>5</v>
      </c>
      <c r="U421" s="275">
        <v>0.7</v>
      </c>
      <c r="V421" s="275">
        <v>0.7</v>
      </c>
      <c r="W421" s="275">
        <v>0.7</v>
      </c>
      <c r="X421" s="56">
        <v>2000</v>
      </c>
      <c r="Y421" s="56" t="s">
        <v>571</v>
      </c>
      <c r="Z421" s="56">
        <v>0.2</v>
      </c>
      <c r="AA421" s="56" t="s">
        <v>572</v>
      </c>
      <c r="AB421" s="56" t="s">
        <v>573</v>
      </c>
      <c r="AC421" s="56">
        <v>220</v>
      </c>
      <c r="AD421" s="277" t="s">
        <v>19</v>
      </c>
      <c r="AE421" s="277"/>
    </row>
    <row r="422" spans="1:31" ht="15.75" x14ac:dyDescent="0.25">
      <c r="A422" s="56" t="s">
        <v>820</v>
      </c>
      <c r="B422" s="56" t="s">
        <v>594</v>
      </c>
      <c r="C422" s="56" t="s">
        <v>537</v>
      </c>
      <c r="D422" s="56" t="s">
        <v>569</v>
      </c>
      <c r="E422" s="56">
        <v>1.2</v>
      </c>
      <c r="F422" s="278">
        <v>45755.518750000003</v>
      </c>
      <c r="G422" s="56">
        <v>1</v>
      </c>
      <c r="H422" s="56">
        <v>51.3675</v>
      </c>
      <c r="I422" s="56">
        <v>10.084</v>
      </c>
      <c r="J422" s="56">
        <v>11.544931</v>
      </c>
      <c r="K422" s="56">
        <v>13.664137</v>
      </c>
      <c r="L422" s="56">
        <v>1092.92</v>
      </c>
      <c r="M422" s="56">
        <v>72.501001000000002</v>
      </c>
      <c r="N422" s="274">
        <v>13204.3235</v>
      </c>
      <c r="O422" s="56">
        <v>13212.5568</v>
      </c>
      <c r="P422" s="275">
        <v>2091.86</v>
      </c>
      <c r="Q422" s="275">
        <f t="shared" si="4"/>
        <v>2091.86</v>
      </c>
      <c r="R422" s="275" t="s">
        <v>570</v>
      </c>
      <c r="S422" s="275">
        <v>10</v>
      </c>
      <c r="T422" s="275">
        <v>5</v>
      </c>
      <c r="U422" s="275">
        <v>0.7</v>
      </c>
      <c r="V422" s="275">
        <v>0.7</v>
      </c>
      <c r="W422" s="275">
        <v>0.7</v>
      </c>
      <c r="X422" s="56">
        <v>2000</v>
      </c>
      <c r="Y422" s="56" t="s">
        <v>571</v>
      </c>
      <c r="Z422" s="56">
        <v>0.2</v>
      </c>
      <c r="AA422" s="56" t="s">
        <v>572</v>
      </c>
      <c r="AB422" s="56" t="s">
        <v>573</v>
      </c>
      <c r="AC422" s="56">
        <v>220</v>
      </c>
      <c r="AD422" s="277" t="s">
        <v>19</v>
      </c>
      <c r="AE422" s="277"/>
    </row>
    <row r="423" spans="1:31" ht="15.75" x14ac:dyDescent="0.25">
      <c r="A423" s="56" t="s">
        <v>821</v>
      </c>
      <c r="B423" s="56" t="s">
        <v>594</v>
      </c>
      <c r="C423" s="56" t="s">
        <v>537</v>
      </c>
      <c r="D423" s="56" t="s">
        <v>569</v>
      </c>
      <c r="E423" s="56">
        <v>1.2</v>
      </c>
      <c r="F423" s="278">
        <v>45755.521527777775</v>
      </c>
      <c r="G423" s="56">
        <v>1</v>
      </c>
      <c r="H423" s="56">
        <v>51.377400000000002</v>
      </c>
      <c r="I423" s="56">
        <v>10.025600000000001</v>
      </c>
      <c r="J423" s="56">
        <v>11.693706000000001</v>
      </c>
      <c r="K423" s="56">
        <v>13.463462</v>
      </c>
      <c r="L423" s="56">
        <v>1095.27</v>
      </c>
      <c r="M423" s="56">
        <v>75.500048000000007</v>
      </c>
      <c r="N423" s="274">
        <v>13220.7901</v>
      </c>
      <c r="O423" s="56">
        <v>13212.5568</v>
      </c>
      <c r="P423" s="275">
        <v>2091.86</v>
      </c>
      <c r="Q423" s="275">
        <f t="shared" si="4"/>
        <v>2091.86</v>
      </c>
      <c r="R423" s="275" t="s">
        <v>570</v>
      </c>
      <c r="S423" s="275">
        <v>10</v>
      </c>
      <c r="T423" s="275">
        <v>5</v>
      </c>
      <c r="U423" s="275">
        <v>0.7</v>
      </c>
      <c r="V423" s="275">
        <v>0.7</v>
      </c>
      <c r="W423" s="275">
        <v>0.7</v>
      </c>
      <c r="X423" s="56">
        <v>2000</v>
      </c>
      <c r="Y423" s="56" t="s">
        <v>571</v>
      </c>
      <c r="Z423" s="56">
        <v>0.2</v>
      </c>
      <c r="AA423" s="56" t="s">
        <v>572</v>
      </c>
      <c r="AB423" s="56" t="s">
        <v>573</v>
      </c>
      <c r="AC423" s="56">
        <v>220</v>
      </c>
      <c r="AD423" s="277" t="s">
        <v>19</v>
      </c>
      <c r="AE423" s="277"/>
    </row>
    <row r="424" spans="1:31" ht="15.75" x14ac:dyDescent="0.25">
      <c r="A424" s="56" t="s">
        <v>578</v>
      </c>
      <c r="B424" s="56">
        <v>2</v>
      </c>
      <c r="C424" s="56" t="s">
        <v>537</v>
      </c>
      <c r="D424" s="56" t="s">
        <v>569</v>
      </c>
      <c r="E424" s="56">
        <v>1</v>
      </c>
      <c r="F424" s="278">
        <v>45755.524305555555</v>
      </c>
      <c r="G424" s="56">
        <v>1</v>
      </c>
      <c r="H424" s="56">
        <v>51.377400000000002</v>
      </c>
      <c r="I424" s="56">
        <v>9.9075900000000008</v>
      </c>
      <c r="J424" s="56">
        <v>11.76995</v>
      </c>
      <c r="K424" s="56">
        <v>12.343662999999999</v>
      </c>
      <c r="L424" s="56">
        <v>1061.6500000000001</v>
      </c>
      <c r="M424" s="56">
        <v>99.500225999999998</v>
      </c>
      <c r="N424" s="274">
        <v>11058.671</v>
      </c>
      <c r="O424" s="56">
        <v>10976.8629</v>
      </c>
      <c r="P424" s="275">
        <v>2090.12</v>
      </c>
      <c r="Q424" s="275">
        <f t="shared" si="4"/>
        <v>2090.12</v>
      </c>
      <c r="R424" s="275" t="s">
        <v>584</v>
      </c>
      <c r="S424" s="275">
        <v>10</v>
      </c>
      <c r="T424" s="275">
        <v>5</v>
      </c>
      <c r="U424" s="275">
        <v>0.7</v>
      </c>
      <c r="V424" s="275">
        <v>0.7</v>
      </c>
      <c r="W424" s="275">
        <v>0.7</v>
      </c>
      <c r="X424" s="56">
        <v>2000</v>
      </c>
      <c r="Y424" s="56" t="s">
        <v>571</v>
      </c>
      <c r="Z424" s="56">
        <v>0.2</v>
      </c>
      <c r="AA424" s="56" t="s">
        <v>572</v>
      </c>
      <c r="AB424" s="56" t="s">
        <v>573</v>
      </c>
      <c r="AC424" s="56">
        <v>220</v>
      </c>
      <c r="AD424" s="277" t="s">
        <v>19</v>
      </c>
      <c r="AE424" s="277"/>
    </row>
    <row r="425" spans="1:31" ht="15.75" x14ac:dyDescent="0.25">
      <c r="A425" s="280" t="s">
        <v>690</v>
      </c>
      <c r="B425" s="280">
        <v>2</v>
      </c>
      <c r="C425" s="280" t="s">
        <v>537</v>
      </c>
      <c r="D425" s="280" t="s">
        <v>569</v>
      </c>
      <c r="E425" s="280">
        <v>1</v>
      </c>
      <c r="F425" s="281">
        <v>45755.527777777781</v>
      </c>
      <c r="G425" s="280">
        <v>1</v>
      </c>
      <c r="H425" s="280">
        <v>51.370800000000003</v>
      </c>
      <c r="I425" s="280">
        <v>9.9681499999999996</v>
      </c>
      <c r="J425" s="280">
        <v>11.734375</v>
      </c>
      <c r="K425" s="280">
        <v>13.685461999999999</v>
      </c>
      <c r="L425" s="280">
        <v>1065.02</v>
      </c>
      <c r="M425" s="280">
        <v>67.500544000000005</v>
      </c>
      <c r="N425" s="282">
        <v>10972.4732</v>
      </c>
      <c r="O425" s="280">
        <v>10976.8629</v>
      </c>
      <c r="P425" s="283">
        <v>2090.12</v>
      </c>
      <c r="Q425" s="275">
        <f t="shared" si="4"/>
        <v>2090.12</v>
      </c>
      <c r="R425" s="283" t="s">
        <v>570</v>
      </c>
      <c r="S425" s="275">
        <v>10</v>
      </c>
      <c r="T425" s="275">
        <v>5</v>
      </c>
      <c r="U425" s="275">
        <v>0.7</v>
      </c>
      <c r="V425" s="275">
        <v>0.7</v>
      </c>
      <c r="W425" s="275">
        <v>0.7</v>
      </c>
      <c r="X425" s="56">
        <v>2000</v>
      </c>
      <c r="Y425" s="56" t="s">
        <v>571</v>
      </c>
      <c r="Z425" s="56">
        <v>0.2</v>
      </c>
      <c r="AA425" s="56" t="s">
        <v>572</v>
      </c>
      <c r="AB425" s="56" t="s">
        <v>573</v>
      </c>
      <c r="AC425" s="56">
        <v>220</v>
      </c>
      <c r="AD425" s="277" t="s">
        <v>19</v>
      </c>
      <c r="AE425" s="277"/>
    </row>
    <row r="426" spans="1:31" ht="15.75" x14ac:dyDescent="0.25">
      <c r="A426" s="280" t="s">
        <v>739</v>
      </c>
      <c r="B426" s="280">
        <v>2</v>
      </c>
      <c r="C426" s="280" t="s">
        <v>537</v>
      </c>
      <c r="D426" s="280" t="s">
        <v>569</v>
      </c>
      <c r="E426" s="280">
        <v>1</v>
      </c>
      <c r="F426" s="281">
        <v>45755.530555555553</v>
      </c>
      <c r="G426" s="280">
        <v>1</v>
      </c>
      <c r="H426" s="280">
        <v>51.377400000000002</v>
      </c>
      <c r="I426" s="280">
        <v>9.8618299999999994</v>
      </c>
      <c r="J426" s="280">
        <v>11.771969</v>
      </c>
      <c r="K426" s="280">
        <v>13.491788</v>
      </c>
      <c r="L426" s="280">
        <v>1062.0999999999999</v>
      </c>
      <c r="M426" s="280">
        <v>71.999610000000004</v>
      </c>
      <c r="N426" s="282">
        <v>10981.252699999999</v>
      </c>
      <c r="O426" s="280">
        <v>10976.8629</v>
      </c>
      <c r="P426" s="283">
        <v>2090.12</v>
      </c>
      <c r="Q426" s="275">
        <f t="shared" si="4"/>
        <v>2090.12</v>
      </c>
      <c r="R426" s="283" t="s">
        <v>570</v>
      </c>
      <c r="S426" s="275">
        <v>10</v>
      </c>
      <c r="T426" s="275">
        <v>5</v>
      </c>
      <c r="U426" s="275">
        <v>0.7</v>
      </c>
      <c r="V426" s="275">
        <v>0.7</v>
      </c>
      <c r="W426" s="275">
        <v>0.7</v>
      </c>
      <c r="X426" s="56">
        <v>2000</v>
      </c>
      <c r="Y426" s="56" t="s">
        <v>571</v>
      </c>
      <c r="Z426" s="56">
        <v>0.2</v>
      </c>
      <c r="AA426" s="56" t="s">
        <v>572</v>
      </c>
      <c r="AB426" s="56" t="s">
        <v>573</v>
      </c>
      <c r="AC426" s="56">
        <v>220</v>
      </c>
      <c r="AD426" s="277" t="s">
        <v>19</v>
      </c>
      <c r="AE426" s="277"/>
    </row>
    <row r="427" spans="1:31" ht="15.75" x14ac:dyDescent="0.25">
      <c r="A427" s="56" t="s">
        <v>579</v>
      </c>
      <c r="B427" s="56">
        <v>3</v>
      </c>
      <c r="C427" s="56">
        <v>300</v>
      </c>
      <c r="D427" s="56" t="s">
        <v>600</v>
      </c>
      <c r="E427" s="56">
        <v>1</v>
      </c>
      <c r="F427" s="278">
        <v>45755.53402777778</v>
      </c>
      <c r="G427" s="56">
        <v>1</v>
      </c>
      <c r="H427" s="56">
        <v>51.370800000000003</v>
      </c>
      <c r="I427" s="56">
        <v>9.9245800000000006</v>
      </c>
      <c r="J427" s="56">
        <v>11.840406</v>
      </c>
      <c r="K427" s="56">
        <v>13.226413000000001</v>
      </c>
      <c r="L427" s="56">
        <v>1070</v>
      </c>
      <c r="M427" s="56">
        <v>76.000669000000002</v>
      </c>
      <c r="N427" s="274">
        <v>10885.998299999999</v>
      </c>
      <c r="O427" s="56">
        <v>10881.5167</v>
      </c>
      <c r="P427" s="275">
        <v>2072.12</v>
      </c>
      <c r="Q427" s="275">
        <f t="shared" si="4"/>
        <v>2072.12</v>
      </c>
      <c r="R427" s="275" t="s">
        <v>570</v>
      </c>
      <c r="S427" s="275">
        <v>10</v>
      </c>
      <c r="T427" s="275">
        <v>5</v>
      </c>
      <c r="U427" s="275">
        <v>0.7</v>
      </c>
      <c r="V427" s="275">
        <v>0.7</v>
      </c>
      <c r="W427" s="275">
        <v>0.7</v>
      </c>
      <c r="X427" s="56">
        <v>2000</v>
      </c>
      <c r="Y427" s="56" t="s">
        <v>571</v>
      </c>
      <c r="Z427" s="56">
        <v>0.2</v>
      </c>
      <c r="AA427" s="56" t="s">
        <v>572</v>
      </c>
      <c r="AB427" s="56" t="s">
        <v>573</v>
      </c>
      <c r="AC427" s="56">
        <v>220</v>
      </c>
      <c r="AD427" s="277" t="s">
        <v>19</v>
      </c>
      <c r="AE427" s="277"/>
    </row>
    <row r="428" spans="1:31" ht="15.75" x14ac:dyDescent="0.25">
      <c r="A428" s="56" t="s">
        <v>691</v>
      </c>
      <c r="B428" s="56">
        <v>3</v>
      </c>
      <c r="C428" s="56">
        <v>300</v>
      </c>
      <c r="D428" s="56" t="s">
        <v>600</v>
      </c>
      <c r="E428" s="56">
        <v>1</v>
      </c>
      <c r="F428" s="278">
        <v>45755.536805555559</v>
      </c>
      <c r="G428" s="56">
        <v>1</v>
      </c>
      <c r="H428" s="56">
        <v>51.377400000000002</v>
      </c>
      <c r="I428" s="56">
        <v>10.055400000000001</v>
      </c>
      <c r="J428" s="56">
        <v>11.928661999999999</v>
      </c>
      <c r="K428" s="56">
        <v>13.217656</v>
      </c>
      <c r="L428" s="56">
        <v>1043.48</v>
      </c>
      <c r="M428" s="56">
        <v>71.000095999999999</v>
      </c>
      <c r="N428" s="274">
        <v>10877.035099999999</v>
      </c>
      <c r="O428" s="56">
        <v>10881.5167</v>
      </c>
      <c r="P428" s="275">
        <v>2072.12</v>
      </c>
      <c r="Q428" s="275">
        <f t="shared" si="4"/>
        <v>2072.12</v>
      </c>
      <c r="R428" s="275" t="s">
        <v>570</v>
      </c>
      <c r="S428" s="275">
        <v>10</v>
      </c>
      <c r="T428" s="275">
        <v>5</v>
      </c>
      <c r="U428" s="275">
        <v>0.7</v>
      </c>
      <c r="V428" s="275">
        <v>0.7</v>
      </c>
      <c r="W428" s="275">
        <v>0.7</v>
      </c>
      <c r="X428" s="56">
        <v>2000</v>
      </c>
      <c r="Y428" s="56" t="s">
        <v>571</v>
      </c>
      <c r="Z428" s="56">
        <v>0.2</v>
      </c>
      <c r="AA428" s="56" t="s">
        <v>572</v>
      </c>
      <c r="AB428" s="56" t="s">
        <v>573</v>
      </c>
      <c r="AC428" s="56">
        <v>220</v>
      </c>
      <c r="AD428" s="277" t="s">
        <v>19</v>
      </c>
      <c r="AE428" s="277"/>
    </row>
    <row r="429" spans="1:31" ht="15.75" x14ac:dyDescent="0.25">
      <c r="A429" s="56" t="s">
        <v>580</v>
      </c>
      <c r="B429" s="56">
        <v>4</v>
      </c>
      <c r="C429" s="56">
        <v>301</v>
      </c>
      <c r="D429" s="56" t="s">
        <v>604</v>
      </c>
      <c r="E429" s="56">
        <v>1</v>
      </c>
      <c r="F429" s="278">
        <v>45755.540277777778</v>
      </c>
      <c r="G429" s="56">
        <v>1</v>
      </c>
      <c r="H429" s="56">
        <v>51.370800000000003</v>
      </c>
      <c r="I429" s="56">
        <v>9.9805799999999998</v>
      </c>
      <c r="J429" s="56">
        <v>11.820356</v>
      </c>
      <c r="K429" s="56">
        <v>13.635731</v>
      </c>
      <c r="L429" s="56">
        <v>1051.97</v>
      </c>
      <c r="M429" s="56">
        <v>69.000823999999994</v>
      </c>
      <c r="N429" s="274">
        <v>10838.1872</v>
      </c>
      <c r="O429" s="56">
        <v>10859.0255</v>
      </c>
      <c r="P429" s="275">
        <v>2067.88</v>
      </c>
      <c r="Q429" s="275">
        <f t="shared" si="4"/>
        <v>2067.88</v>
      </c>
      <c r="R429" s="275" t="s">
        <v>584</v>
      </c>
      <c r="S429" s="275">
        <v>10</v>
      </c>
      <c r="T429" s="275">
        <v>5</v>
      </c>
      <c r="U429" s="275">
        <v>0.7</v>
      </c>
      <c r="V429" s="275">
        <v>0.7</v>
      </c>
      <c r="W429" s="275">
        <v>0.7</v>
      </c>
      <c r="X429" s="56">
        <v>2000</v>
      </c>
      <c r="Y429" s="56" t="s">
        <v>571</v>
      </c>
      <c r="Z429" s="56">
        <v>0.2</v>
      </c>
      <c r="AA429" s="56" t="s">
        <v>572</v>
      </c>
      <c r="AB429" s="56" t="s">
        <v>573</v>
      </c>
      <c r="AC429" s="56">
        <v>220</v>
      </c>
      <c r="AD429" s="277" t="s">
        <v>19</v>
      </c>
      <c r="AE429" s="177"/>
    </row>
    <row r="430" spans="1:31" ht="15.75" x14ac:dyDescent="0.25">
      <c r="A430" s="56" t="s">
        <v>694</v>
      </c>
      <c r="B430" s="56">
        <v>4</v>
      </c>
      <c r="C430" s="56">
        <v>301</v>
      </c>
      <c r="D430" s="56" t="s">
        <v>604</v>
      </c>
      <c r="E430" s="56">
        <v>1</v>
      </c>
      <c r="F430" s="278">
        <v>45755.543055555558</v>
      </c>
      <c r="G430" s="56">
        <v>1</v>
      </c>
      <c r="H430" s="56">
        <v>51.374099999999999</v>
      </c>
      <c r="I430" s="56">
        <v>9.9953599999999998</v>
      </c>
      <c r="J430" s="56">
        <v>11.779906</v>
      </c>
      <c r="K430" s="56">
        <v>12.939330999999999</v>
      </c>
      <c r="L430" s="56">
        <v>1054.5999999999999</v>
      </c>
      <c r="M430" s="56">
        <v>80.999246999999997</v>
      </c>
      <c r="N430" s="274">
        <v>10866.6525</v>
      </c>
      <c r="O430" s="56">
        <v>10859.0255</v>
      </c>
      <c r="P430" s="275">
        <v>2067.88</v>
      </c>
      <c r="Q430" s="275">
        <f t="shared" si="4"/>
        <v>2067.88</v>
      </c>
      <c r="R430" s="275" t="s">
        <v>570</v>
      </c>
      <c r="S430" s="275">
        <v>10</v>
      </c>
      <c r="T430" s="275">
        <v>5</v>
      </c>
      <c r="U430" s="275">
        <v>0.7</v>
      </c>
      <c r="V430" s="275">
        <v>0.7</v>
      </c>
      <c r="W430" s="275">
        <v>0.7</v>
      </c>
      <c r="X430" s="56">
        <v>2000</v>
      </c>
      <c r="Y430" s="56" t="s">
        <v>571</v>
      </c>
      <c r="Z430" s="56">
        <v>0.2</v>
      </c>
      <c r="AA430" s="56" t="s">
        <v>572</v>
      </c>
      <c r="AB430" s="56" t="s">
        <v>573</v>
      </c>
      <c r="AC430" s="56">
        <v>220</v>
      </c>
      <c r="AD430" s="277" t="s">
        <v>19</v>
      </c>
      <c r="AE430" s="177"/>
    </row>
    <row r="431" spans="1:31" ht="15.75" x14ac:dyDescent="0.25">
      <c r="A431" s="56" t="s">
        <v>744</v>
      </c>
      <c r="B431" s="56">
        <v>4</v>
      </c>
      <c r="C431" s="56">
        <v>301</v>
      </c>
      <c r="D431" s="56" t="s">
        <v>604</v>
      </c>
      <c r="E431" s="56">
        <v>1</v>
      </c>
      <c r="F431" s="278">
        <v>45755.54583333333</v>
      </c>
      <c r="G431" s="56">
        <v>1</v>
      </c>
      <c r="H431" s="56">
        <v>51.370800000000003</v>
      </c>
      <c r="I431" s="56">
        <v>9.9740900000000003</v>
      </c>
      <c r="J431" s="56">
        <v>11.872806000000001</v>
      </c>
      <c r="K431" s="56">
        <v>13.595731000000001</v>
      </c>
      <c r="L431" s="56">
        <v>1055.8</v>
      </c>
      <c r="M431" s="56">
        <v>69.499497000000005</v>
      </c>
      <c r="N431" s="274">
        <v>10851.398499999999</v>
      </c>
      <c r="O431" s="56">
        <v>10859.0255</v>
      </c>
      <c r="P431" s="275">
        <v>2067.88</v>
      </c>
      <c r="Q431" s="275">
        <f t="shared" si="4"/>
        <v>2067.88</v>
      </c>
      <c r="R431" s="275" t="s">
        <v>570</v>
      </c>
      <c r="S431" s="275">
        <v>10</v>
      </c>
      <c r="T431" s="275">
        <v>5</v>
      </c>
      <c r="U431" s="275">
        <v>0.7</v>
      </c>
      <c r="V431" s="275">
        <v>0.7</v>
      </c>
      <c r="W431" s="275">
        <v>0.7</v>
      </c>
      <c r="X431" s="56">
        <v>2000</v>
      </c>
      <c r="Y431" s="56" t="s">
        <v>571</v>
      </c>
      <c r="Z431" s="56">
        <v>0.2</v>
      </c>
      <c r="AA431" s="56" t="s">
        <v>572</v>
      </c>
      <c r="AB431" s="56" t="s">
        <v>573</v>
      </c>
      <c r="AC431" s="56">
        <v>220</v>
      </c>
      <c r="AD431" s="277" t="s">
        <v>19</v>
      </c>
      <c r="AE431" s="177"/>
    </row>
    <row r="432" spans="1:31" ht="15.75" x14ac:dyDescent="0.25">
      <c r="A432" s="56" t="s">
        <v>581</v>
      </c>
      <c r="B432" s="56">
        <v>5</v>
      </c>
      <c r="C432" s="56">
        <v>209</v>
      </c>
      <c r="D432" s="56" t="s">
        <v>608</v>
      </c>
      <c r="E432" s="56">
        <v>1</v>
      </c>
      <c r="F432" s="278">
        <v>45755.549305555556</v>
      </c>
      <c r="G432" s="56">
        <v>1</v>
      </c>
      <c r="H432" s="56">
        <v>51.374099999999999</v>
      </c>
      <c r="I432" s="56">
        <v>9.9021399999999993</v>
      </c>
      <c r="J432" s="56">
        <v>11.947912000000001</v>
      </c>
      <c r="K432" s="56">
        <v>13.411830999999999</v>
      </c>
      <c r="L432" s="56">
        <v>1055.8</v>
      </c>
      <c r="M432" s="56">
        <v>72.999431999999999</v>
      </c>
      <c r="N432" s="274">
        <v>10853.3377</v>
      </c>
      <c r="O432" s="56">
        <v>0</v>
      </c>
      <c r="P432" s="275">
        <v>0</v>
      </c>
      <c r="Q432" s="275">
        <f t="shared" si="4"/>
        <v>0</v>
      </c>
      <c r="R432" s="275" t="s">
        <v>609</v>
      </c>
      <c r="S432" s="275">
        <v>10</v>
      </c>
      <c r="T432" s="275">
        <v>5</v>
      </c>
      <c r="U432" s="275">
        <v>0.7</v>
      </c>
      <c r="V432" s="275">
        <v>0.7</v>
      </c>
      <c r="W432" s="275">
        <v>0.7</v>
      </c>
      <c r="X432" s="56">
        <v>2000</v>
      </c>
      <c r="Y432" s="56" t="s">
        <v>571</v>
      </c>
      <c r="Z432" s="56">
        <v>0.2</v>
      </c>
      <c r="AA432" s="56" t="s">
        <v>572</v>
      </c>
      <c r="AB432" s="56" t="s">
        <v>573</v>
      </c>
      <c r="AC432" s="56">
        <v>220</v>
      </c>
      <c r="AD432" s="277" t="s">
        <v>610</v>
      </c>
      <c r="AE432" s="177"/>
    </row>
    <row r="433" spans="1:31" ht="15.75" x14ac:dyDescent="0.25">
      <c r="A433" s="56" t="s">
        <v>695</v>
      </c>
      <c r="B433" s="56">
        <v>5</v>
      </c>
      <c r="C433" s="56">
        <v>209</v>
      </c>
      <c r="D433" s="56" t="s">
        <v>608</v>
      </c>
      <c r="E433" s="56">
        <v>1</v>
      </c>
      <c r="F433" s="278">
        <v>45755.552083333336</v>
      </c>
      <c r="G433" s="56">
        <v>1</v>
      </c>
      <c r="H433" s="56">
        <v>51.374099999999999</v>
      </c>
      <c r="I433" s="56">
        <v>9.9133800000000001</v>
      </c>
      <c r="J433" s="56">
        <v>11.844963</v>
      </c>
      <c r="K433" s="56">
        <v>12.525613</v>
      </c>
      <c r="L433" s="56">
        <v>1046.1099999999999</v>
      </c>
      <c r="M433" s="56">
        <v>98.001191000000006</v>
      </c>
      <c r="N433" s="274">
        <v>10896.620999999999</v>
      </c>
      <c r="O433" s="56">
        <v>0</v>
      </c>
      <c r="P433" s="275">
        <v>0</v>
      </c>
      <c r="Q433" s="275">
        <f t="shared" si="4"/>
        <v>0</v>
      </c>
      <c r="R433" s="275" t="s">
        <v>609</v>
      </c>
      <c r="S433" s="275">
        <v>10</v>
      </c>
      <c r="T433" s="275">
        <v>5</v>
      </c>
      <c r="U433" s="275">
        <v>0.7</v>
      </c>
      <c r="V433" s="275">
        <v>0.7</v>
      </c>
      <c r="W433" s="275">
        <v>0.7</v>
      </c>
      <c r="X433" s="56">
        <v>2000</v>
      </c>
      <c r="Y433" s="56" t="s">
        <v>571</v>
      </c>
      <c r="Z433" s="56">
        <v>0.2</v>
      </c>
      <c r="AA433" s="56" t="s">
        <v>572</v>
      </c>
      <c r="AB433" s="56" t="s">
        <v>573</v>
      </c>
      <c r="AC433" s="56">
        <v>220</v>
      </c>
      <c r="AD433" s="277" t="s">
        <v>610</v>
      </c>
      <c r="AE433" s="177"/>
    </row>
    <row r="434" spans="1:31" ht="15.75" x14ac:dyDescent="0.25">
      <c r="A434" s="56" t="s">
        <v>696</v>
      </c>
      <c r="B434" s="56">
        <v>5</v>
      </c>
      <c r="C434" s="56">
        <v>209</v>
      </c>
      <c r="D434" s="56" t="s">
        <v>608</v>
      </c>
      <c r="E434" s="56">
        <v>1</v>
      </c>
      <c r="F434" s="278">
        <v>45755.554861111108</v>
      </c>
      <c r="G434" s="56">
        <v>1</v>
      </c>
      <c r="H434" s="56">
        <v>51.377400000000002</v>
      </c>
      <c r="I434" s="56">
        <v>9.9848999999999997</v>
      </c>
      <c r="J434" s="56">
        <v>11.979963</v>
      </c>
      <c r="K434" s="56">
        <v>13.390362</v>
      </c>
      <c r="L434" s="56">
        <v>1049.98</v>
      </c>
      <c r="M434" s="56">
        <v>75.000992999999994</v>
      </c>
      <c r="N434" s="274">
        <v>10868.034100000001</v>
      </c>
      <c r="O434" s="56">
        <v>0</v>
      </c>
      <c r="P434" s="275">
        <v>0</v>
      </c>
      <c r="Q434" s="275">
        <f t="shared" si="4"/>
        <v>0</v>
      </c>
      <c r="R434" s="275" t="s">
        <v>609</v>
      </c>
      <c r="S434" s="275">
        <v>10</v>
      </c>
      <c r="T434" s="275">
        <v>5</v>
      </c>
      <c r="U434" s="275">
        <v>0.7</v>
      </c>
      <c r="V434" s="275">
        <v>0.7</v>
      </c>
      <c r="W434" s="275">
        <v>0.7</v>
      </c>
      <c r="X434" s="56">
        <v>2000</v>
      </c>
      <c r="Y434" s="56" t="s">
        <v>571</v>
      </c>
      <c r="Z434" s="56">
        <v>0.2</v>
      </c>
      <c r="AA434" s="56" t="s">
        <v>572</v>
      </c>
      <c r="AB434" s="56" t="s">
        <v>573</v>
      </c>
      <c r="AC434" s="56">
        <v>220</v>
      </c>
      <c r="AD434" s="277" t="s">
        <v>610</v>
      </c>
      <c r="AE434" s="177"/>
    </row>
    <row r="435" spans="1:31" ht="15.75" x14ac:dyDescent="0.25">
      <c r="A435" s="56" t="s">
        <v>822</v>
      </c>
      <c r="B435" s="56">
        <v>5</v>
      </c>
      <c r="C435" s="56">
        <v>209</v>
      </c>
      <c r="D435" s="56" t="s">
        <v>608</v>
      </c>
      <c r="E435" s="56">
        <v>1</v>
      </c>
      <c r="F435" s="278">
        <v>45755.557638888888</v>
      </c>
      <c r="G435" s="56">
        <v>1</v>
      </c>
      <c r="H435" s="56">
        <v>51.377400000000002</v>
      </c>
      <c r="I435" s="56">
        <v>9.9655500000000004</v>
      </c>
      <c r="J435" s="56">
        <v>11.966806</v>
      </c>
      <c r="K435" s="56">
        <v>13.209111999999999</v>
      </c>
      <c r="L435" s="56">
        <v>1036.25</v>
      </c>
      <c r="M435" s="56">
        <v>71.500438000000003</v>
      </c>
      <c r="N435" s="274">
        <v>10844.903</v>
      </c>
      <c r="O435" s="56">
        <v>0</v>
      </c>
      <c r="P435" s="275">
        <v>0</v>
      </c>
      <c r="Q435" s="275">
        <f t="shared" si="4"/>
        <v>0</v>
      </c>
      <c r="R435" s="275" t="s">
        <v>609</v>
      </c>
      <c r="S435" s="275">
        <v>10</v>
      </c>
      <c r="T435" s="275">
        <v>5</v>
      </c>
      <c r="U435" s="275">
        <v>0.7</v>
      </c>
      <c r="V435" s="275">
        <v>0.7</v>
      </c>
      <c r="W435" s="275">
        <v>0.7</v>
      </c>
      <c r="X435" s="56">
        <v>2000</v>
      </c>
      <c r="Y435" s="56" t="s">
        <v>571</v>
      </c>
      <c r="Z435" s="56">
        <v>0.2</v>
      </c>
      <c r="AA435" s="56" t="s">
        <v>572</v>
      </c>
      <c r="AB435" s="56" t="s">
        <v>573</v>
      </c>
      <c r="AC435" s="56">
        <v>220</v>
      </c>
      <c r="AD435" s="277" t="s">
        <v>610</v>
      </c>
      <c r="AE435" s="177"/>
    </row>
    <row r="436" spans="1:31" ht="15.75" x14ac:dyDescent="0.25">
      <c r="A436" s="56" t="s">
        <v>823</v>
      </c>
      <c r="B436" s="56">
        <v>5</v>
      </c>
      <c r="C436" s="56">
        <v>209</v>
      </c>
      <c r="D436" s="56" t="s">
        <v>608</v>
      </c>
      <c r="E436" s="56">
        <v>1</v>
      </c>
      <c r="F436" s="278">
        <v>45755.560416666667</v>
      </c>
      <c r="G436" s="56">
        <v>1</v>
      </c>
      <c r="H436" s="56">
        <v>51.370800000000003</v>
      </c>
      <c r="I436" s="56">
        <v>9.8893599999999999</v>
      </c>
      <c r="J436" s="56">
        <v>11.898099999999999</v>
      </c>
      <c r="K436" s="56">
        <v>12.804681</v>
      </c>
      <c r="L436" s="56">
        <v>1064</v>
      </c>
      <c r="M436" s="56">
        <v>82.500508999999994</v>
      </c>
      <c r="N436" s="274">
        <v>10908.0198</v>
      </c>
      <c r="O436" s="56">
        <v>0</v>
      </c>
      <c r="P436" s="275">
        <v>0</v>
      </c>
      <c r="Q436" s="275">
        <f t="shared" si="4"/>
        <v>0</v>
      </c>
      <c r="R436" s="275" t="s">
        <v>609</v>
      </c>
      <c r="S436" s="275">
        <v>10</v>
      </c>
      <c r="T436" s="275">
        <v>5</v>
      </c>
      <c r="U436" s="275">
        <v>0.7</v>
      </c>
      <c r="V436" s="275">
        <v>0.7</v>
      </c>
      <c r="W436" s="275">
        <v>0.7</v>
      </c>
      <c r="X436" s="56">
        <v>2000</v>
      </c>
      <c r="Y436" s="56" t="s">
        <v>571</v>
      </c>
      <c r="Z436" s="56">
        <v>0.2</v>
      </c>
      <c r="AA436" s="56" t="s">
        <v>572</v>
      </c>
      <c r="AB436" s="56" t="s">
        <v>573</v>
      </c>
      <c r="AC436" s="56">
        <v>220</v>
      </c>
      <c r="AD436" s="277" t="s">
        <v>610</v>
      </c>
      <c r="AE436" s="177"/>
    </row>
    <row r="437" spans="1:31" ht="15.75" x14ac:dyDescent="0.25">
      <c r="A437" s="56" t="s">
        <v>824</v>
      </c>
      <c r="B437" s="56">
        <v>5</v>
      </c>
      <c r="C437" s="56">
        <v>209</v>
      </c>
      <c r="D437" s="56" t="s">
        <v>608</v>
      </c>
      <c r="E437" s="56">
        <v>1</v>
      </c>
      <c r="F437" s="278">
        <v>45755.563888888886</v>
      </c>
      <c r="G437" s="56">
        <v>2</v>
      </c>
      <c r="H437" s="56">
        <v>51.370800000000003</v>
      </c>
      <c r="I437" s="56">
        <v>9.9227299999999996</v>
      </c>
      <c r="J437" s="56">
        <v>12.086031</v>
      </c>
      <c r="K437" s="56">
        <v>12.77455</v>
      </c>
      <c r="L437" s="56">
        <v>1028.49</v>
      </c>
      <c r="M437" s="56">
        <v>85.500547999999995</v>
      </c>
      <c r="N437" s="274">
        <v>10911.9267</v>
      </c>
      <c r="O437" s="56">
        <v>10915.906499999999</v>
      </c>
      <c r="P437" s="275">
        <v>2078.61</v>
      </c>
      <c r="Q437" s="275">
        <f t="shared" si="4"/>
        <v>2078.61</v>
      </c>
      <c r="R437" s="275" t="s">
        <v>570</v>
      </c>
      <c r="S437" s="275">
        <v>10</v>
      </c>
      <c r="T437" s="275">
        <v>5</v>
      </c>
      <c r="U437" s="275">
        <v>0.7</v>
      </c>
      <c r="V437" s="275">
        <v>0.7</v>
      </c>
      <c r="W437" s="275">
        <v>0.7</v>
      </c>
      <c r="X437" s="56">
        <v>2000</v>
      </c>
      <c r="Y437" s="56" t="s">
        <v>571</v>
      </c>
      <c r="Z437" s="56">
        <v>0.2</v>
      </c>
      <c r="AA437" s="56" t="s">
        <v>572</v>
      </c>
      <c r="AB437" s="56" t="s">
        <v>573</v>
      </c>
      <c r="AC437" s="56">
        <v>220</v>
      </c>
      <c r="AD437" s="277" t="s">
        <v>19</v>
      </c>
      <c r="AE437" s="177"/>
    </row>
    <row r="438" spans="1:31" ht="15.75" x14ac:dyDescent="0.25">
      <c r="A438" s="56" t="s">
        <v>825</v>
      </c>
      <c r="B438" s="56">
        <v>5</v>
      </c>
      <c r="C438" s="56">
        <v>209</v>
      </c>
      <c r="D438" s="56" t="s">
        <v>608</v>
      </c>
      <c r="E438" s="56">
        <v>1</v>
      </c>
      <c r="F438" s="278">
        <v>45755.566666666666</v>
      </c>
      <c r="G438" s="56">
        <v>2</v>
      </c>
      <c r="H438" s="56">
        <v>51.374099999999999</v>
      </c>
      <c r="I438" s="56">
        <v>9.9367800000000006</v>
      </c>
      <c r="J438" s="56">
        <v>12.009824999999999</v>
      </c>
      <c r="K438" s="56">
        <v>12.708513</v>
      </c>
      <c r="L438" s="56">
        <v>1065.03</v>
      </c>
      <c r="M438" s="56">
        <v>84.999881000000002</v>
      </c>
      <c r="N438" s="274">
        <v>10919.886399999999</v>
      </c>
      <c r="O438" s="56">
        <v>10915.906499999999</v>
      </c>
      <c r="P438" s="275">
        <v>2078.61</v>
      </c>
      <c r="Q438" s="275">
        <f t="shared" si="4"/>
        <v>2078.61</v>
      </c>
      <c r="R438" s="275" t="s">
        <v>570</v>
      </c>
      <c r="S438" s="275">
        <v>10</v>
      </c>
      <c r="T438" s="275">
        <v>5</v>
      </c>
      <c r="U438" s="275">
        <v>0.7</v>
      </c>
      <c r="V438" s="275">
        <v>0.7</v>
      </c>
      <c r="W438" s="275">
        <v>0.7</v>
      </c>
      <c r="X438" s="56">
        <v>2000</v>
      </c>
      <c r="Y438" s="56" t="s">
        <v>571</v>
      </c>
      <c r="Z438" s="56">
        <v>0.2</v>
      </c>
      <c r="AA438" s="56" t="s">
        <v>572</v>
      </c>
      <c r="AB438" s="56" t="s">
        <v>573</v>
      </c>
      <c r="AC438" s="56">
        <v>220</v>
      </c>
      <c r="AD438" s="277" t="s">
        <v>19</v>
      </c>
      <c r="AE438" s="177"/>
    </row>
    <row r="439" spans="1:31" ht="15.75" x14ac:dyDescent="0.25">
      <c r="A439" s="56" t="s">
        <v>697</v>
      </c>
      <c r="B439" s="56">
        <v>6</v>
      </c>
      <c r="C439" s="56">
        <v>210</v>
      </c>
      <c r="D439" s="56" t="s">
        <v>618</v>
      </c>
      <c r="E439" s="56">
        <v>1</v>
      </c>
      <c r="F439" s="278">
        <v>45755.570138888892</v>
      </c>
      <c r="G439" s="56">
        <v>1</v>
      </c>
      <c r="H439" s="56">
        <v>51.377400000000002</v>
      </c>
      <c r="I439" s="56">
        <v>9.9018300000000004</v>
      </c>
      <c r="J439" s="56">
        <v>11.971844000000001</v>
      </c>
      <c r="K439" s="56">
        <v>13.388906</v>
      </c>
      <c r="L439" s="56">
        <v>1058.83</v>
      </c>
      <c r="M439" s="56">
        <v>69.501020999999994</v>
      </c>
      <c r="N439" s="274">
        <v>10876.274600000001</v>
      </c>
      <c r="O439" s="56">
        <v>10875.9257</v>
      </c>
      <c r="P439" s="275">
        <v>2071.0700000000002</v>
      </c>
      <c r="Q439" s="275">
        <f t="shared" si="4"/>
        <v>2071.0700000000002</v>
      </c>
      <c r="R439" s="275" t="s">
        <v>570</v>
      </c>
      <c r="S439" s="275">
        <v>10</v>
      </c>
      <c r="T439" s="275">
        <v>5</v>
      </c>
      <c r="U439" s="275">
        <v>0.7</v>
      </c>
      <c r="V439" s="275">
        <v>0.7</v>
      </c>
      <c r="W439" s="275">
        <v>0.7</v>
      </c>
      <c r="X439" s="56">
        <v>2000</v>
      </c>
      <c r="Y439" s="56" t="s">
        <v>571</v>
      </c>
      <c r="Z439" s="56">
        <v>0.2</v>
      </c>
      <c r="AA439" s="56" t="s">
        <v>572</v>
      </c>
      <c r="AB439" s="56" t="s">
        <v>573</v>
      </c>
      <c r="AC439" s="56">
        <v>220</v>
      </c>
      <c r="AD439" s="277" t="s">
        <v>19</v>
      </c>
      <c r="AE439" s="177"/>
    </row>
    <row r="440" spans="1:31" ht="15.75" x14ac:dyDescent="0.25">
      <c r="A440" s="56" t="s">
        <v>698</v>
      </c>
      <c r="B440" s="56">
        <v>6</v>
      </c>
      <c r="C440" s="56">
        <v>210</v>
      </c>
      <c r="D440" s="56" t="s">
        <v>618</v>
      </c>
      <c r="E440" s="56">
        <v>1</v>
      </c>
      <c r="F440" s="278">
        <v>45755.572916666664</v>
      </c>
      <c r="G440" s="56">
        <v>1</v>
      </c>
      <c r="H440" s="56">
        <v>51.370800000000003</v>
      </c>
      <c r="I440" s="56">
        <v>10.002000000000001</v>
      </c>
      <c r="J440" s="56">
        <v>11.919337000000001</v>
      </c>
      <c r="K440" s="56">
        <v>13.336987000000001</v>
      </c>
      <c r="L440" s="56">
        <v>1055.3499999999999</v>
      </c>
      <c r="M440" s="56">
        <v>70.000095000000002</v>
      </c>
      <c r="N440" s="274">
        <v>10875.5767</v>
      </c>
      <c r="O440" s="56">
        <v>10875.9257</v>
      </c>
      <c r="P440" s="275">
        <v>2071.0700000000002</v>
      </c>
      <c r="Q440" s="275">
        <f t="shared" si="4"/>
        <v>2071.0700000000002</v>
      </c>
      <c r="R440" s="275" t="s">
        <v>570</v>
      </c>
      <c r="S440" s="275">
        <v>10</v>
      </c>
      <c r="T440" s="275">
        <v>5</v>
      </c>
      <c r="U440" s="275">
        <v>0.7</v>
      </c>
      <c r="V440" s="275">
        <v>0.7</v>
      </c>
      <c r="W440" s="275">
        <v>0.7</v>
      </c>
      <c r="X440" s="56">
        <v>2000</v>
      </c>
      <c r="Y440" s="56" t="s">
        <v>571</v>
      </c>
      <c r="Z440" s="56">
        <v>0.2</v>
      </c>
      <c r="AA440" s="56" t="s">
        <v>572</v>
      </c>
      <c r="AB440" s="56" t="s">
        <v>573</v>
      </c>
      <c r="AC440" s="56">
        <v>220</v>
      </c>
      <c r="AD440" s="277" t="s">
        <v>19</v>
      </c>
      <c r="AE440" s="177"/>
    </row>
    <row r="441" spans="1:31" ht="15.75" x14ac:dyDescent="0.25">
      <c r="A441" s="56" t="s">
        <v>596</v>
      </c>
      <c r="B441" s="56">
        <v>7</v>
      </c>
      <c r="C441" s="56">
        <v>651</v>
      </c>
      <c r="D441" s="56" t="s">
        <v>623</v>
      </c>
      <c r="E441" s="56">
        <v>1</v>
      </c>
      <c r="F441" s="278">
        <v>45755.576388888891</v>
      </c>
      <c r="G441" s="56">
        <v>1</v>
      </c>
      <c r="H441" s="56">
        <v>51.374099999999999</v>
      </c>
      <c r="I441" s="56">
        <v>10.023199999999999</v>
      </c>
      <c r="J441" s="56">
        <v>11.966887</v>
      </c>
      <c r="K441" s="56">
        <v>13.439556</v>
      </c>
      <c r="L441" s="56">
        <v>1068.04</v>
      </c>
      <c r="M441" s="56">
        <v>70.499566999999999</v>
      </c>
      <c r="N441" s="274">
        <v>10963.8686</v>
      </c>
      <c r="O441" s="56">
        <v>10992.793600000001</v>
      </c>
      <c r="P441" s="275">
        <v>2093.12</v>
      </c>
      <c r="Q441" s="275">
        <f t="shared" si="4"/>
        <v>2093.12</v>
      </c>
      <c r="R441" s="275" t="s">
        <v>584</v>
      </c>
      <c r="S441" s="275">
        <v>10</v>
      </c>
      <c r="T441" s="275">
        <v>5</v>
      </c>
      <c r="U441" s="275">
        <v>0.7</v>
      </c>
      <c r="V441" s="275">
        <v>0.7</v>
      </c>
      <c r="W441" s="275">
        <v>0.7</v>
      </c>
      <c r="X441" s="56">
        <v>2000</v>
      </c>
      <c r="Y441" s="56" t="s">
        <v>571</v>
      </c>
      <c r="Z441" s="56">
        <v>0.2</v>
      </c>
      <c r="AA441" s="56" t="s">
        <v>572</v>
      </c>
      <c r="AB441" s="56" t="s">
        <v>573</v>
      </c>
      <c r="AC441" s="56">
        <v>220</v>
      </c>
      <c r="AD441" s="277" t="s">
        <v>19</v>
      </c>
      <c r="AE441" s="177"/>
    </row>
    <row r="442" spans="1:31" ht="15.75" x14ac:dyDescent="0.25">
      <c r="A442" s="56" t="s">
        <v>597</v>
      </c>
      <c r="B442" s="56">
        <v>7</v>
      </c>
      <c r="C442" s="56">
        <v>651</v>
      </c>
      <c r="D442" s="56" t="s">
        <v>623</v>
      </c>
      <c r="E442" s="56">
        <v>1</v>
      </c>
      <c r="F442" s="278">
        <v>45755.57916666667</v>
      </c>
      <c r="G442" s="56">
        <v>1</v>
      </c>
      <c r="H442" s="56">
        <v>51.377400000000002</v>
      </c>
      <c r="I442" s="56">
        <v>9.9549400000000006</v>
      </c>
      <c r="J442" s="56">
        <v>12.181725</v>
      </c>
      <c r="K442" s="56">
        <v>13.920213</v>
      </c>
      <c r="L442" s="56">
        <v>1070.6300000000001</v>
      </c>
      <c r="M442" s="56">
        <v>66.999865999999997</v>
      </c>
      <c r="N442" s="274">
        <v>10992.2176</v>
      </c>
      <c r="O442" s="56">
        <v>10992.793600000001</v>
      </c>
      <c r="P442" s="275">
        <v>2093.12</v>
      </c>
      <c r="Q442" s="275">
        <f t="shared" si="4"/>
        <v>2093.12</v>
      </c>
      <c r="R442" s="275" t="s">
        <v>570</v>
      </c>
      <c r="S442" s="275">
        <v>10</v>
      </c>
      <c r="T442" s="275">
        <v>5</v>
      </c>
      <c r="U442" s="275">
        <v>0.7</v>
      </c>
      <c r="V442" s="275">
        <v>0.7</v>
      </c>
      <c r="W442" s="275">
        <v>0.7</v>
      </c>
      <c r="X442" s="56">
        <v>2000</v>
      </c>
      <c r="Y442" s="56" t="s">
        <v>571</v>
      </c>
      <c r="Z442" s="56">
        <v>0.2</v>
      </c>
      <c r="AA442" s="56" t="s">
        <v>572</v>
      </c>
      <c r="AB442" s="56" t="s">
        <v>573</v>
      </c>
      <c r="AC442" s="56">
        <v>220</v>
      </c>
      <c r="AD442" s="277" t="s">
        <v>19</v>
      </c>
      <c r="AE442" s="177"/>
    </row>
    <row r="443" spans="1:31" ht="15.75" x14ac:dyDescent="0.25">
      <c r="A443" s="56" t="s">
        <v>598</v>
      </c>
      <c r="B443" s="56">
        <v>7</v>
      </c>
      <c r="C443" s="56">
        <v>651</v>
      </c>
      <c r="D443" s="56" t="s">
        <v>623</v>
      </c>
      <c r="E443" s="56">
        <v>1</v>
      </c>
      <c r="F443" s="278">
        <v>45755.581944444442</v>
      </c>
      <c r="G443" s="56">
        <v>1</v>
      </c>
      <c r="H443" s="56">
        <v>51.374099999999999</v>
      </c>
      <c r="I443" s="56">
        <v>9.7726900000000008</v>
      </c>
      <c r="J443" s="56">
        <v>12.058725000000001</v>
      </c>
      <c r="K443" s="56">
        <v>12.849719</v>
      </c>
      <c r="L443" s="56">
        <v>1077.81</v>
      </c>
      <c r="M443" s="56">
        <v>89.499425000000002</v>
      </c>
      <c r="N443" s="274">
        <v>10993.3696</v>
      </c>
      <c r="O443" s="56">
        <v>10992.793600000001</v>
      </c>
      <c r="P443" s="275">
        <v>2093.12</v>
      </c>
      <c r="Q443" s="275">
        <f t="shared" si="4"/>
        <v>2093.12</v>
      </c>
      <c r="R443" s="275" t="s">
        <v>570</v>
      </c>
      <c r="S443" s="275">
        <v>10</v>
      </c>
      <c r="T443" s="275">
        <v>5</v>
      </c>
      <c r="U443" s="275">
        <v>0.7</v>
      </c>
      <c r="V443" s="275">
        <v>0.7</v>
      </c>
      <c r="W443" s="275">
        <v>0.7</v>
      </c>
      <c r="X443" s="56">
        <v>2000</v>
      </c>
      <c r="Y443" s="56" t="s">
        <v>571</v>
      </c>
      <c r="Z443" s="56">
        <v>0.2</v>
      </c>
      <c r="AA443" s="56" t="s">
        <v>572</v>
      </c>
      <c r="AB443" s="56" t="s">
        <v>573</v>
      </c>
      <c r="AC443" s="56">
        <v>220</v>
      </c>
      <c r="AD443" s="277" t="s">
        <v>19</v>
      </c>
      <c r="AE443" s="177"/>
    </row>
    <row r="444" spans="1:31" ht="15.75" x14ac:dyDescent="0.25">
      <c r="A444" s="56" t="s">
        <v>599</v>
      </c>
      <c r="B444" s="56">
        <v>8</v>
      </c>
      <c r="C444" s="56">
        <v>652</v>
      </c>
      <c r="D444" s="56" t="s">
        <v>629</v>
      </c>
      <c r="E444" s="56">
        <v>1</v>
      </c>
      <c r="F444" s="278">
        <v>45755.585416666669</v>
      </c>
      <c r="G444" s="56">
        <v>1</v>
      </c>
      <c r="H444" s="56">
        <v>51.374099999999999</v>
      </c>
      <c r="I444" s="56">
        <v>9.8024000000000004</v>
      </c>
      <c r="J444" s="56">
        <v>12.066924999999999</v>
      </c>
      <c r="K444" s="56">
        <v>13.559244</v>
      </c>
      <c r="L444" s="56">
        <v>1063.48</v>
      </c>
      <c r="M444" s="56">
        <v>75.500168000000002</v>
      </c>
      <c r="N444" s="274">
        <v>10987.4378</v>
      </c>
      <c r="O444" s="56">
        <v>10994.6913</v>
      </c>
      <c r="P444" s="275">
        <v>2093.48</v>
      </c>
      <c r="Q444" s="275">
        <f t="shared" si="4"/>
        <v>2093.48</v>
      </c>
      <c r="R444" s="275" t="s">
        <v>570</v>
      </c>
      <c r="S444" s="275">
        <v>10</v>
      </c>
      <c r="T444" s="275">
        <v>5</v>
      </c>
      <c r="U444" s="275">
        <v>0.7</v>
      </c>
      <c r="V444" s="275">
        <v>0.7</v>
      </c>
      <c r="W444" s="275">
        <v>0.7</v>
      </c>
      <c r="X444" s="56">
        <v>2000</v>
      </c>
      <c r="Y444" s="56" t="s">
        <v>571</v>
      </c>
      <c r="Z444" s="56">
        <v>0.2</v>
      </c>
      <c r="AA444" s="56" t="s">
        <v>572</v>
      </c>
      <c r="AB444" s="56" t="s">
        <v>573</v>
      </c>
      <c r="AC444" s="56">
        <v>220</v>
      </c>
      <c r="AD444" s="277" t="s">
        <v>19</v>
      </c>
      <c r="AE444" s="177"/>
    </row>
    <row r="445" spans="1:31" ht="15.75" x14ac:dyDescent="0.25">
      <c r="A445" s="56" t="s">
        <v>601</v>
      </c>
      <c r="B445" s="56">
        <v>8</v>
      </c>
      <c r="C445" s="56">
        <v>652</v>
      </c>
      <c r="D445" s="56" t="s">
        <v>629</v>
      </c>
      <c r="E445" s="56">
        <v>1</v>
      </c>
      <c r="F445" s="278">
        <v>45755.588194444441</v>
      </c>
      <c r="G445" s="56">
        <v>1</v>
      </c>
      <c r="H445" s="56">
        <v>51.370800000000003</v>
      </c>
      <c r="I445" s="56">
        <v>9.6946600000000007</v>
      </c>
      <c r="J445" s="56">
        <v>12.002668999999999</v>
      </c>
      <c r="K445" s="56">
        <v>13.246706</v>
      </c>
      <c r="L445" s="56">
        <v>1057.52</v>
      </c>
      <c r="M445" s="56">
        <v>77.499331999999995</v>
      </c>
      <c r="N445" s="274">
        <v>11001.944799999999</v>
      </c>
      <c r="O445" s="56">
        <v>10994.6913</v>
      </c>
      <c r="P445" s="275">
        <v>2093.48</v>
      </c>
      <c r="Q445" s="275">
        <f t="shared" si="4"/>
        <v>2093.48</v>
      </c>
      <c r="R445" s="275" t="s">
        <v>570</v>
      </c>
      <c r="S445" s="275">
        <v>10</v>
      </c>
      <c r="T445" s="275">
        <v>5</v>
      </c>
      <c r="U445" s="275">
        <v>0.7</v>
      </c>
      <c r="V445" s="275">
        <v>0.7</v>
      </c>
      <c r="W445" s="275">
        <v>0.7</v>
      </c>
      <c r="X445" s="56">
        <v>2000</v>
      </c>
      <c r="Y445" s="56" t="s">
        <v>571</v>
      </c>
      <c r="Z445" s="56">
        <v>0.2</v>
      </c>
      <c r="AA445" s="56" t="s">
        <v>572</v>
      </c>
      <c r="AB445" s="56" t="s">
        <v>573</v>
      </c>
      <c r="AC445" s="56">
        <v>220</v>
      </c>
      <c r="AD445" s="277" t="s">
        <v>19</v>
      </c>
      <c r="AE445" s="177"/>
    </row>
    <row r="446" spans="1:31" ht="15.75" x14ac:dyDescent="0.25">
      <c r="A446" s="56" t="s">
        <v>603</v>
      </c>
      <c r="B446" s="56">
        <v>9</v>
      </c>
      <c r="C446" s="56">
        <v>482</v>
      </c>
      <c r="D446" s="56" t="s">
        <v>633</v>
      </c>
      <c r="E446" s="56">
        <v>1</v>
      </c>
      <c r="F446" s="278">
        <v>45755.591666666667</v>
      </c>
      <c r="G446" s="56">
        <v>1</v>
      </c>
      <c r="H446" s="56">
        <v>51.374099999999999</v>
      </c>
      <c r="I446" s="56">
        <v>9.7659500000000001</v>
      </c>
      <c r="J446" s="56">
        <v>12.032368999999999</v>
      </c>
      <c r="K446" s="56">
        <v>13.679724999999999</v>
      </c>
      <c r="L446" s="56">
        <v>1063.01</v>
      </c>
      <c r="M446" s="56">
        <v>71.000225</v>
      </c>
      <c r="N446" s="274">
        <v>10964.8907</v>
      </c>
      <c r="O446" s="56">
        <v>10966.314200000001</v>
      </c>
      <c r="P446" s="275">
        <v>2088.12</v>
      </c>
      <c r="Q446" s="275">
        <f t="shared" si="4"/>
        <v>2088.12</v>
      </c>
      <c r="R446" s="275" t="s">
        <v>570</v>
      </c>
      <c r="S446" s="275">
        <v>10</v>
      </c>
      <c r="T446" s="275">
        <v>5</v>
      </c>
      <c r="U446" s="275">
        <v>0.7</v>
      </c>
      <c r="V446" s="275">
        <v>0.7</v>
      </c>
      <c r="W446" s="275">
        <v>0.7</v>
      </c>
      <c r="X446" s="56">
        <v>2000</v>
      </c>
      <c r="Y446" s="56" t="s">
        <v>571</v>
      </c>
      <c r="Z446" s="56">
        <v>0.2</v>
      </c>
      <c r="AA446" s="56" t="s">
        <v>572</v>
      </c>
      <c r="AB446" s="56" t="s">
        <v>573</v>
      </c>
      <c r="AC446" s="56">
        <v>220</v>
      </c>
      <c r="AD446" s="277" t="s">
        <v>19</v>
      </c>
      <c r="AE446" s="177"/>
    </row>
    <row r="447" spans="1:31" ht="15.75" x14ac:dyDescent="0.25">
      <c r="A447" s="56" t="s">
        <v>605</v>
      </c>
      <c r="B447" s="56">
        <v>9</v>
      </c>
      <c r="C447" s="56">
        <v>482</v>
      </c>
      <c r="D447" s="56" t="s">
        <v>633</v>
      </c>
      <c r="E447" s="56">
        <v>1</v>
      </c>
      <c r="F447" s="278">
        <v>45755.594444444447</v>
      </c>
      <c r="G447" s="56">
        <v>1</v>
      </c>
      <c r="H447" s="56">
        <v>51.374099999999999</v>
      </c>
      <c r="I447" s="56">
        <v>9.8199500000000004</v>
      </c>
      <c r="J447" s="56">
        <v>12.225075</v>
      </c>
      <c r="K447" s="56">
        <v>13.381156000000001</v>
      </c>
      <c r="L447" s="56">
        <v>1055.6199999999999</v>
      </c>
      <c r="M447" s="56">
        <v>73.000038000000004</v>
      </c>
      <c r="N447" s="274">
        <v>10967.7377</v>
      </c>
      <c r="O447" s="56">
        <v>10966.314200000001</v>
      </c>
      <c r="P447" s="275">
        <v>2088.12</v>
      </c>
      <c r="Q447" s="275">
        <f t="shared" si="4"/>
        <v>2088.12</v>
      </c>
      <c r="R447" s="275" t="s">
        <v>570</v>
      </c>
      <c r="S447" s="275">
        <v>10</v>
      </c>
      <c r="T447" s="275">
        <v>5</v>
      </c>
      <c r="U447" s="275">
        <v>0.7</v>
      </c>
      <c r="V447" s="275">
        <v>0.7</v>
      </c>
      <c r="W447" s="275">
        <v>0.7</v>
      </c>
      <c r="X447" s="56">
        <v>2000</v>
      </c>
      <c r="Y447" s="56" t="s">
        <v>571</v>
      </c>
      <c r="Z447" s="56">
        <v>0.2</v>
      </c>
      <c r="AA447" s="56" t="s">
        <v>572</v>
      </c>
      <c r="AB447" s="56" t="s">
        <v>573</v>
      </c>
      <c r="AC447" s="56">
        <v>220</v>
      </c>
      <c r="AD447" s="277" t="s">
        <v>19</v>
      </c>
      <c r="AE447" s="177"/>
    </row>
    <row r="448" spans="1:31" ht="15.75" x14ac:dyDescent="0.25">
      <c r="A448" s="56" t="s">
        <v>607</v>
      </c>
      <c r="B448" s="56">
        <v>10</v>
      </c>
      <c r="C448" s="56">
        <v>483</v>
      </c>
      <c r="D448" s="56" t="s">
        <v>637</v>
      </c>
      <c r="E448" s="56">
        <v>1</v>
      </c>
      <c r="F448" s="278">
        <v>45755.597916666666</v>
      </c>
      <c r="G448" s="56">
        <v>1</v>
      </c>
      <c r="H448" s="56">
        <v>51.374099999999999</v>
      </c>
      <c r="I448" s="56">
        <v>9.7613500000000002</v>
      </c>
      <c r="J448" s="56">
        <v>12.034031000000001</v>
      </c>
      <c r="K448" s="56">
        <v>13.196</v>
      </c>
      <c r="L448" s="56">
        <v>1086.95</v>
      </c>
      <c r="M448" s="56">
        <v>74.000857999999994</v>
      </c>
      <c r="N448" s="274">
        <v>10975.9077</v>
      </c>
      <c r="O448" s="56">
        <v>10969.649299999999</v>
      </c>
      <c r="P448" s="275">
        <v>2088.75</v>
      </c>
      <c r="Q448" s="275">
        <f t="shared" si="4"/>
        <v>2088.75</v>
      </c>
      <c r="R448" s="275" t="s">
        <v>570</v>
      </c>
      <c r="S448" s="275">
        <v>10</v>
      </c>
      <c r="T448" s="275">
        <v>5</v>
      </c>
      <c r="U448" s="275">
        <v>0.7</v>
      </c>
      <c r="V448" s="275">
        <v>0.7</v>
      </c>
      <c r="W448" s="275">
        <v>0.7</v>
      </c>
      <c r="X448" s="56">
        <v>2000</v>
      </c>
      <c r="Y448" s="56" t="s">
        <v>571</v>
      </c>
      <c r="Z448" s="56">
        <v>0.2</v>
      </c>
      <c r="AA448" s="56" t="s">
        <v>572</v>
      </c>
      <c r="AB448" s="56" t="s">
        <v>573</v>
      </c>
      <c r="AC448" s="56">
        <v>220</v>
      </c>
      <c r="AD448" s="277" t="s">
        <v>19</v>
      </c>
      <c r="AE448" s="177"/>
    </row>
    <row r="449" spans="1:31" ht="15.75" x14ac:dyDescent="0.25">
      <c r="A449" s="56" t="s">
        <v>611</v>
      </c>
      <c r="B449" s="56">
        <v>10</v>
      </c>
      <c r="C449" s="56">
        <v>483</v>
      </c>
      <c r="D449" s="56" t="s">
        <v>637</v>
      </c>
      <c r="E449" s="56">
        <v>1</v>
      </c>
      <c r="F449" s="278">
        <v>45755.600694444445</v>
      </c>
      <c r="G449" s="56">
        <v>1</v>
      </c>
      <c r="H449" s="56">
        <v>51.3675</v>
      </c>
      <c r="I449" s="56">
        <v>9.8586600000000004</v>
      </c>
      <c r="J449" s="56">
        <v>12.09</v>
      </c>
      <c r="K449" s="56">
        <v>13.49455</v>
      </c>
      <c r="L449" s="56">
        <v>1075.19</v>
      </c>
      <c r="M449" s="56">
        <v>68.500743999999997</v>
      </c>
      <c r="N449" s="274">
        <v>10963.390799999999</v>
      </c>
      <c r="O449" s="56">
        <v>10969.649299999999</v>
      </c>
      <c r="P449" s="275">
        <v>2088.75</v>
      </c>
      <c r="Q449" s="275">
        <f t="shared" si="4"/>
        <v>2088.75</v>
      </c>
      <c r="R449" s="275" t="s">
        <v>570</v>
      </c>
      <c r="S449" s="275">
        <v>10</v>
      </c>
      <c r="T449" s="275">
        <v>5</v>
      </c>
      <c r="U449" s="275">
        <v>0.7</v>
      </c>
      <c r="V449" s="275">
        <v>0.7</v>
      </c>
      <c r="W449" s="275">
        <v>0.7</v>
      </c>
      <c r="X449" s="56">
        <v>2000</v>
      </c>
      <c r="Y449" s="56" t="s">
        <v>571</v>
      </c>
      <c r="Z449" s="56">
        <v>0.2</v>
      </c>
      <c r="AA449" s="56" t="s">
        <v>572</v>
      </c>
      <c r="AB449" s="56" t="s">
        <v>573</v>
      </c>
      <c r="AC449" s="56">
        <v>220</v>
      </c>
      <c r="AD449" s="277" t="s">
        <v>19</v>
      </c>
      <c r="AE449" s="177"/>
    </row>
    <row r="450" spans="1:31" ht="15.75" x14ac:dyDescent="0.25">
      <c r="A450" s="56" t="s">
        <v>617</v>
      </c>
      <c r="B450" s="56">
        <v>11</v>
      </c>
      <c r="C450" s="56" t="s">
        <v>537</v>
      </c>
      <c r="D450" s="56" t="s">
        <v>569</v>
      </c>
      <c r="E450" s="56">
        <v>1</v>
      </c>
      <c r="F450" s="278">
        <v>45755.604166666664</v>
      </c>
      <c r="G450" s="56">
        <v>1</v>
      </c>
      <c r="H450" s="56">
        <v>51.374099999999999</v>
      </c>
      <c r="I450" s="56">
        <v>9.9435900000000004</v>
      </c>
      <c r="J450" s="56">
        <v>12.055524999999999</v>
      </c>
      <c r="K450" s="56">
        <v>12.276006000000001</v>
      </c>
      <c r="L450" s="56">
        <v>28.745000000000001</v>
      </c>
      <c r="M450" s="56">
        <v>47.000357999999999</v>
      </c>
      <c r="N450" s="274">
        <v>212.77979300000001</v>
      </c>
      <c r="O450" s="56">
        <v>0</v>
      </c>
      <c r="P450" s="275">
        <v>0</v>
      </c>
      <c r="Q450" s="275">
        <f t="shared" si="4"/>
        <v>0</v>
      </c>
      <c r="R450" s="275" t="s">
        <v>826</v>
      </c>
      <c r="S450" s="275">
        <v>10</v>
      </c>
      <c r="T450" s="275">
        <v>5</v>
      </c>
      <c r="U450" s="275">
        <v>0.7</v>
      </c>
      <c r="V450" s="275">
        <v>0.7</v>
      </c>
      <c r="W450" s="275">
        <v>0.7</v>
      </c>
      <c r="X450" s="56">
        <v>2000</v>
      </c>
      <c r="Y450" s="56" t="s">
        <v>571</v>
      </c>
      <c r="Z450" s="56">
        <v>0.2</v>
      </c>
      <c r="AA450" s="56" t="s">
        <v>572</v>
      </c>
      <c r="AB450" s="56" t="s">
        <v>573</v>
      </c>
      <c r="AC450" s="56">
        <v>220</v>
      </c>
      <c r="AD450" s="259" t="s">
        <v>610</v>
      </c>
      <c r="AE450" s="259" t="s">
        <v>827</v>
      </c>
    </row>
    <row r="451" spans="1:31" ht="15.75" x14ac:dyDescent="0.25">
      <c r="A451" s="56" t="s">
        <v>619</v>
      </c>
      <c r="B451" s="56">
        <v>11</v>
      </c>
      <c r="C451" s="56" t="s">
        <v>537</v>
      </c>
      <c r="D451" s="56" t="s">
        <v>569</v>
      </c>
      <c r="E451" s="56">
        <v>1</v>
      </c>
      <c r="F451" s="278">
        <v>45755.606944444444</v>
      </c>
      <c r="G451" s="56">
        <v>1</v>
      </c>
      <c r="H451" s="56">
        <v>51.374099999999999</v>
      </c>
      <c r="I451" s="56">
        <v>9.9984300000000008</v>
      </c>
      <c r="J451" s="56">
        <v>12.050637999999999</v>
      </c>
      <c r="K451" s="56">
        <v>12.303906</v>
      </c>
      <c r="L451" s="56">
        <v>27.77</v>
      </c>
      <c r="M451" s="56">
        <v>46.998683999999997</v>
      </c>
      <c r="N451" s="274">
        <v>188.63727499999999</v>
      </c>
      <c r="O451" s="56">
        <v>0</v>
      </c>
      <c r="P451" s="275">
        <v>0</v>
      </c>
      <c r="Q451" s="275">
        <f t="shared" si="4"/>
        <v>0</v>
      </c>
      <c r="R451" s="275" t="s">
        <v>826</v>
      </c>
      <c r="S451" s="275">
        <v>10</v>
      </c>
      <c r="T451" s="275">
        <v>5</v>
      </c>
      <c r="U451" s="275">
        <v>0.7</v>
      </c>
      <c r="V451" s="275">
        <v>0.7</v>
      </c>
      <c r="W451" s="275">
        <v>0.7</v>
      </c>
      <c r="X451" s="56">
        <v>2000</v>
      </c>
      <c r="Y451" s="56" t="s">
        <v>571</v>
      </c>
      <c r="Z451" s="56">
        <v>0.2</v>
      </c>
      <c r="AA451" s="56" t="s">
        <v>572</v>
      </c>
      <c r="AB451" s="56" t="s">
        <v>573</v>
      </c>
      <c r="AC451" s="56">
        <v>220</v>
      </c>
      <c r="AD451" s="259" t="s">
        <v>610</v>
      </c>
      <c r="AE451" s="177"/>
    </row>
    <row r="452" spans="1:31" ht="15.75" x14ac:dyDescent="0.25">
      <c r="A452" s="56" t="s">
        <v>620</v>
      </c>
      <c r="B452" s="56">
        <v>11</v>
      </c>
      <c r="C452" s="56" t="s">
        <v>537</v>
      </c>
      <c r="D452" s="56" t="s">
        <v>569</v>
      </c>
      <c r="E452" s="56">
        <v>1</v>
      </c>
      <c r="F452" s="278"/>
      <c r="G452" s="56">
        <v>1</v>
      </c>
      <c r="H452" s="56">
        <v>0</v>
      </c>
      <c r="I452" s="56">
        <v>0</v>
      </c>
      <c r="J452" s="56">
        <v>0</v>
      </c>
      <c r="K452" s="56">
        <v>0</v>
      </c>
      <c r="L452" s="56">
        <v>0</v>
      </c>
      <c r="M452" s="56">
        <v>0</v>
      </c>
      <c r="N452" s="274">
        <v>0</v>
      </c>
      <c r="O452" s="56">
        <v>0</v>
      </c>
      <c r="P452" s="275">
        <v>0</v>
      </c>
      <c r="Q452" s="275">
        <f t="shared" si="4"/>
        <v>0</v>
      </c>
      <c r="R452" s="275" t="s">
        <v>805</v>
      </c>
      <c r="S452" s="275">
        <v>10</v>
      </c>
      <c r="T452" s="275">
        <v>5</v>
      </c>
      <c r="U452" s="275">
        <v>0.7</v>
      </c>
      <c r="V452" s="275">
        <v>0.7</v>
      </c>
      <c r="W452" s="275">
        <v>0.7</v>
      </c>
      <c r="X452" s="56">
        <v>2000</v>
      </c>
      <c r="Y452" s="56"/>
      <c r="Z452" s="56"/>
      <c r="AA452" s="56" t="s">
        <v>572</v>
      </c>
      <c r="AB452" s="56" t="s">
        <v>573</v>
      </c>
      <c r="AC452" s="56">
        <v>220</v>
      </c>
      <c r="AD452" s="259" t="s">
        <v>610</v>
      </c>
      <c r="AE452" s="177"/>
    </row>
    <row r="453" spans="1:31" ht="15.75" x14ac:dyDescent="0.25">
      <c r="A453" s="56" t="s">
        <v>622</v>
      </c>
      <c r="B453" s="56">
        <v>12</v>
      </c>
      <c r="C453" s="56" t="s">
        <v>537</v>
      </c>
      <c r="D453" s="56" t="s">
        <v>569</v>
      </c>
      <c r="E453" s="56">
        <v>1</v>
      </c>
      <c r="F453" s="278">
        <v>45755.611111111109</v>
      </c>
      <c r="G453" s="56">
        <v>1</v>
      </c>
      <c r="H453" s="56">
        <v>51.370800000000003</v>
      </c>
      <c r="I453" s="56">
        <v>9.82212</v>
      </c>
      <c r="J453" s="56">
        <v>12.038387</v>
      </c>
      <c r="K453" s="56">
        <v>13.098219</v>
      </c>
      <c r="L453" s="56">
        <v>1062.82</v>
      </c>
      <c r="M453" s="56">
        <v>78.001193999999998</v>
      </c>
      <c r="N453" s="274">
        <v>10973.918900000001</v>
      </c>
      <c r="O453" s="56">
        <v>10973.918900000001</v>
      </c>
      <c r="P453" s="275">
        <v>2089.56</v>
      </c>
      <c r="Q453" s="275">
        <f t="shared" si="4"/>
        <v>2089.56</v>
      </c>
      <c r="R453" s="275" t="s">
        <v>570</v>
      </c>
      <c r="S453" s="275">
        <v>10</v>
      </c>
      <c r="T453" s="275">
        <v>5</v>
      </c>
      <c r="U453" s="275">
        <v>0.7</v>
      </c>
      <c r="V453" s="275">
        <v>0.7</v>
      </c>
      <c r="W453" s="275">
        <v>0.7</v>
      </c>
      <c r="X453" s="56">
        <v>2000</v>
      </c>
      <c r="Y453" s="56" t="s">
        <v>571</v>
      </c>
      <c r="Z453" s="56">
        <v>0.2</v>
      </c>
      <c r="AA453" s="56" t="s">
        <v>572</v>
      </c>
      <c r="AB453" s="56" t="s">
        <v>573</v>
      </c>
      <c r="AC453" s="56">
        <v>220</v>
      </c>
      <c r="AD453" s="277" t="s">
        <v>19</v>
      </c>
      <c r="AE453" s="177"/>
    </row>
    <row r="454" spans="1:31" ht="15.75" x14ac:dyDescent="0.25">
      <c r="A454" s="280" t="s">
        <v>628</v>
      </c>
      <c r="B454" s="280">
        <v>12</v>
      </c>
      <c r="C454" s="280" t="s">
        <v>537</v>
      </c>
      <c r="D454" s="280" t="s">
        <v>569</v>
      </c>
      <c r="E454" s="280">
        <v>1</v>
      </c>
      <c r="F454" s="281">
        <v>45755.613888888889</v>
      </c>
      <c r="G454" s="280">
        <v>1</v>
      </c>
      <c r="H454" s="280">
        <v>51.374099999999999</v>
      </c>
      <c r="I454" s="280">
        <v>9.8064199999999992</v>
      </c>
      <c r="J454" s="280">
        <v>12.160788</v>
      </c>
      <c r="K454" s="280">
        <v>13.652625</v>
      </c>
      <c r="L454" s="280">
        <v>1048.1500000000001</v>
      </c>
      <c r="M454" s="280">
        <v>74.499921999999998</v>
      </c>
      <c r="N454" s="282">
        <v>10974.0479</v>
      </c>
      <c r="O454" s="280">
        <v>10974.0479</v>
      </c>
      <c r="P454" s="283">
        <v>2089.58</v>
      </c>
      <c r="Q454" s="275">
        <f t="shared" si="4"/>
        <v>2089.58</v>
      </c>
      <c r="R454" s="283" t="s">
        <v>570</v>
      </c>
      <c r="S454" s="275">
        <v>10</v>
      </c>
      <c r="T454" s="275">
        <v>5</v>
      </c>
      <c r="U454" s="275">
        <v>0.7</v>
      </c>
      <c r="V454" s="275">
        <v>0.7</v>
      </c>
      <c r="W454" s="275">
        <v>0.7</v>
      </c>
      <c r="X454" s="56">
        <v>2000</v>
      </c>
      <c r="Y454" s="56" t="s">
        <v>571</v>
      </c>
      <c r="Z454" s="56">
        <v>0.2</v>
      </c>
      <c r="AA454" s="56" t="s">
        <v>572</v>
      </c>
      <c r="AB454" s="56" t="s">
        <v>573</v>
      </c>
      <c r="AC454" s="56">
        <v>220</v>
      </c>
      <c r="AD454" s="277" t="s">
        <v>19</v>
      </c>
      <c r="AE454" s="177"/>
    </row>
    <row r="455" spans="1:31" ht="15.75" x14ac:dyDescent="0.25">
      <c r="A455" s="280" t="s">
        <v>632</v>
      </c>
      <c r="B455" s="280">
        <v>12</v>
      </c>
      <c r="C455" s="280" t="s">
        <v>537</v>
      </c>
      <c r="D455" s="280" t="s">
        <v>569</v>
      </c>
      <c r="E455" s="280">
        <v>1</v>
      </c>
      <c r="F455" s="281">
        <v>45755.616666666669</v>
      </c>
      <c r="G455" s="280">
        <v>1</v>
      </c>
      <c r="H455" s="280">
        <v>51.374099999999999</v>
      </c>
      <c r="I455" s="280">
        <v>9.7726600000000001</v>
      </c>
      <c r="J455" s="280">
        <v>11.921681</v>
      </c>
      <c r="K455" s="280">
        <v>13.506219</v>
      </c>
      <c r="L455" s="280">
        <v>1062.8499999999999</v>
      </c>
      <c r="M455" s="280">
        <v>75.000540999999998</v>
      </c>
      <c r="N455" s="282">
        <v>10974.639300000001</v>
      </c>
      <c r="O455" s="280">
        <v>10974.639300000001</v>
      </c>
      <c r="P455" s="283">
        <v>2089.6999999999998</v>
      </c>
      <c r="Q455" s="275">
        <f t="shared" si="4"/>
        <v>2089.6999999999998</v>
      </c>
      <c r="R455" s="283" t="s">
        <v>570</v>
      </c>
      <c r="S455" s="275">
        <v>10</v>
      </c>
      <c r="T455" s="275">
        <v>5</v>
      </c>
      <c r="U455" s="275">
        <v>0.7</v>
      </c>
      <c r="V455" s="275">
        <v>0.7</v>
      </c>
      <c r="W455" s="275">
        <v>0.7</v>
      </c>
      <c r="X455" s="56">
        <v>2000</v>
      </c>
      <c r="Y455" s="56" t="s">
        <v>571</v>
      </c>
      <c r="Z455" s="56">
        <v>0.2</v>
      </c>
      <c r="AA455" s="56" t="s">
        <v>572</v>
      </c>
      <c r="AB455" s="56" t="s">
        <v>573</v>
      </c>
      <c r="AC455" s="56">
        <v>220</v>
      </c>
      <c r="AD455" s="277" t="s">
        <v>19</v>
      </c>
      <c r="AE455" s="177"/>
    </row>
    <row r="456" spans="1:31" ht="15.75" x14ac:dyDescent="0.25">
      <c r="A456" s="56" t="s">
        <v>828</v>
      </c>
      <c r="B456" s="56" t="s">
        <v>583</v>
      </c>
      <c r="C456" s="56" t="s">
        <v>537</v>
      </c>
      <c r="D456" s="56" t="s">
        <v>569</v>
      </c>
      <c r="E456" s="56">
        <v>0.8</v>
      </c>
      <c r="F456" s="278">
        <v>45755.619444444441</v>
      </c>
      <c r="G456" s="56">
        <v>1</v>
      </c>
      <c r="H456" s="56">
        <v>51.380699999999997</v>
      </c>
      <c r="I456" s="56">
        <v>9.8299800000000008</v>
      </c>
      <c r="J456" s="56">
        <v>12.026481</v>
      </c>
      <c r="K456" s="56">
        <v>13.391261999999999</v>
      </c>
      <c r="L456" s="56">
        <v>999.85500000000002</v>
      </c>
      <c r="M456" s="56">
        <v>73.999863000000005</v>
      </c>
      <c r="N456" s="274">
        <v>8768.4705400000003</v>
      </c>
      <c r="O456" s="56">
        <v>8747.1832099999992</v>
      </c>
      <c r="P456" s="275">
        <v>2091.86</v>
      </c>
      <c r="Q456" s="275">
        <f t="shared" si="4"/>
        <v>2091.86</v>
      </c>
      <c r="R456" s="275" t="s">
        <v>584</v>
      </c>
      <c r="S456" s="275">
        <v>10</v>
      </c>
      <c r="T456" s="275">
        <v>5</v>
      </c>
      <c r="U456" s="275">
        <v>0.7</v>
      </c>
      <c r="V456" s="275">
        <v>0.7</v>
      </c>
      <c r="W456" s="275">
        <v>0.7</v>
      </c>
      <c r="X456" s="56">
        <v>2000</v>
      </c>
      <c r="Y456" s="56" t="s">
        <v>571</v>
      </c>
      <c r="Z456" s="56">
        <v>0.2</v>
      </c>
      <c r="AA456" s="56" t="s">
        <v>572</v>
      </c>
      <c r="AB456" s="56" t="s">
        <v>573</v>
      </c>
      <c r="AC456" s="56">
        <v>220</v>
      </c>
      <c r="AD456" s="277" t="s">
        <v>19</v>
      </c>
      <c r="AE456" s="177"/>
    </row>
    <row r="457" spans="1:31" ht="15.75" x14ac:dyDescent="0.25">
      <c r="A457" s="56" t="s">
        <v>829</v>
      </c>
      <c r="B457" s="56" t="s">
        <v>583</v>
      </c>
      <c r="C457" s="56" t="s">
        <v>537</v>
      </c>
      <c r="D457" s="56" t="s">
        <v>569</v>
      </c>
      <c r="E457" s="56">
        <v>0.8</v>
      </c>
      <c r="F457" s="278">
        <v>45755.62222222222</v>
      </c>
      <c r="G457" s="56">
        <v>1</v>
      </c>
      <c r="H457" s="56">
        <v>51.374099999999999</v>
      </c>
      <c r="I457" s="56">
        <v>9.8243299999999998</v>
      </c>
      <c r="J457" s="56">
        <v>12.276088</v>
      </c>
      <c r="K457" s="56">
        <v>13.597037</v>
      </c>
      <c r="L457" s="56">
        <v>1009.21</v>
      </c>
      <c r="M457" s="56">
        <v>64.000615999999994</v>
      </c>
      <c r="N457" s="274">
        <v>8748.8935299999994</v>
      </c>
      <c r="O457" s="56">
        <v>8747.1832099999992</v>
      </c>
      <c r="P457" s="275">
        <v>2091.86</v>
      </c>
      <c r="Q457" s="275">
        <f t="shared" si="4"/>
        <v>2091.86</v>
      </c>
      <c r="R457" s="275" t="s">
        <v>570</v>
      </c>
      <c r="S457" s="275">
        <v>10</v>
      </c>
      <c r="T457" s="275">
        <v>5</v>
      </c>
      <c r="U457" s="275">
        <v>0.7</v>
      </c>
      <c r="V457" s="275">
        <v>0.7</v>
      </c>
      <c r="W457" s="275">
        <v>0.7</v>
      </c>
      <c r="X457" s="56">
        <v>2000</v>
      </c>
      <c r="Y457" s="56" t="s">
        <v>571</v>
      </c>
      <c r="Z457" s="56">
        <v>0.2</v>
      </c>
      <c r="AA457" s="56" t="s">
        <v>572</v>
      </c>
      <c r="AB457" s="56" t="s">
        <v>573</v>
      </c>
      <c r="AC457" s="56">
        <v>220</v>
      </c>
      <c r="AD457" s="277" t="s">
        <v>19</v>
      </c>
      <c r="AE457" s="177"/>
    </row>
    <row r="458" spans="1:31" ht="15.75" x14ac:dyDescent="0.25">
      <c r="A458" s="56" t="s">
        <v>830</v>
      </c>
      <c r="B458" s="56" t="s">
        <v>583</v>
      </c>
      <c r="C458" s="56" t="s">
        <v>537</v>
      </c>
      <c r="D458" s="56" t="s">
        <v>569</v>
      </c>
      <c r="E458" s="56">
        <v>0.8</v>
      </c>
      <c r="F458" s="278">
        <v>45755.625</v>
      </c>
      <c r="G458" s="56">
        <v>1</v>
      </c>
      <c r="H458" s="56">
        <v>51.374099999999999</v>
      </c>
      <c r="I458" s="56">
        <v>9.7519899999999993</v>
      </c>
      <c r="J458" s="56">
        <v>12.177424999999999</v>
      </c>
      <c r="K458" s="56">
        <v>13.283531</v>
      </c>
      <c r="L458" s="56">
        <v>985.50699999999995</v>
      </c>
      <c r="M458" s="56">
        <v>68.999954000000002</v>
      </c>
      <c r="N458" s="274">
        <v>8745.4728799999993</v>
      </c>
      <c r="O458" s="56">
        <v>8747.1832099999992</v>
      </c>
      <c r="P458" s="275">
        <v>2091.86</v>
      </c>
      <c r="Q458" s="275">
        <f t="shared" si="4"/>
        <v>2091.86</v>
      </c>
      <c r="R458" s="275" t="s">
        <v>570</v>
      </c>
      <c r="S458" s="275">
        <v>10</v>
      </c>
      <c r="T458" s="275">
        <v>5</v>
      </c>
      <c r="U458" s="275">
        <v>0.7</v>
      </c>
      <c r="V458" s="275">
        <v>0.7</v>
      </c>
      <c r="W458" s="275">
        <v>0.7</v>
      </c>
      <c r="X458" s="56">
        <v>2000</v>
      </c>
      <c r="Y458" s="56" t="s">
        <v>571</v>
      </c>
      <c r="Z458" s="56">
        <v>0.2</v>
      </c>
      <c r="AA458" s="56" t="s">
        <v>572</v>
      </c>
      <c r="AB458" s="56" t="s">
        <v>573</v>
      </c>
      <c r="AC458" s="56">
        <v>220</v>
      </c>
      <c r="AD458" s="277" t="s">
        <v>19</v>
      </c>
      <c r="AE458" s="177"/>
    </row>
    <row r="459" spans="1:31" ht="15.75" x14ac:dyDescent="0.25">
      <c r="A459" s="56" t="s">
        <v>831</v>
      </c>
      <c r="B459" s="56" t="s">
        <v>589</v>
      </c>
      <c r="C459" s="56" t="s">
        <v>537</v>
      </c>
      <c r="D459" s="56" t="s">
        <v>569</v>
      </c>
      <c r="E459" s="56">
        <v>1</v>
      </c>
      <c r="F459" s="278">
        <v>45755.62777777778</v>
      </c>
      <c r="G459" s="56">
        <v>1</v>
      </c>
      <c r="H459" s="56">
        <v>51.374099999999999</v>
      </c>
      <c r="I459" s="56">
        <v>9.7844999999999995</v>
      </c>
      <c r="J459" s="56">
        <v>12.047855999999999</v>
      </c>
      <c r="K459" s="56">
        <v>13.469756</v>
      </c>
      <c r="L459" s="56">
        <v>1065.8800000000001</v>
      </c>
      <c r="M459" s="56">
        <v>74.998208000000005</v>
      </c>
      <c r="N459" s="274">
        <v>10973.419099999999</v>
      </c>
      <c r="O459" s="56">
        <v>10946.886699999999</v>
      </c>
      <c r="P459" s="275">
        <v>2091.86</v>
      </c>
      <c r="Q459" s="275">
        <f t="shared" si="4"/>
        <v>2091.86</v>
      </c>
      <c r="R459" s="275" t="s">
        <v>584</v>
      </c>
      <c r="S459" s="275">
        <v>10</v>
      </c>
      <c r="T459" s="275">
        <v>5</v>
      </c>
      <c r="U459" s="275">
        <v>0.7</v>
      </c>
      <c r="V459" s="275">
        <v>0.7</v>
      </c>
      <c r="W459" s="275">
        <v>0.7</v>
      </c>
      <c r="X459" s="56">
        <v>2000</v>
      </c>
      <c r="Y459" s="56" t="s">
        <v>571</v>
      </c>
      <c r="Z459" s="56">
        <v>0.2</v>
      </c>
      <c r="AA459" s="56" t="s">
        <v>572</v>
      </c>
      <c r="AB459" s="56" t="s">
        <v>573</v>
      </c>
      <c r="AC459" s="56">
        <v>220</v>
      </c>
      <c r="AD459" s="277" t="s">
        <v>19</v>
      </c>
      <c r="AE459" s="177"/>
    </row>
    <row r="460" spans="1:31" ht="15.75" x14ac:dyDescent="0.25">
      <c r="A460" s="56" t="s">
        <v>832</v>
      </c>
      <c r="B460" s="56" t="s">
        <v>589</v>
      </c>
      <c r="C460" s="56" t="s">
        <v>537</v>
      </c>
      <c r="D460" s="56" t="s">
        <v>569</v>
      </c>
      <c r="E460" s="56">
        <v>1</v>
      </c>
      <c r="F460" s="278">
        <v>45755.630555555559</v>
      </c>
      <c r="G460" s="56">
        <v>1</v>
      </c>
      <c r="H460" s="56">
        <v>51.370800000000003</v>
      </c>
      <c r="I460" s="56">
        <v>9.7666699999999995</v>
      </c>
      <c r="J460" s="56">
        <v>12.031162</v>
      </c>
      <c r="K460" s="56">
        <v>14.204205999999999</v>
      </c>
      <c r="L460" s="56">
        <v>1047.1500000000001</v>
      </c>
      <c r="M460" s="56">
        <v>63.5</v>
      </c>
      <c r="N460" s="274">
        <v>10937.9151</v>
      </c>
      <c r="O460" s="56">
        <v>10946.886699999999</v>
      </c>
      <c r="P460" s="275">
        <v>2091.86</v>
      </c>
      <c r="Q460" s="275">
        <f t="shared" si="4"/>
        <v>2091.86</v>
      </c>
      <c r="R460" s="275" t="s">
        <v>570</v>
      </c>
      <c r="S460" s="275">
        <v>10</v>
      </c>
      <c r="T460" s="275">
        <v>5</v>
      </c>
      <c r="U460" s="275">
        <v>0.7</v>
      </c>
      <c r="V460" s="275">
        <v>0.7</v>
      </c>
      <c r="W460" s="275">
        <v>0.7</v>
      </c>
      <c r="X460" s="56">
        <v>2000</v>
      </c>
      <c r="Y460" s="56" t="s">
        <v>571</v>
      </c>
      <c r="Z460" s="56">
        <v>0.2</v>
      </c>
      <c r="AA460" s="56" t="s">
        <v>572</v>
      </c>
      <c r="AB460" s="56" t="s">
        <v>573</v>
      </c>
      <c r="AC460" s="56">
        <v>220</v>
      </c>
      <c r="AD460" s="277" t="s">
        <v>19</v>
      </c>
      <c r="AE460" s="177"/>
    </row>
    <row r="461" spans="1:31" ht="15.75" x14ac:dyDescent="0.25">
      <c r="A461" s="56" t="s">
        <v>833</v>
      </c>
      <c r="B461" s="56" t="s">
        <v>589</v>
      </c>
      <c r="C461" s="56" t="s">
        <v>537</v>
      </c>
      <c r="D461" s="56" t="s">
        <v>569</v>
      </c>
      <c r="E461" s="56">
        <v>1</v>
      </c>
      <c r="F461" s="278">
        <v>45755.633333333331</v>
      </c>
      <c r="G461" s="56">
        <v>1</v>
      </c>
      <c r="H461" s="56">
        <v>51.374099999999999</v>
      </c>
      <c r="I461" s="56">
        <v>9.8830100000000005</v>
      </c>
      <c r="J461" s="56">
        <v>12.084263</v>
      </c>
      <c r="K461" s="56">
        <v>13.619856</v>
      </c>
      <c r="L461" s="56">
        <v>1055.7</v>
      </c>
      <c r="M461" s="56">
        <v>66.499835000000004</v>
      </c>
      <c r="N461" s="274">
        <v>10955.858399999999</v>
      </c>
      <c r="O461" s="56">
        <v>10946.886699999999</v>
      </c>
      <c r="P461" s="275">
        <v>2091.86</v>
      </c>
      <c r="Q461" s="275">
        <f t="shared" si="4"/>
        <v>2091.86</v>
      </c>
      <c r="R461" s="275" t="s">
        <v>570</v>
      </c>
      <c r="S461" s="275">
        <v>10</v>
      </c>
      <c r="T461" s="275">
        <v>5</v>
      </c>
      <c r="U461" s="275">
        <v>0.7</v>
      </c>
      <c r="V461" s="275">
        <v>0.7</v>
      </c>
      <c r="W461" s="275">
        <v>0.7</v>
      </c>
      <c r="X461" s="56">
        <v>2000</v>
      </c>
      <c r="Y461" s="56" t="s">
        <v>571</v>
      </c>
      <c r="Z461" s="56">
        <v>0.2</v>
      </c>
      <c r="AA461" s="56" t="s">
        <v>572</v>
      </c>
      <c r="AB461" s="56" t="s">
        <v>573</v>
      </c>
      <c r="AC461" s="56">
        <v>220</v>
      </c>
      <c r="AD461" s="277" t="s">
        <v>19</v>
      </c>
      <c r="AE461" s="177"/>
    </row>
    <row r="462" spans="1:31" ht="15.75" x14ac:dyDescent="0.25">
      <c r="A462" s="56" t="s">
        <v>834</v>
      </c>
      <c r="B462" s="56" t="s">
        <v>594</v>
      </c>
      <c r="C462" s="56" t="s">
        <v>537</v>
      </c>
      <c r="D462" s="56" t="s">
        <v>569</v>
      </c>
      <c r="E462" s="56">
        <v>1.2</v>
      </c>
      <c r="F462" s="278">
        <v>45755.636111111111</v>
      </c>
      <c r="G462" s="56">
        <v>1</v>
      </c>
      <c r="H462" s="56">
        <v>51.377400000000002</v>
      </c>
      <c r="I462" s="56">
        <v>9.6302900000000005</v>
      </c>
      <c r="J462" s="56">
        <v>12.047044</v>
      </c>
      <c r="K462" s="56">
        <v>12.811368999999999</v>
      </c>
      <c r="L462" s="56">
        <v>1092.6099999999999</v>
      </c>
      <c r="M462" s="56">
        <v>92.000369000000006</v>
      </c>
      <c r="N462" s="274">
        <v>13262.067999999999</v>
      </c>
      <c r="O462" s="56">
        <v>13212.665499999999</v>
      </c>
      <c r="P462" s="275">
        <v>2091.86</v>
      </c>
      <c r="Q462" s="275">
        <f t="shared" si="4"/>
        <v>2091.86</v>
      </c>
      <c r="R462" s="275" t="s">
        <v>584</v>
      </c>
      <c r="S462" s="275">
        <v>10</v>
      </c>
      <c r="T462" s="275">
        <v>5</v>
      </c>
      <c r="U462" s="275">
        <v>0.7</v>
      </c>
      <c r="V462" s="275">
        <v>0.7</v>
      </c>
      <c r="W462" s="275">
        <v>0.7</v>
      </c>
      <c r="X462" s="56">
        <v>2000</v>
      </c>
      <c r="Y462" s="56" t="s">
        <v>571</v>
      </c>
      <c r="Z462" s="56">
        <v>0.2</v>
      </c>
      <c r="AA462" s="56" t="s">
        <v>572</v>
      </c>
      <c r="AB462" s="56" t="s">
        <v>573</v>
      </c>
      <c r="AC462" s="56">
        <v>220</v>
      </c>
      <c r="AD462" s="277" t="s">
        <v>19</v>
      </c>
      <c r="AE462" s="177"/>
    </row>
    <row r="463" spans="1:31" ht="15.75" x14ac:dyDescent="0.25">
      <c r="A463" s="56" t="s">
        <v>835</v>
      </c>
      <c r="B463" s="56" t="s">
        <v>594</v>
      </c>
      <c r="C463" s="56" t="s">
        <v>537</v>
      </c>
      <c r="D463" s="56" t="s">
        <v>569</v>
      </c>
      <c r="E463" s="56">
        <v>1.2</v>
      </c>
      <c r="F463" s="278">
        <v>45755.63958333333</v>
      </c>
      <c r="G463" s="56">
        <v>1</v>
      </c>
      <c r="H463" s="56">
        <v>51.370800000000003</v>
      </c>
      <c r="I463" s="56">
        <v>9.7894299999999994</v>
      </c>
      <c r="J463" s="56">
        <v>12.143025</v>
      </c>
      <c r="K463" s="56">
        <v>14.069569</v>
      </c>
      <c r="L463" s="56">
        <v>1090.72</v>
      </c>
      <c r="M463" s="56">
        <v>67.999426</v>
      </c>
      <c r="N463" s="274">
        <v>13157.5172</v>
      </c>
      <c r="O463" s="56">
        <v>13212.665499999999</v>
      </c>
      <c r="P463" s="275">
        <v>2091.86</v>
      </c>
      <c r="Q463" s="275">
        <f t="shared" si="4"/>
        <v>2091.86</v>
      </c>
      <c r="R463" s="275" t="s">
        <v>584</v>
      </c>
      <c r="S463" s="275">
        <v>10</v>
      </c>
      <c r="T463" s="275">
        <v>5</v>
      </c>
      <c r="U463" s="275">
        <v>0.7</v>
      </c>
      <c r="V463" s="275">
        <v>0.7</v>
      </c>
      <c r="W463" s="275">
        <v>0.7</v>
      </c>
      <c r="X463" s="56">
        <v>2000</v>
      </c>
      <c r="Y463" s="56" t="s">
        <v>571</v>
      </c>
      <c r="Z463" s="56">
        <v>0.2</v>
      </c>
      <c r="AA463" s="56" t="s">
        <v>572</v>
      </c>
      <c r="AB463" s="56" t="s">
        <v>573</v>
      </c>
      <c r="AC463" s="56">
        <v>220</v>
      </c>
      <c r="AD463" s="277" t="s">
        <v>19</v>
      </c>
      <c r="AE463" s="177"/>
    </row>
    <row r="464" spans="1:31" ht="15.75" x14ac:dyDescent="0.25">
      <c r="A464" s="56" t="s">
        <v>836</v>
      </c>
      <c r="B464" s="56" t="s">
        <v>594</v>
      </c>
      <c r="C464" s="56" t="s">
        <v>537</v>
      </c>
      <c r="D464" s="56" t="s">
        <v>569</v>
      </c>
      <c r="E464" s="56">
        <v>1.2</v>
      </c>
      <c r="F464" s="278">
        <v>45755.642361111109</v>
      </c>
      <c r="G464" s="56">
        <v>1</v>
      </c>
      <c r="H464" s="56">
        <v>51.377400000000002</v>
      </c>
      <c r="I464" s="56">
        <v>9.7284299999999995</v>
      </c>
      <c r="J464" s="56">
        <v>11.954487</v>
      </c>
      <c r="K464" s="56">
        <v>13.053255999999999</v>
      </c>
      <c r="L464" s="56">
        <v>1092.8499999999999</v>
      </c>
      <c r="M464" s="56">
        <v>95.999989999999997</v>
      </c>
      <c r="N464" s="274">
        <v>13249.9704</v>
      </c>
      <c r="O464" s="56">
        <v>13212.665499999999</v>
      </c>
      <c r="P464" s="275">
        <v>2091.86</v>
      </c>
      <c r="Q464" s="275">
        <f t="shared" si="4"/>
        <v>2091.86</v>
      </c>
      <c r="R464" s="275" t="s">
        <v>584</v>
      </c>
      <c r="S464" s="275">
        <v>10</v>
      </c>
      <c r="T464" s="275">
        <v>5</v>
      </c>
      <c r="U464" s="275">
        <v>0.7</v>
      </c>
      <c r="V464" s="275">
        <v>0.7</v>
      </c>
      <c r="W464" s="275">
        <v>0.7</v>
      </c>
      <c r="X464" s="56">
        <v>2000</v>
      </c>
      <c r="Y464" s="56" t="s">
        <v>571</v>
      </c>
      <c r="Z464" s="56">
        <v>0.2</v>
      </c>
      <c r="AA464" s="56" t="s">
        <v>572</v>
      </c>
      <c r="AB464" s="56" t="s">
        <v>573</v>
      </c>
      <c r="AC464" s="56">
        <v>220</v>
      </c>
      <c r="AD464" s="277" t="s">
        <v>19</v>
      </c>
      <c r="AE464" s="177"/>
    </row>
    <row r="465" spans="1:31" ht="15.75" x14ac:dyDescent="0.25">
      <c r="A465" s="18" t="s">
        <v>837</v>
      </c>
      <c r="B465" s="18" t="s">
        <v>594</v>
      </c>
      <c r="C465" s="18" t="s">
        <v>537</v>
      </c>
      <c r="D465" s="18" t="s">
        <v>569</v>
      </c>
      <c r="E465" s="18">
        <v>1.2</v>
      </c>
      <c r="F465" s="287">
        <v>45755.645138888889</v>
      </c>
      <c r="G465" s="18">
        <v>1</v>
      </c>
      <c r="H465" s="18">
        <v>51.374099999999999</v>
      </c>
      <c r="I465" s="18">
        <v>9.63218</v>
      </c>
      <c r="J465" s="18">
        <v>11.981038</v>
      </c>
      <c r="K465" s="18">
        <v>14.33615</v>
      </c>
      <c r="L465" s="18">
        <v>1093.0899999999999</v>
      </c>
      <c r="M465" s="18">
        <v>70.000595000000004</v>
      </c>
      <c r="N465" s="257">
        <v>13200.771699999999</v>
      </c>
      <c r="O465" s="18">
        <v>13212.665499999999</v>
      </c>
      <c r="P465" s="288">
        <v>2091.86</v>
      </c>
      <c r="Q465" s="275">
        <f t="shared" si="4"/>
        <v>2091.86</v>
      </c>
      <c r="R465" s="288" t="s">
        <v>570</v>
      </c>
      <c r="S465" s="275">
        <v>10</v>
      </c>
      <c r="T465" s="275">
        <v>5</v>
      </c>
      <c r="U465" s="275">
        <v>0.7</v>
      </c>
      <c r="V465" s="275">
        <v>0.7</v>
      </c>
      <c r="W465" s="275">
        <v>0.7</v>
      </c>
      <c r="X465" s="56">
        <v>2000</v>
      </c>
      <c r="Y465" s="56" t="s">
        <v>571</v>
      </c>
      <c r="Z465" s="56">
        <v>0.2</v>
      </c>
      <c r="AA465" s="56" t="s">
        <v>572</v>
      </c>
      <c r="AB465" s="56" t="s">
        <v>573</v>
      </c>
      <c r="AC465" s="56">
        <v>220</v>
      </c>
      <c r="AD465" s="277" t="s">
        <v>19</v>
      </c>
      <c r="AE465" s="177"/>
    </row>
    <row r="466" spans="1:31" ht="15.75" x14ac:dyDescent="0.25">
      <c r="A466" s="18" t="s">
        <v>838</v>
      </c>
      <c r="B466" s="18" t="s">
        <v>594</v>
      </c>
      <c r="C466" s="18" t="s">
        <v>537</v>
      </c>
      <c r="D466" s="18" t="s">
        <v>569</v>
      </c>
      <c r="E466" s="18">
        <v>1.2</v>
      </c>
      <c r="F466" s="287">
        <v>45755.647916666669</v>
      </c>
      <c r="G466" s="18">
        <v>1</v>
      </c>
      <c r="H466" s="18">
        <v>51.377400000000002</v>
      </c>
      <c r="I466" s="18">
        <v>9.6104400000000005</v>
      </c>
      <c r="J466" s="18">
        <v>12.004431</v>
      </c>
      <c r="K466" s="18">
        <v>13.955206</v>
      </c>
      <c r="L466" s="18">
        <v>1087.74</v>
      </c>
      <c r="M466" s="18">
        <v>75.999922999999995</v>
      </c>
      <c r="N466" s="257">
        <v>13224.5594</v>
      </c>
      <c r="O466" s="18">
        <v>13212.665499999999</v>
      </c>
      <c r="P466" s="288">
        <v>2091.86</v>
      </c>
      <c r="Q466" s="275">
        <f t="shared" si="4"/>
        <v>2091.86</v>
      </c>
      <c r="R466" s="288" t="s">
        <v>570</v>
      </c>
      <c r="S466" s="275">
        <v>10</v>
      </c>
      <c r="T466" s="275">
        <v>5</v>
      </c>
      <c r="U466" s="275">
        <v>0.7</v>
      </c>
      <c r="V466" s="275">
        <v>0.7</v>
      </c>
      <c r="W466" s="275">
        <v>0.7</v>
      </c>
      <c r="X466" s="56">
        <v>2000</v>
      </c>
      <c r="Y466" s="56" t="s">
        <v>571</v>
      </c>
      <c r="Z466" s="56">
        <v>0.2</v>
      </c>
      <c r="AA466" s="56" t="s">
        <v>572</v>
      </c>
      <c r="AB466" s="56" t="s">
        <v>573</v>
      </c>
      <c r="AC466" s="56">
        <v>220</v>
      </c>
      <c r="AD466" s="277" t="s">
        <v>19</v>
      </c>
      <c r="AE466" s="177"/>
    </row>
    <row r="467" spans="1:31" ht="15.75" x14ac:dyDescent="0.25">
      <c r="A467" s="289" t="s">
        <v>639</v>
      </c>
      <c r="B467" s="289">
        <v>2</v>
      </c>
      <c r="C467" s="289" t="s">
        <v>537</v>
      </c>
      <c r="D467" s="289" t="s">
        <v>569</v>
      </c>
      <c r="E467" s="289">
        <v>1</v>
      </c>
      <c r="F467" s="290">
        <v>45755.650694444441</v>
      </c>
      <c r="G467" s="289">
        <v>1</v>
      </c>
      <c r="H467" s="289">
        <v>51.374099999999999</v>
      </c>
      <c r="I467" s="289">
        <v>9.6316000000000006</v>
      </c>
      <c r="J467" s="289">
        <v>12.023161999999999</v>
      </c>
      <c r="K467" s="289">
        <v>12.910019</v>
      </c>
      <c r="L467" s="289">
        <v>1058.04</v>
      </c>
      <c r="M467" s="289">
        <v>86.500230000000002</v>
      </c>
      <c r="N467" s="291">
        <v>11022.7601</v>
      </c>
      <c r="O467" s="289">
        <v>11016.151599999999</v>
      </c>
      <c r="P467" s="292">
        <v>2100.71</v>
      </c>
      <c r="Q467" s="292">
        <f>(P466/P467)*P467</f>
        <v>2091.86</v>
      </c>
      <c r="R467" s="292" t="s">
        <v>570</v>
      </c>
      <c r="S467" s="292">
        <v>10</v>
      </c>
      <c r="T467" s="292">
        <v>5</v>
      </c>
      <c r="U467" s="292">
        <v>0.7</v>
      </c>
      <c r="V467" s="292">
        <v>0.7</v>
      </c>
      <c r="W467" s="292">
        <v>0.7</v>
      </c>
      <c r="X467" s="289">
        <v>2000</v>
      </c>
      <c r="Y467" s="289" t="s">
        <v>571</v>
      </c>
      <c r="Z467" s="289">
        <v>0.2</v>
      </c>
      <c r="AA467" s="289" t="s">
        <v>572</v>
      </c>
      <c r="AB467" s="289" t="s">
        <v>573</v>
      </c>
      <c r="AC467" s="289">
        <v>220</v>
      </c>
      <c r="AD467" s="277" t="s">
        <v>19</v>
      </c>
      <c r="AE467" s="299"/>
    </row>
    <row r="468" spans="1:31" ht="15.75" x14ac:dyDescent="0.25">
      <c r="A468" s="289" t="s">
        <v>640</v>
      </c>
      <c r="B468" s="289">
        <v>2</v>
      </c>
      <c r="C468" s="289" t="s">
        <v>537</v>
      </c>
      <c r="D468" s="289" t="s">
        <v>569</v>
      </c>
      <c r="E468" s="289">
        <v>1</v>
      </c>
      <c r="F468" s="290">
        <v>45755.654166666667</v>
      </c>
      <c r="G468" s="289">
        <v>1</v>
      </c>
      <c r="H468" s="289">
        <v>51.374099999999999</v>
      </c>
      <c r="I468" s="289">
        <v>9.6938600000000008</v>
      </c>
      <c r="J468" s="289">
        <v>12.076331</v>
      </c>
      <c r="K468" s="289">
        <v>13.122444</v>
      </c>
      <c r="L468" s="289">
        <v>1063.6600000000001</v>
      </c>
      <c r="M468" s="289">
        <v>76.001953999999998</v>
      </c>
      <c r="N468" s="291">
        <v>11009.543</v>
      </c>
      <c r="O468" s="289">
        <v>11016.151599999999</v>
      </c>
      <c r="P468" s="292">
        <v>2100.71</v>
      </c>
      <c r="Q468" s="292">
        <f>(P466/P468)*P468</f>
        <v>2091.86</v>
      </c>
      <c r="R468" s="292" t="s">
        <v>570</v>
      </c>
      <c r="S468" s="292">
        <v>10</v>
      </c>
      <c r="T468" s="292">
        <v>5</v>
      </c>
      <c r="U468" s="292">
        <v>0.7</v>
      </c>
      <c r="V468" s="292">
        <v>0.7</v>
      </c>
      <c r="W468" s="292">
        <v>0.7</v>
      </c>
      <c r="X468" s="289">
        <v>2000</v>
      </c>
      <c r="Y468" s="289" t="s">
        <v>571</v>
      </c>
      <c r="Z468" s="289">
        <v>0.2</v>
      </c>
      <c r="AA468" s="289" t="s">
        <v>572</v>
      </c>
      <c r="AB468" s="289" t="s">
        <v>573</v>
      </c>
      <c r="AC468" s="289">
        <v>220</v>
      </c>
      <c r="AD468" s="277" t="s">
        <v>19</v>
      </c>
      <c r="AE468" s="299"/>
    </row>
    <row r="469" spans="1:31" ht="15.75" x14ac:dyDescent="0.25">
      <c r="A469" s="56" t="s">
        <v>710</v>
      </c>
      <c r="B469" s="56">
        <v>3</v>
      </c>
      <c r="C469" s="56">
        <v>638</v>
      </c>
      <c r="D469" s="56" t="s">
        <v>600</v>
      </c>
      <c r="E469" s="56">
        <v>1</v>
      </c>
      <c r="F469" s="278">
        <v>45755.656944444447</v>
      </c>
      <c r="G469" s="56">
        <v>1</v>
      </c>
      <c r="H469" s="56">
        <v>51.3675</v>
      </c>
      <c r="I469" s="56">
        <v>9.7484400000000004</v>
      </c>
      <c r="J469" s="56">
        <v>12.080138</v>
      </c>
      <c r="K469" s="56">
        <v>13.929356</v>
      </c>
      <c r="L469" s="56">
        <v>1056.96</v>
      </c>
      <c r="M469" s="56">
        <v>70.000522000000004</v>
      </c>
      <c r="N469" s="274">
        <v>10892.306500000001</v>
      </c>
      <c r="O469" s="56">
        <v>10898.2757</v>
      </c>
      <c r="P469" s="275">
        <v>2078.62</v>
      </c>
      <c r="Q469" s="275">
        <f t="shared" ref="Q469:Q489" si="5">(Q$468-P$468)+P469</f>
        <v>2069.77</v>
      </c>
      <c r="R469" s="275" t="s">
        <v>570</v>
      </c>
      <c r="S469" s="275">
        <v>10</v>
      </c>
      <c r="T469" s="275">
        <v>5</v>
      </c>
      <c r="U469" s="275">
        <v>0.7</v>
      </c>
      <c r="V469" s="275">
        <v>0.7</v>
      </c>
      <c r="W469" s="275">
        <v>0.7</v>
      </c>
      <c r="X469" s="56">
        <v>2000</v>
      </c>
      <c r="Y469" s="56" t="s">
        <v>571</v>
      </c>
      <c r="Z469" s="56">
        <v>0.2</v>
      </c>
      <c r="AA469" s="56" t="s">
        <v>572</v>
      </c>
      <c r="AB469" s="56" t="s">
        <v>573</v>
      </c>
      <c r="AC469" s="56">
        <v>220</v>
      </c>
      <c r="AD469" s="277" t="s">
        <v>19</v>
      </c>
      <c r="AE469" s="177"/>
    </row>
    <row r="470" spans="1:31" ht="15.75" x14ac:dyDescent="0.25">
      <c r="A470" s="56" t="s">
        <v>711</v>
      </c>
      <c r="B470" s="56">
        <v>3</v>
      </c>
      <c r="C470" s="56">
        <v>638</v>
      </c>
      <c r="D470" s="56" t="s">
        <v>600</v>
      </c>
      <c r="E470" s="56">
        <v>1</v>
      </c>
      <c r="F470" s="278">
        <v>45755.659722222219</v>
      </c>
      <c r="G470" s="56">
        <v>1</v>
      </c>
      <c r="H470" s="56">
        <v>51.377400000000002</v>
      </c>
      <c r="I470" s="56">
        <v>9.7697400000000005</v>
      </c>
      <c r="J470" s="56">
        <v>12.070637</v>
      </c>
      <c r="K470" s="56">
        <v>13.559281</v>
      </c>
      <c r="L470" s="56">
        <v>1047.06</v>
      </c>
      <c r="M470" s="56">
        <v>75.500741000000005</v>
      </c>
      <c r="N470" s="274">
        <v>10904.2449</v>
      </c>
      <c r="O470" s="56">
        <v>10898.2757</v>
      </c>
      <c r="P470" s="275">
        <v>2078.62</v>
      </c>
      <c r="Q470" s="275">
        <f t="shared" si="5"/>
        <v>2069.77</v>
      </c>
      <c r="R470" s="275" t="s">
        <v>570</v>
      </c>
      <c r="S470" s="275">
        <v>10</v>
      </c>
      <c r="T470" s="275">
        <v>5</v>
      </c>
      <c r="U470" s="275">
        <v>0.7</v>
      </c>
      <c r="V470" s="275">
        <v>0.7</v>
      </c>
      <c r="W470" s="275">
        <v>0.7</v>
      </c>
      <c r="X470" s="56">
        <v>2000</v>
      </c>
      <c r="Y470" s="56" t="s">
        <v>571</v>
      </c>
      <c r="Z470" s="56">
        <v>0.2</v>
      </c>
      <c r="AA470" s="56" t="s">
        <v>572</v>
      </c>
      <c r="AB470" s="56" t="s">
        <v>573</v>
      </c>
      <c r="AC470" s="56">
        <v>220</v>
      </c>
      <c r="AD470" s="277" t="s">
        <v>19</v>
      </c>
      <c r="AE470" s="177"/>
    </row>
    <row r="471" spans="1:31" ht="15.75" x14ac:dyDescent="0.25">
      <c r="A471" s="56" t="s">
        <v>647</v>
      </c>
      <c r="B471" s="56">
        <v>4</v>
      </c>
      <c r="C471" s="56">
        <v>639</v>
      </c>
      <c r="D471" s="56" t="s">
        <v>604</v>
      </c>
      <c r="E471" s="56">
        <v>1</v>
      </c>
      <c r="F471" s="278">
        <v>45755.663194444445</v>
      </c>
      <c r="G471" s="56">
        <v>1</v>
      </c>
      <c r="H471" s="56">
        <v>51.380699999999997</v>
      </c>
      <c r="I471" s="56">
        <v>9.7248999999999999</v>
      </c>
      <c r="J471" s="56">
        <v>11.871461999999999</v>
      </c>
      <c r="K471" s="56">
        <v>13.229362999999999</v>
      </c>
      <c r="L471" s="56">
        <v>1040.58</v>
      </c>
      <c r="M471" s="56">
        <v>72.000086999999994</v>
      </c>
      <c r="N471" s="274">
        <v>10906.542100000001</v>
      </c>
      <c r="O471" s="56">
        <v>10912.3979</v>
      </c>
      <c r="P471" s="275">
        <v>2081.27</v>
      </c>
      <c r="Q471" s="275">
        <f t="shared" si="5"/>
        <v>2072.42</v>
      </c>
      <c r="R471" s="275" t="s">
        <v>570</v>
      </c>
      <c r="S471" s="275">
        <v>10</v>
      </c>
      <c r="T471" s="275">
        <v>5</v>
      </c>
      <c r="U471" s="275">
        <v>0.7</v>
      </c>
      <c r="V471" s="275">
        <v>0.7</v>
      </c>
      <c r="W471" s="275">
        <v>0.7</v>
      </c>
      <c r="X471" s="56">
        <v>2000</v>
      </c>
      <c r="Y471" s="56" t="s">
        <v>571</v>
      </c>
      <c r="Z471" s="56">
        <v>0.2</v>
      </c>
      <c r="AA471" s="56" t="s">
        <v>572</v>
      </c>
      <c r="AB471" s="56" t="s">
        <v>573</v>
      </c>
      <c r="AC471" s="56">
        <v>220</v>
      </c>
      <c r="AD471" s="277" t="s">
        <v>19</v>
      </c>
      <c r="AE471" s="177"/>
    </row>
    <row r="472" spans="1:31" ht="15.75" x14ac:dyDescent="0.25">
      <c r="A472" s="56" t="s">
        <v>648</v>
      </c>
      <c r="B472" s="56">
        <v>4</v>
      </c>
      <c r="C472" s="56">
        <v>639</v>
      </c>
      <c r="D472" s="56" t="s">
        <v>604</v>
      </c>
      <c r="E472" s="56">
        <v>1</v>
      </c>
      <c r="F472" s="278">
        <v>45755.666666666664</v>
      </c>
      <c r="G472" s="56">
        <v>1</v>
      </c>
      <c r="H472" s="56">
        <v>51.377400000000002</v>
      </c>
      <c r="I472" s="56">
        <v>9.6376600000000003</v>
      </c>
      <c r="J472" s="56">
        <v>11.944100000000001</v>
      </c>
      <c r="K472" s="56">
        <v>13.170313</v>
      </c>
      <c r="L472" s="56">
        <v>1038.5999999999999</v>
      </c>
      <c r="M472" s="56">
        <v>77.999936000000005</v>
      </c>
      <c r="N472" s="274">
        <v>10918.2536</v>
      </c>
      <c r="O472" s="56">
        <v>10912.3979</v>
      </c>
      <c r="P472" s="275">
        <v>2081.27</v>
      </c>
      <c r="Q472" s="275">
        <f t="shared" si="5"/>
        <v>2072.42</v>
      </c>
      <c r="R472" s="275" t="s">
        <v>570</v>
      </c>
      <c r="S472" s="275">
        <v>10</v>
      </c>
      <c r="T472" s="275">
        <v>5</v>
      </c>
      <c r="U472" s="275">
        <v>0.7</v>
      </c>
      <c r="V472" s="275">
        <v>0.7</v>
      </c>
      <c r="W472" s="275">
        <v>0.7</v>
      </c>
      <c r="X472" s="56">
        <v>2000</v>
      </c>
      <c r="Y472" s="56" t="s">
        <v>571</v>
      </c>
      <c r="Z472" s="56">
        <v>0.2</v>
      </c>
      <c r="AA472" s="56" t="s">
        <v>572</v>
      </c>
      <c r="AB472" s="56" t="s">
        <v>573</v>
      </c>
      <c r="AC472" s="56">
        <v>220</v>
      </c>
      <c r="AD472" s="277" t="s">
        <v>19</v>
      </c>
      <c r="AE472" s="177"/>
    </row>
    <row r="473" spans="1:31" ht="15.75" x14ac:dyDescent="0.25">
      <c r="A473" s="56" t="s">
        <v>649</v>
      </c>
      <c r="B473" s="56">
        <v>5</v>
      </c>
      <c r="C473" s="56">
        <v>534</v>
      </c>
      <c r="D473" s="56" t="s">
        <v>608</v>
      </c>
      <c r="E473" s="56">
        <v>1</v>
      </c>
      <c r="F473" s="278">
        <v>45755.670138888891</v>
      </c>
      <c r="G473" s="56">
        <v>1</v>
      </c>
      <c r="H473" s="56">
        <v>51.377400000000002</v>
      </c>
      <c r="I473" s="56">
        <v>9.7171500000000002</v>
      </c>
      <c r="J473" s="56">
        <v>11.814538000000001</v>
      </c>
      <c r="K473" s="56">
        <v>13.382237</v>
      </c>
      <c r="L473" s="56">
        <v>1068.8699999999999</v>
      </c>
      <c r="M473" s="56">
        <v>68.500146000000001</v>
      </c>
      <c r="N473" s="274">
        <v>10908.0401</v>
      </c>
      <c r="O473" s="56">
        <v>10928.672399999999</v>
      </c>
      <c r="P473" s="275">
        <v>2084.3200000000002</v>
      </c>
      <c r="Q473" s="275">
        <f t="shared" si="5"/>
        <v>2075.4700000000003</v>
      </c>
      <c r="R473" s="275" t="s">
        <v>584</v>
      </c>
      <c r="S473" s="275">
        <v>10</v>
      </c>
      <c r="T473" s="275">
        <v>5</v>
      </c>
      <c r="U473" s="275">
        <v>0.7</v>
      </c>
      <c r="V473" s="275">
        <v>0.7</v>
      </c>
      <c r="W473" s="275">
        <v>0.7</v>
      </c>
      <c r="X473" s="56">
        <v>2000</v>
      </c>
      <c r="Y473" s="56" t="s">
        <v>571</v>
      </c>
      <c r="Z473" s="56">
        <v>0.2</v>
      </c>
      <c r="AA473" s="56" t="s">
        <v>572</v>
      </c>
      <c r="AB473" s="56" t="s">
        <v>573</v>
      </c>
      <c r="AC473" s="56">
        <v>220</v>
      </c>
      <c r="AD473" s="277" t="s">
        <v>19</v>
      </c>
      <c r="AE473" s="177"/>
    </row>
    <row r="474" spans="1:31" ht="15.75" x14ac:dyDescent="0.25">
      <c r="A474" s="56" t="s">
        <v>650</v>
      </c>
      <c r="B474" s="56">
        <v>5</v>
      </c>
      <c r="C474" s="56">
        <v>534</v>
      </c>
      <c r="D474" s="56" t="s">
        <v>608</v>
      </c>
      <c r="E474" s="56">
        <v>1</v>
      </c>
      <c r="F474" s="278">
        <v>45755.67291666667</v>
      </c>
      <c r="G474" s="56">
        <v>1</v>
      </c>
      <c r="H474" s="56">
        <v>51.374099999999999</v>
      </c>
      <c r="I474" s="56">
        <v>9.8608499999999992</v>
      </c>
      <c r="J474" s="56">
        <v>11.815899999999999</v>
      </c>
      <c r="K474" s="56">
        <v>12.831644000000001</v>
      </c>
      <c r="L474" s="56">
        <v>1037.99</v>
      </c>
      <c r="M474" s="56">
        <v>78.000788999999997</v>
      </c>
      <c r="N474" s="274">
        <v>10934.2019</v>
      </c>
      <c r="O474" s="56">
        <v>10928.672399999999</v>
      </c>
      <c r="P474" s="275">
        <v>2084.3200000000002</v>
      </c>
      <c r="Q474" s="275">
        <f t="shared" si="5"/>
        <v>2075.4700000000003</v>
      </c>
      <c r="R474" s="275" t="s">
        <v>570</v>
      </c>
      <c r="S474" s="275">
        <v>10</v>
      </c>
      <c r="T474" s="275">
        <v>5</v>
      </c>
      <c r="U474" s="275">
        <v>0.7</v>
      </c>
      <c r="V474" s="275">
        <v>0.7</v>
      </c>
      <c r="W474" s="275">
        <v>0.7</v>
      </c>
      <c r="X474" s="56">
        <v>2000</v>
      </c>
      <c r="Y474" s="56" t="s">
        <v>571</v>
      </c>
      <c r="Z474" s="56">
        <v>0.2</v>
      </c>
      <c r="AA474" s="56" t="s">
        <v>572</v>
      </c>
      <c r="AB474" s="56" t="s">
        <v>573</v>
      </c>
      <c r="AC474" s="56">
        <v>220</v>
      </c>
      <c r="AD474" s="277" t="s">
        <v>19</v>
      </c>
      <c r="AE474" s="177"/>
    </row>
    <row r="475" spans="1:31" ht="15.75" x14ac:dyDescent="0.25">
      <c r="A475" s="56" t="s">
        <v>756</v>
      </c>
      <c r="B475" s="56">
        <v>5</v>
      </c>
      <c r="C475" s="56">
        <v>534</v>
      </c>
      <c r="D475" s="56" t="s">
        <v>608</v>
      </c>
      <c r="E475" s="56">
        <v>1</v>
      </c>
      <c r="F475" s="278">
        <v>45755.675694444442</v>
      </c>
      <c r="G475" s="56">
        <v>1</v>
      </c>
      <c r="H475" s="56">
        <v>51.377400000000002</v>
      </c>
      <c r="I475" s="56">
        <v>9.7560199999999995</v>
      </c>
      <c r="J475" s="56">
        <v>11.658725</v>
      </c>
      <c r="K475" s="56">
        <v>13.018212999999999</v>
      </c>
      <c r="L475" s="56">
        <v>1029.79</v>
      </c>
      <c r="M475" s="56">
        <v>75.499129999999994</v>
      </c>
      <c r="N475" s="274">
        <v>10923.142900000001</v>
      </c>
      <c r="O475" s="56">
        <v>10928.672399999999</v>
      </c>
      <c r="P475" s="275">
        <v>2084.3200000000002</v>
      </c>
      <c r="Q475" s="275">
        <f t="shared" si="5"/>
        <v>2075.4700000000003</v>
      </c>
      <c r="R475" s="275" t="s">
        <v>570</v>
      </c>
      <c r="S475" s="275">
        <v>10</v>
      </c>
      <c r="T475" s="275">
        <v>5</v>
      </c>
      <c r="U475" s="275">
        <v>0.7</v>
      </c>
      <c r="V475" s="275">
        <v>0.7</v>
      </c>
      <c r="W475" s="275">
        <v>0.7</v>
      </c>
      <c r="X475" s="56">
        <v>2000</v>
      </c>
      <c r="Y475" s="56" t="s">
        <v>571</v>
      </c>
      <c r="Z475" s="56">
        <v>0.2</v>
      </c>
      <c r="AA475" s="56" t="s">
        <v>572</v>
      </c>
      <c r="AB475" s="56" t="s">
        <v>573</v>
      </c>
      <c r="AC475" s="56">
        <v>220</v>
      </c>
      <c r="AD475" s="277" t="s">
        <v>19</v>
      </c>
      <c r="AE475" s="177"/>
    </row>
    <row r="476" spans="1:31" ht="15.75" x14ac:dyDescent="0.25">
      <c r="A476" s="56" t="s">
        <v>651</v>
      </c>
      <c r="B476" s="56">
        <v>6</v>
      </c>
      <c r="C476" s="56">
        <v>535</v>
      </c>
      <c r="D476" s="56" t="s">
        <v>618</v>
      </c>
      <c r="E476" s="56">
        <v>1</v>
      </c>
      <c r="F476" s="278">
        <v>45755.679166666669</v>
      </c>
      <c r="G476" s="56">
        <v>1</v>
      </c>
      <c r="H476" s="56">
        <v>51.374099999999999</v>
      </c>
      <c r="I476" s="56">
        <v>9.6910600000000002</v>
      </c>
      <c r="J476" s="56">
        <v>11.745575000000001</v>
      </c>
      <c r="K476" s="56">
        <v>12.631444</v>
      </c>
      <c r="L476" s="56">
        <v>1029.32</v>
      </c>
      <c r="M476" s="56">
        <v>82.999654000000007</v>
      </c>
      <c r="N476" s="274">
        <v>10937.724399999999</v>
      </c>
      <c r="O476" s="56">
        <v>10931.3734</v>
      </c>
      <c r="P476" s="275">
        <v>2084.83</v>
      </c>
      <c r="Q476" s="275">
        <f t="shared" si="5"/>
        <v>2075.98</v>
      </c>
      <c r="R476" s="275" t="s">
        <v>570</v>
      </c>
      <c r="S476" s="275">
        <v>10</v>
      </c>
      <c r="T476" s="275">
        <v>5</v>
      </c>
      <c r="U476" s="275">
        <v>0.7</v>
      </c>
      <c r="V476" s="275">
        <v>0.7</v>
      </c>
      <c r="W476" s="275">
        <v>0.7</v>
      </c>
      <c r="X476" s="56">
        <v>2000</v>
      </c>
      <c r="Y476" s="56" t="s">
        <v>571</v>
      </c>
      <c r="Z476" s="56">
        <v>0.2</v>
      </c>
      <c r="AA476" s="56" t="s">
        <v>572</v>
      </c>
      <c r="AB476" s="56" t="s">
        <v>573</v>
      </c>
      <c r="AC476" s="56">
        <v>220</v>
      </c>
      <c r="AD476" s="277" t="s">
        <v>19</v>
      </c>
      <c r="AE476" s="177"/>
    </row>
    <row r="477" spans="1:31" ht="15.75" x14ac:dyDescent="0.25">
      <c r="A477" s="56" t="s">
        <v>652</v>
      </c>
      <c r="B477" s="56">
        <v>6</v>
      </c>
      <c r="C477" s="56">
        <v>535</v>
      </c>
      <c r="D477" s="56" t="s">
        <v>618</v>
      </c>
      <c r="E477" s="56">
        <v>1</v>
      </c>
      <c r="F477" s="278">
        <v>45755.681944444441</v>
      </c>
      <c r="G477" s="56">
        <v>1</v>
      </c>
      <c r="H477" s="56">
        <v>51.374099999999999</v>
      </c>
      <c r="I477" s="56">
        <v>9.7574500000000004</v>
      </c>
      <c r="J477" s="56">
        <v>11.753456</v>
      </c>
      <c r="K477" s="56">
        <v>12.70425</v>
      </c>
      <c r="L477" s="56">
        <v>1046.3800000000001</v>
      </c>
      <c r="M477" s="56">
        <v>79.498880999999997</v>
      </c>
      <c r="N477" s="274">
        <v>10925.022300000001</v>
      </c>
      <c r="O477" s="56">
        <v>10931.3734</v>
      </c>
      <c r="P477" s="275">
        <v>2084.83</v>
      </c>
      <c r="Q477" s="275">
        <f t="shared" si="5"/>
        <v>2075.98</v>
      </c>
      <c r="R477" s="275" t="s">
        <v>570</v>
      </c>
      <c r="S477" s="275">
        <v>10</v>
      </c>
      <c r="T477" s="275">
        <v>5</v>
      </c>
      <c r="U477" s="275">
        <v>0.7</v>
      </c>
      <c r="V477" s="275">
        <v>0.7</v>
      </c>
      <c r="W477" s="275">
        <v>0.7</v>
      </c>
      <c r="X477" s="56">
        <v>2000</v>
      </c>
      <c r="Y477" s="56" t="s">
        <v>571</v>
      </c>
      <c r="Z477" s="56">
        <v>0.2</v>
      </c>
      <c r="AA477" s="56" t="s">
        <v>572</v>
      </c>
      <c r="AB477" s="56" t="s">
        <v>573</v>
      </c>
      <c r="AC477" s="56">
        <v>220</v>
      </c>
      <c r="AD477" s="277" t="s">
        <v>19</v>
      </c>
      <c r="AE477" s="177"/>
    </row>
    <row r="478" spans="1:31" ht="15.75" x14ac:dyDescent="0.25">
      <c r="A478" s="56" t="s">
        <v>655</v>
      </c>
      <c r="B478" s="56">
        <v>7</v>
      </c>
      <c r="C478" s="56">
        <v>599</v>
      </c>
      <c r="D478" s="56" t="s">
        <v>623</v>
      </c>
      <c r="E478" s="56">
        <v>1</v>
      </c>
      <c r="F478" s="278">
        <v>45755.685416666667</v>
      </c>
      <c r="G478" s="56">
        <v>1</v>
      </c>
      <c r="H478" s="56">
        <v>51.377400000000002</v>
      </c>
      <c r="I478" s="56">
        <v>9.7096900000000002</v>
      </c>
      <c r="J478" s="56">
        <v>11.623513000000001</v>
      </c>
      <c r="K478" s="56">
        <v>13.044631000000001</v>
      </c>
      <c r="L478" s="56">
        <v>1060.44</v>
      </c>
      <c r="M478" s="56">
        <v>68.999171000000004</v>
      </c>
      <c r="N478" s="274">
        <v>10888.176100000001</v>
      </c>
      <c r="O478" s="56">
        <v>10896.4763</v>
      </c>
      <c r="P478" s="275">
        <v>2078.29</v>
      </c>
      <c r="Q478" s="275">
        <f t="shared" si="5"/>
        <v>2069.44</v>
      </c>
      <c r="R478" s="275" t="s">
        <v>570</v>
      </c>
      <c r="S478" s="275">
        <v>10</v>
      </c>
      <c r="T478" s="275">
        <v>5</v>
      </c>
      <c r="U478" s="275">
        <v>0.7</v>
      </c>
      <c r="V478" s="275">
        <v>0.7</v>
      </c>
      <c r="W478" s="275">
        <v>0.7</v>
      </c>
      <c r="X478" s="56">
        <v>2000</v>
      </c>
      <c r="Y478" s="56" t="s">
        <v>571</v>
      </c>
      <c r="Z478" s="56">
        <v>0.2</v>
      </c>
      <c r="AA478" s="56" t="s">
        <v>572</v>
      </c>
      <c r="AB478" s="56" t="s">
        <v>573</v>
      </c>
      <c r="AC478" s="56">
        <v>220</v>
      </c>
      <c r="AD478" s="277" t="s">
        <v>19</v>
      </c>
      <c r="AE478" s="177"/>
    </row>
    <row r="479" spans="1:31" ht="15.75" x14ac:dyDescent="0.25">
      <c r="A479" s="56" t="s">
        <v>656</v>
      </c>
      <c r="B479" s="56">
        <v>7</v>
      </c>
      <c r="C479" s="56">
        <v>599</v>
      </c>
      <c r="D479" s="56" t="s">
        <v>623</v>
      </c>
      <c r="E479" s="56">
        <v>1</v>
      </c>
      <c r="F479" s="278">
        <v>45755.688194444447</v>
      </c>
      <c r="G479" s="56">
        <v>1</v>
      </c>
      <c r="H479" s="56">
        <v>51.380699999999997</v>
      </c>
      <c r="I479" s="56">
        <v>9.7588699999999999</v>
      </c>
      <c r="J479" s="56">
        <v>11.790725</v>
      </c>
      <c r="K479" s="56">
        <v>12.62885</v>
      </c>
      <c r="L479" s="56">
        <v>1034.04</v>
      </c>
      <c r="M479" s="56">
        <v>80.001271000000003</v>
      </c>
      <c r="N479" s="274">
        <v>10904.7765</v>
      </c>
      <c r="O479" s="56">
        <v>10896.4763</v>
      </c>
      <c r="P479" s="275">
        <v>2078.29</v>
      </c>
      <c r="Q479" s="275">
        <f t="shared" si="5"/>
        <v>2069.44</v>
      </c>
      <c r="R479" s="275" t="s">
        <v>570</v>
      </c>
      <c r="S479" s="275">
        <v>10</v>
      </c>
      <c r="T479" s="275">
        <v>5</v>
      </c>
      <c r="U479" s="275">
        <v>0.7</v>
      </c>
      <c r="V479" s="275">
        <v>0.7</v>
      </c>
      <c r="W479" s="275">
        <v>0.7</v>
      </c>
      <c r="X479" s="56">
        <v>2000</v>
      </c>
      <c r="Y479" s="56" t="s">
        <v>571</v>
      </c>
      <c r="Z479" s="56">
        <v>0.2</v>
      </c>
      <c r="AA479" s="56" t="s">
        <v>572</v>
      </c>
      <c r="AB479" s="56" t="s">
        <v>573</v>
      </c>
      <c r="AC479" s="56">
        <v>220</v>
      </c>
      <c r="AD479" s="277" t="s">
        <v>19</v>
      </c>
      <c r="AE479" s="177"/>
    </row>
    <row r="480" spans="1:31" ht="15.75" x14ac:dyDescent="0.25">
      <c r="A480" s="56" t="s">
        <v>659</v>
      </c>
      <c r="B480" s="56">
        <v>8</v>
      </c>
      <c r="C480" s="56">
        <v>600</v>
      </c>
      <c r="D480" s="56" t="s">
        <v>629</v>
      </c>
      <c r="E480" s="56">
        <v>1</v>
      </c>
      <c r="F480" s="278">
        <v>45755.691666666666</v>
      </c>
      <c r="G480" s="56">
        <v>1</v>
      </c>
      <c r="H480" s="56">
        <v>51.377400000000002</v>
      </c>
      <c r="I480" s="56">
        <v>9.7618100000000005</v>
      </c>
      <c r="J480" s="56">
        <v>11.647981</v>
      </c>
      <c r="K480" s="56">
        <v>12.707019000000001</v>
      </c>
      <c r="L480" s="56">
        <v>1057.48</v>
      </c>
      <c r="M480" s="56">
        <v>75.999879000000007</v>
      </c>
      <c r="N480" s="274">
        <v>10891.124299999999</v>
      </c>
      <c r="O480" s="56">
        <v>10870.8352</v>
      </c>
      <c r="P480" s="275">
        <v>2073.48</v>
      </c>
      <c r="Q480" s="275">
        <f t="shared" si="5"/>
        <v>2064.63</v>
      </c>
      <c r="R480" s="275" t="s">
        <v>584</v>
      </c>
      <c r="S480" s="275">
        <v>10</v>
      </c>
      <c r="T480" s="275">
        <v>5</v>
      </c>
      <c r="U480" s="275">
        <v>0.7</v>
      </c>
      <c r="V480" s="275">
        <v>0.7</v>
      </c>
      <c r="W480" s="275">
        <v>0.7</v>
      </c>
      <c r="X480" s="56">
        <v>2000</v>
      </c>
      <c r="Y480" s="56" t="s">
        <v>571</v>
      </c>
      <c r="Z480" s="56">
        <v>0.2</v>
      </c>
      <c r="AA480" s="56" t="s">
        <v>572</v>
      </c>
      <c r="AB480" s="56" t="s">
        <v>573</v>
      </c>
      <c r="AC480" s="56">
        <v>220</v>
      </c>
      <c r="AD480" s="277" t="s">
        <v>19</v>
      </c>
      <c r="AE480" s="177"/>
    </row>
    <row r="481" spans="1:31" ht="15.75" x14ac:dyDescent="0.25">
      <c r="A481" s="56" t="s">
        <v>660</v>
      </c>
      <c r="B481" s="56">
        <v>8</v>
      </c>
      <c r="C481" s="56">
        <v>600</v>
      </c>
      <c r="D481" s="56" t="s">
        <v>629</v>
      </c>
      <c r="E481" s="56">
        <v>1</v>
      </c>
      <c r="F481" s="278">
        <v>45755.694444444445</v>
      </c>
      <c r="G481" s="56">
        <v>1</v>
      </c>
      <c r="H481" s="56">
        <v>51.374099999999999</v>
      </c>
      <c r="I481" s="56">
        <v>10.048400000000001</v>
      </c>
      <c r="J481" s="56">
        <v>11.566144</v>
      </c>
      <c r="K481" s="56">
        <v>13.50545</v>
      </c>
      <c r="L481" s="56">
        <v>1049.6099999999999</v>
      </c>
      <c r="M481" s="56">
        <v>64.500821000000002</v>
      </c>
      <c r="N481" s="274">
        <v>10833.6855</v>
      </c>
      <c r="O481" s="56">
        <v>10870.8352</v>
      </c>
      <c r="P481" s="275">
        <v>2073.48</v>
      </c>
      <c r="Q481" s="275">
        <f t="shared" si="5"/>
        <v>2064.63</v>
      </c>
      <c r="R481" s="275" t="s">
        <v>584</v>
      </c>
      <c r="S481" s="275">
        <v>10</v>
      </c>
      <c r="T481" s="275">
        <v>5</v>
      </c>
      <c r="U481" s="275">
        <v>0.7</v>
      </c>
      <c r="V481" s="275">
        <v>0.7</v>
      </c>
      <c r="W481" s="275">
        <v>0.7</v>
      </c>
      <c r="X481" s="56">
        <v>2000</v>
      </c>
      <c r="Y481" s="56" t="s">
        <v>571</v>
      </c>
      <c r="Z481" s="56">
        <v>0.2</v>
      </c>
      <c r="AA481" s="56" t="s">
        <v>572</v>
      </c>
      <c r="AB481" s="56" t="s">
        <v>573</v>
      </c>
      <c r="AC481" s="56">
        <v>220</v>
      </c>
      <c r="AD481" s="277" t="s">
        <v>19</v>
      </c>
      <c r="AE481" s="177"/>
    </row>
    <row r="482" spans="1:31" ht="15.75" x14ac:dyDescent="0.25">
      <c r="A482" s="56" t="s">
        <v>839</v>
      </c>
      <c r="B482" s="56">
        <v>8</v>
      </c>
      <c r="C482" s="56">
        <v>600</v>
      </c>
      <c r="D482" s="56" t="s">
        <v>629</v>
      </c>
      <c r="E482" s="56">
        <v>1</v>
      </c>
      <c r="F482" s="278">
        <v>45755.697222222225</v>
      </c>
      <c r="G482" s="56">
        <v>1</v>
      </c>
      <c r="H482" s="56">
        <v>51.370800000000003</v>
      </c>
      <c r="I482" s="56">
        <v>9.8594100000000005</v>
      </c>
      <c r="J482" s="56">
        <v>11.581524999999999</v>
      </c>
      <c r="K482" s="56">
        <v>13.167712999999999</v>
      </c>
      <c r="L482" s="56">
        <v>1060.3800000000001</v>
      </c>
      <c r="M482" s="56">
        <v>67.998576</v>
      </c>
      <c r="N482" s="274">
        <v>10870.030500000001</v>
      </c>
      <c r="O482" s="56">
        <v>10870.8352</v>
      </c>
      <c r="P482" s="275">
        <v>2073.48</v>
      </c>
      <c r="Q482" s="275">
        <f t="shared" si="5"/>
        <v>2064.63</v>
      </c>
      <c r="R482" s="275" t="s">
        <v>570</v>
      </c>
      <c r="S482" s="275">
        <v>10</v>
      </c>
      <c r="T482" s="275">
        <v>5</v>
      </c>
      <c r="U482" s="275">
        <v>0.7</v>
      </c>
      <c r="V482" s="275">
        <v>0.7</v>
      </c>
      <c r="W482" s="275">
        <v>0.7</v>
      </c>
      <c r="X482" s="56">
        <v>2000</v>
      </c>
      <c r="Y482" s="56" t="s">
        <v>571</v>
      </c>
      <c r="Z482" s="56">
        <v>0.2</v>
      </c>
      <c r="AA482" s="56" t="s">
        <v>572</v>
      </c>
      <c r="AB482" s="56" t="s">
        <v>573</v>
      </c>
      <c r="AC482" s="56">
        <v>220</v>
      </c>
      <c r="AD482" s="277" t="s">
        <v>19</v>
      </c>
      <c r="AE482" s="177"/>
    </row>
    <row r="483" spans="1:31" ht="15.75" x14ac:dyDescent="0.25">
      <c r="A483" s="56" t="s">
        <v>840</v>
      </c>
      <c r="B483" s="56">
        <v>8</v>
      </c>
      <c r="C483" s="56">
        <v>600</v>
      </c>
      <c r="D483" s="56" t="s">
        <v>629</v>
      </c>
      <c r="E483" s="56">
        <v>1</v>
      </c>
      <c r="F483" s="278">
        <v>45755.7</v>
      </c>
      <c r="G483" s="56">
        <v>1</v>
      </c>
      <c r="H483" s="56">
        <v>51.374099999999999</v>
      </c>
      <c r="I483" s="56">
        <v>9.8595199999999998</v>
      </c>
      <c r="J483" s="56">
        <v>11.801163000000001</v>
      </c>
      <c r="K483" s="56">
        <v>13.080368999999999</v>
      </c>
      <c r="L483" s="56">
        <v>1039.81</v>
      </c>
      <c r="M483" s="56">
        <v>68.500502999999995</v>
      </c>
      <c r="N483" s="274">
        <v>10871.6399</v>
      </c>
      <c r="O483" s="56">
        <v>10870.8352</v>
      </c>
      <c r="P483" s="275">
        <v>2073.48</v>
      </c>
      <c r="Q483" s="275">
        <f t="shared" si="5"/>
        <v>2064.63</v>
      </c>
      <c r="R483" s="275" t="s">
        <v>570</v>
      </c>
      <c r="S483" s="275">
        <v>10</v>
      </c>
      <c r="T483" s="275">
        <v>5</v>
      </c>
      <c r="U483" s="275">
        <v>0.7</v>
      </c>
      <c r="V483" s="275">
        <v>0.7</v>
      </c>
      <c r="W483" s="275">
        <v>0.7</v>
      </c>
      <c r="X483" s="56">
        <v>2000</v>
      </c>
      <c r="Y483" s="56" t="s">
        <v>571</v>
      </c>
      <c r="Z483" s="56">
        <v>0.2</v>
      </c>
      <c r="AA483" s="56" t="s">
        <v>572</v>
      </c>
      <c r="AB483" s="56" t="s">
        <v>573</v>
      </c>
      <c r="AC483" s="56">
        <v>220</v>
      </c>
      <c r="AD483" s="277" t="s">
        <v>19</v>
      </c>
      <c r="AE483" s="177"/>
    </row>
    <row r="484" spans="1:31" ht="15.75" x14ac:dyDescent="0.25">
      <c r="A484" s="56" t="s">
        <v>661</v>
      </c>
      <c r="B484" s="56">
        <v>9</v>
      </c>
      <c r="C484" s="56">
        <v>664</v>
      </c>
      <c r="D484" s="56" t="s">
        <v>633</v>
      </c>
      <c r="E484" s="56">
        <v>1</v>
      </c>
      <c r="F484" s="278">
        <v>45755.703472222223</v>
      </c>
      <c r="G484" s="56">
        <v>1</v>
      </c>
      <c r="H484" s="56">
        <v>51.370800000000003</v>
      </c>
      <c r="I484" s="56">
        <v>9.8644700000000007</v>
      </c>
      <c r="J484" s="56">
        <v>11.479188000000001</v>
      </c>
      <c r="K484" s="56">
        <v>13.319713</v>
      </c>
      <c r="L484" s="56">
        <v>1052</v>
      </c>
      <c r="M484" s="56">
        <v>64.999403000000001</v>
      </c>
      <c r="N484" s="274">
        <v>10882.156300000001</v>
      </c>
      <c r="O484" s="56">
        <v>10880.521500000001</v>
      </c>
      <c r="P484" s="275">
        <v>2075.3000000000002</v>
      </c>
      <c r="Q484" s="275">
        <f t="shared" si="5"/>
        <v>2066.4500000000003</v>
      </c>
      <c r="R484" s="275" t="s">
        <v>570</v>
      </c>
      <c r="S484" s="275">
        <v>10</v>
      </c>
      <c r="T484" s="275">
        <v>5</v>
      </c>
      <c r="U484" s="275">
        <v>0.7</v>
      </c>
      <c r="V484" s="275">
        <v>0.7</v>
      </c>
      <c r="W484" s="275">
        <v>0.7</v>
      </c>
      <c r="X484" s="56">
        <v>2000</v>
      </c>
      <c r="Y484" s="56" t="s">
        <v>571</v>
      </c>
      <c r="Z484" s="56">
        <v>0.2</v>
      </c>
      <c r="AA484" s="56" t="s">
        <v>572</v>
      </c>
      <c r="AB484" s="56" t="s">
        <v>573</v>
      </c>
      <c r="AC484" s="56">
        <v>220</v>
      </c>
      <c r="AD484" s="277" t="s">
        <v>19</v>
      </c>
      <c r="AE484" s="177"/>
    </row>
    <row r="485" spans="1:31" ht="15.75" x14ac:dyDescent="0.25">
      <c r="A485" s="56" t="s">
        <v>662</v>
      </c>
      <c r="B485" s="56">
        <v>9</v>
      </c>
      <c r="C485" s="56">
        <v>664</v>
      </c>
      <c r="D485" s="56" t="s">
        <v>633</v>
      </c>
      <c r="E485" s="56">
        <v>1</v>
      </c>
      <c r="F485" s="278">
        <v>45755.706250000003</v>
      </c>
      <c r="G485" s="56">
        <v>1</v>
      </c>
      <c r="H485" s="56">
        <v>51.374099999999999</v>
      </c>
      <c r="I485" s="56">
        <v>9.8800100000000004</v>
      </c>
      <c r="J485" s="56">
        <v>11.560356000000001</v>
      </c>
      <c r="K485" s="56">
        <v>12.656056</v>
      </c>
      <c r="L485" s="56">
        <v>1044.49</v>
      </c>
      <c r="M485" s="56">
        <v>73.999607999999995</v>
      </c>
      <c r="N485" s="274">
        <v>10878.8866</v>
      </c>
      <c r="O485" s="56">
        <v>10880.521500000001</v>
      </c>
      <c r="P485" s="275">
        <v>2075.3000000000002</v>
      </c>
      <c r="Q485" s="275">
        <f t="shared" si="5"/>
        <v>2066.4500000000003</v>
      </c>
      <c r="R485" s="275" t="s">
        <v>570</v>
      </c>
      <c r="S485" s="275">
        <v>10</v>
      </c>
      <c r="T485" s="275">
        <v>5</v>
      </c>
      <c r="U485" s="275">
        <v>0.7</v>
      </c>
      <c r="V485" s="275">
        <v>0.7</v>
      </c>
      <c r="W485" s="275">
        <v>0.7</v>
      </c>
      <c r="X485" s="56">
        <v>2000</v>
      </c>
      <c r="Y485" s="56" t="s">
        <v>571</v>
      </c>
      <c r="Z485" s="56">
        <v>0.2</v>
      </c>
      <c r="AA485" s="56" t="s">
        <v>572</v>
      </c>
      <c r="AB485" s="56" t="s">
        <v>573</v>
      </c>
      <c r="AC485" s="56">
        <v>220</v>
      </c>
      <c r="AD485" s="277" t="s">
        <v>19</v>
      </c>
      <c r="AE485" s="177"/>
    </row>
    <row r="486" spans="1:31" ht="15.75" x14ac:dyDescent="0.25">
      <c r="A486" s="56" t="s">
        <v>663</v>
      </c>
      <c r="B486" s="56">
        <v>10</v>
      </c>
      <c r="C486" s="56">
        <v>665</v>
      </c>
      <c r="D486" s="56" t="s">
        <v>637</v>
      </c>
      <c r="E486" s="56">
        <v>1</v>
      </c>
      <c r="F486" s="278">
        <v>45755.709722222222</v>
      </c>
      <c r="G486" s="56">
        <v>1</v>
      </c>
      <c r="H486" s="56">
        <v>51.377400000000002</v>
      </c>
      <c r="I486" s="56">
        <v>9.7088999999999999</v>
      </c>
      <c r="J486" s="56">
        <v>11.448425</v>
      </c>
      <c r="K486" s="56">
        <v>13.048475</v>
      </c>
      <c r="L486" s="56">
        <v>1057.06</v>
      </c>
      <c r="M486" s="56">
        <v>72.499570000000006</v>
      </c>
      <c r="N486" s="274">
        <v>10869.2261</v>
      </c>
      <c r="O486" s="56">
        <v>10872.299000000001</v>
      </c>
      <c r="P486" s="275">
        <v>2073.7600000000002</v>
      </c>
      <c r="Q486" s="275">
        <f t="shared" si="5"/>
        <v>2064.9100000000003</v>
      </c>
      <c r="R486" s="275" t="s">
        <v>570</v>
      </c>
      <c r="S486" s="275">
        <v>10</v>
      </c>
      <c r="T486" s="275">
        <v>5</v>
      </c>
      <c r="U486" s="275">
        <v>0.7</v>
      </c>
      <c r="V486" s="275">
        <v>0.7</v>
      </c>
      <c r="W486" s="275">
        <v>0.7</v>
      </c>
      <c r="X486" s="56">
        <v>2000</v>
      </c>
      <c r="Y486" s="56" t="s">
        <v>571</v>
      </c>
      <c r="Z486" s="56">
        <v>0.2</v>
      </c>
      <c r="AA486" s="56" t="s">
        <v>572</v>
      </c>
      <c r="AB486" s="56" t="s">
        <v>573</v>
      </c>
      <c r="AC486" s="56">
        <v>220</v>
      </c>
      <c r="AD486" s="277" t="s">
        <v>19</v>
      </c>
      <c r="AE486" s="177"/>
    </row>
    <row r="487" spans="1:31" ht="15.75" x14ac:dyDescent="0.25">
      <c r="A487" s="56" t="s">
        <v>664</v>
      </c>
      <c r="B487" s="56">
        <v>10</v>
      </c>
      <c r="C487" s="56">
        <v>665</v>
      </c>
      <c r="D487" s="56" t="s">
        <v>637</v>
      </c>
      <c r="E487" s="56">
        <v>1</v>
      </c>
      <c r="F487" s="278">
        <v>45755.712500000001</v>
      </c>
      <c r="G487" s="56">
        <v>1</v>
      </c>
      <c r="H487" s="56">
        <v>51.377400000000002</v>
      </c>
      <c r="I487" s="56">
        <v>9.7670300000000001</v>
      </c>
      <c r="J487" s="56">
        <v>11.356094000000001</v>
      </c>
      <c r="K487" s="56">
        <v>12.784649999999999</v>
      </c>
      <c r="L487" s="56">
        <v>1070.6199999999999</v>
      </c>
      <c r="M487" s="56">
        <v>71.500838000000002</v>
      </c>
      <c r="N487" s="274">
        <v>10875.3719</v>
      </c>
      <c r="O487" s="56">
        <v>10872.299000000001</v>
      </c>
      <c r="P487" s="275">
        <v>2073.7600000000002</v>
      </c>
      <c r="Q487" s="275">
        <f t="shared" si="5"/>
        <v>2064.9100000000003</v>
      </c>
      <c r="R487" s="275" t="s">
        <v>570</v>
      </c>
      <c r="S487" s="275">
        <v>10</v>
      </c>
      <c r="T487" s="275">
        <v>5</v>
      </c>
      <c r="U487" s="275">
        <v>0.7</v>
      </c>
      <c r="V487" s="275">
        <v>0.7</v>
      </c>
      <c r="W487" s="275">
        <v>0.7</v>
      </c>
      <c r="X487" s="56">
        <v>2000</v>
      </c>
      <c r="Y487" s="56" t="s">
        <v>571</v>
      </c>
      <c r="Z487" s="56">
        <v>0.2</v>
      </c>
      <c r="AA487" s="56" t="s">
        <v>572</v>
      </c>
      <c r="AB487" s="56" t="s">
        <v>573</v>
      </c>
      <c r="AC487" s="56">
        <v>220</v>
      </c>
      <c r="AD487" s="277" t="s">
        <v>19</v>
      </c>
      <c r="AE487" s="177"/>
    </row>
    <row r="488" spans="1:31" ht="15.75" x14ac:dyDescent="0.25">
      <c r="A488" s="289" t="s">
        <v>665</v>
      </c>
      <c r="B488" s="289">
        <v>11</v>
      </c>
      <c r="C488" s="289" t="s">
        <v>537</v>
      </c>
      <c r="D488" s="289" t="s">
        <v>569</v>
      </c>
      <c r="E488" s="289">
        <v>1</v>
      </c>
      <c r="F488" s="290">
        <v>45755.71597222222</v>
      </c>
      <c r="G488" s="289">
        <v>1</v>
      </c>
      <c r="H488" s="289">
        <v>51.374099999999999</v>
      </c>
      <c r="I488" s="289">
        <v>9.6283799999999999</v>
      </c>
      <c r="J488" s="289">
        <v>11.247536999999999</v>
      </c>
      <c r="K488" s="289">
        <v>12.393269</v>
      </c>
      <c r="L488" s="289">
        <v>1070.02</v>
      </c>
      <c r="M488" s="289">
        <v>82.499399999999994</v>
      </c>
      <c r="N488" s="291">
        <v>11008.8704</v>
      </c>
      <c r="O488" s="289">
        <v>11014.666300000001</v>
      </c>
      <c r="P488" s="292">
        <v>2100.4299999999998</v>
      </c>
      <c r="Q488" s="275">
        <f t="shared" si="5"/>
        <v>2091.58</v>
      </c>
      <c r="R488" s="292" t="s">
        <v>570</v>
      </c>
      <c r="S488" s="292">
        <v>10</v>
      </c>
      <c r="T488" s="292">
        <v>5</v>
      </c>
      <c r="U488" s="292">
        <v>0.7</v>
      </c>
      <c r="V488" s="292">
        <v>0.7</v>
      </c>
      <c r="W488" s="292">
        <v>0.7</v>
      </c>
      <c r="X488" s="289">
        <v>2000</v>
      </c>
      <c r="Y488" s="289" t="s">
        <v>571</v>
      </c>
      <c r="Z488" s="289">
        <v>0.2</v>
      </c>
      <c r="AA488" s="289" t="s">
        <v>572</v>
      </c>
      <c r="AB488" s="289" t="s">
        <v>573</v>
      </c>
      <c r="AC488" s="289">
        <v>220</v>
      </c>
      <c r="AD488" s="277" t="s">
        <v>19</v>
      </c>
      <c r="AE488" s="299"/>
    </row>
    <row r="489" spans="1:31" ht="15.75" x14ac:dyDescent="0.25">
      <c r="A489" s="289" t="s">
        <v>666</v>
      </c>
      <c r="B489" s="289">
        <v>11</v>
      </c>
      <c r="C489" s="289" t="s">
        <v>537</v>
      </c>
      <c r="D489" s="289" t="s">
        <v>569</v>
      </c>
      <c r="E489" s="289">
        <v>1</v>
      </c>
      <c r="F489" s="290">
        <v>45755.71875</v>
      </c>
      <c r="G489" s="289">
        <v>1</v>
      </c>
      <c r="H489" s="289">
        <v>51.380699999999997</v>
      </c>
      <c r="I489" s="289">
        <v>9.6573799999999999</v>
      </c>
      <c r="J489" s="289">
        <v>11.469156</v>
      </c>
      <c r="K489" s="289">
        <v>12.253938</v>
      </c>
      <c r="L489" s="289">
        <v>1037.94</v>
      </c>
      <c r="M489" s="289">
        <v>89.000173000000004</v>
      </c>
      <c r="N489" s="291">
        <v>11020.4622</v>
      </c>
      <c r="O489" s="289">
        <v>11014.666300000001</v>
      </c>
      <c r="P489" s="292">
        <v>2100.4299999999998</v>
      </c>
      <c r="Q489" s="275">
        <f t="shared" si="5"/>
        <v>2091.58</v>
      </c>
      <c r="R489" s="292" t="s">
        <v>570</v>
      </c>
      <c r="S489" s="292">
        <v>10</v>
      </c>
      <c r="T489" s="292">
        <v>5</v>
      </c>
      <c r="U489" s="292">
        <v>0.7</v>
      </c>
      <c r="V489" s="292">
        <v>0.7</v>
      </c>
      <c r="W489" s="292">
        <v>0.7</v>
      </c>
      <c r="X489" s="289">
        <v>2000</v>
      </c>
      <c r="Y489" s="289" t="s">
        <v>571</v>
      </c>
      <c r="Z489" s="289">
        <v>0.2</v>
      </c>
      <c r="AA489" s="289" t="s">
        <v>572</v>
      </c>
      <c r="AB489" s="289" t="s">
        <v>573</v>
      </c>
      <c r="AC489" s="289">
        <v>220</v>
      </c>
      <c r="AD489" s="277" t="s">
        <v>19</v>
      </c>
      <c r="AE489" s="299"/>
    </row>
    <row r="490" spans="1:31" ht="15.75" x14ac:dyDescent="0.25">
      <c r="A490" s="56" t="s">
        <v>841</v>
      </c>
      <c r="B490" s="56" t="s">
        <v>583</v>
      </c>
      <c r="C490" s="56" t="s">
        <v>537</v>
      </c>
      <c r="D490" s="56" t="s">
        <v>569</v>
      </c>
      <c r="E490" s="56">
        <v>0.8</v>
      </c>
      <c r="F490" s="278">
        <v>45755.72152777778</v>
      </c>
      <c r="G490" s="56">
        <v>1</v>
      </c>
      <c r="H490" s="56">
        <v>51.380699999999997</v>
      </c>
      <c r="I490" s="56">
        <v>9.8021700000000003</v>
      </c>
      <c r="J490" s="56">
        <v>11.495338</v>
      </c>
      <c r="K490" s="56">
        <v>13.229768999999999</v>
      </c>
      <c r="L490" s="56">
        <v>990.73699999999997</v>
      </c>
      <c r="M490" s="56">
        <v>64.499353999999997</v>
      </c>
      <c r="N490" s="274">
        <v>8742.7413400000005</v>
      </c>
      <c r="O490" s="56">
        <v>8741.8392999999996</v>
      </c>
      <c r="P490" s="275">
        <v>2091.86</v>
      </c>
      <c r="Q490" s="275">
        <f t="shared" ref="Q490:Q554" si="6">P490</f>
        <v>2091.86</v>
      </c>
      <c r="R490" s="275" t="s">
        <v>570</v>
      </c>
      <c r="S490" s="275">
        <v>10</v>
      </c>
      <c r="T490" s="275">
        <v>5</v>
      </c>
      <c r="U490" s="275">
        <v>0.7</v>
      </c>
      <c r="V490" s="275">
        <v>0.7</v>
      </c>
      <c r="W490" s="275">
        <v>0.7</v>
      </c>
      <c r="X490" s="56">
        <v>2000</v>
      </c>
      <c r="Y490" s="56" t="s">
        <v>571</v>
      </c>
      <c r="Z490" s="56">
        <v>0.2</v>
      </c>
      <c r="AA490" s="56" t="s">
        <v>572</v>
      </c>
      <c r="AB490" s="56" t="s">
        <v>573</v>
      </c>
      <c r="AC490" s="56">
        <v>220</v>
      </c>
      <c r="AD490" s="277" t="s">
        <v>19</v>
      </c>
      <c r="AE490" s="177"/>
    </row>
    <row r="491" spans="1:31" ht="15.75" x14ac:dyDescent="0.25">
      <c r="A491" s="56" t="s">
        <v>842</v>
      </c>
      <c r="B491" s="56" t="s">
        <v>583</v>
      </c>
      <c r="C491" s="56" t="s">
        <v>537</v>
      </c>
      <c r="D491" s="56" t="s">
        <v>569</v>
      </c>
      <c r="E491" s="56">
        <v>0.8</v>
      </c>
      <c r="F491" s="278">
        <v>45755.724305555559</v>
      </c>
      <c r="G491" s="56">
        <v>1</v>
      </c>
      <c r="H491" s="56">
        <v>51.374099999999999</v>
      </c>
      <c r="I491" s="56">
        <v>9.6883400000000002</v>
      </c>
      <c r="J491" s="56">
        <v>11.45255</v>
      </c>
      <c r="K491" s="56">
        <v>13.238225</v>
      </c>
      <c r="L491" s="56">
        <v>1002.08</v>
      </c>
      <c r="M491" s="56">
        <v>61.500506999999999</v>
      </c>
      <c r="N491" s="274">
        <v>8740.9372500000009</v>
      </c>
      <c r="O491" s="56">
        <v>8741.8392999999996</v>
      </c>
      <c r="P491" s="275">
        <v>2091.86</v>
      </c>
      <c r="Q491" s="275">
        <f t="shared" si="6"/>
        <v>2091.86</v>
      </c>
      <c r="R491" s="275" t="s">
        <v>570</v>
      </c>
      <c r="S491" s="275">
        <v>10</v>
      </c>
      <c r="T491" s="275">
        <v>5</v>
      </c>
      <c r="U491" s="275">
        <v>0.7</v>
      </c>
      <c r="V491" s="275">
        <v>0.7</v>
      </c>
      <c r="W491" s="275">
        <v>0.7</v>
      </c>
      <c r="X491" s="56">
        <v>2000</v>
      </c>
      <c r="Y491" s="56" t="s">
        <v>571</v>
      </c>
      <c r="Z491" s="56">
        <v>0.2</v>
      </c>
      <c r="AA491" s="56" t="s">
        <v>572</v>
      </c>
      <c r="AB491" s="56" t="s">
        <v>573</v>
      </c>
      <c r="AC491" s="56">
        <v>220</v>
      </c>
      <c r="AD491" s="277" t="s">
        <v>19</v>
      </c>
      <c r="AE491" s="177"/>
    </row>
    <row r="492" spans="1:31" ht="15.75" x14ac:dyDescent="0.25">
      <c r="A492" s="56" t="s">
        <v>843</v>
      </c>
      <c r="B492" s="56" t="s">
        <v>589</v>
      </c>
      <c r="C492" s="56" t="s">
        <v>537</v>
      </c>
      <c r="D492" s="56" t="s">
        <v>569</v>
      </c>
      <c r="E492" s="56">
        <v>1</v>
      </c>
      <c r="F492" s="278">
        <v>45755.727083333331</v>
      </c>
      <c r="G492" s="56">
        <v>1</v>
      </c>
      <c r="H492" s="56">
        <v>51.380699999999997</v>
      </c>
      <c r="I492" s="56">
        <v>9.5632599999999996</v>
      </c>
      <c r="J492" s="56">
        <v>11.389656</v>
      </c>
      <c r="K492" s="56">
        <v>13.125819</v>
      </c>
      <c r="L492" s="56">
        <v>1052.79</v>
      </c>
      <c r="M492" s="56">
        <v>64.999474000000006</v>
      </c>
      <c r="N492" s="274">
        <v>10959.7163</v>
      </c>
      <c r="O492" s="56">
        <v>10969.3442</v>
      </c>
      <c r="P492" s="275">
        <v>2091.86</v>
      </c>
      <c r="Q492" s="275">
        <f t="shared" si="6"/>
        <v>2091.86</v>
      </c>
      <c r="R492" s="275" t="s">
        <v>570</v>
      </c>
      <c r="S492" s="275">
        <v>10</v>
      </c>
      <c r="T492" s="275">
        <v>5</v>
      </c>
      <c r="U492" s="275">
        <v>0.7</v>
      </c>
      <c r="V492" s="275">
        <v>0.7</v>
      </c>
      <c r="W492" s="275">
        <v>0.7</v>
      </c>
      <c r="X492" s="56">
        <v>2000</v>
      </c>
      <c r="Y492" s="56" t="s">
        <v>571</v>
      </c>
      <c r="Z492" s="56">
        <v>0.2</v>
      </c>
      <c r="AA492" s="56" t="s">
        <v>572</v>
      </c>
      <c r="AB492" s="56" t="s">
        <v>573</v>
      </c>
      <c r="AC492" s="56">
        <v>220</v>
      </c>
      <c r="AD492" s="277" t="s">
        <v>19</v>
      </c>
      <c r="AE492" s="177"/>
    </row>
    <row r="493" spans="1:31" ht="15.75" x14ac:dyDescent="0.25">
      <c r="A493" s="56" t="s">
        <v>844</v>
      </c>
      <c r="B493" s="56" t="s">
        <v>589</v>
      </c>
      <c r="C493" s="56" t="s">
        <v>537</v>
      </c>
      <c r="D493" s="56" t="s">
        <v>569</v>
      </c>
      <c r="E493" s="56">
        <v>1</v>
      </c>
      <c r="F493" s="278">
        <v>45755.729861111111</v>
      </c>
      <c r="G493" s="56">
        <v>1</v>
      </c>
      <c r="H493" s="56">
        <v>51.374099999999999</v>
      </c>
      <c r="I493" s="56">
        <v>9.57836</v>
      </c>
      <c r="J493" s="56">
        <v>11.231256</v>
      </c>
      <c r="K493" s="56">
        <v>12.860424999999999</v>
      </c>
      <c r="L493" s="56">
        <v>1047.69</v>
      </c>
      <c r="M493" s="56">
        <v>69.999742999999995</v>
      </c>
      <c r="N493" s="274">
        <v>10978.972100000001</v>
      </c>
      <c r="O493" s="56">
        <v>10969.3442</v>
      </c>
      <c r="P493" s="275">
        <v>2091.86</v>
      </c>
      <c r="Q493" s="275">
        <f t="shared" si="6"/>
        <v>2091.86</v>
      </c>
      <c r="R493" s="275" t="s">
        <v>570</v>
      </c>
      <c r="S493" s="275">
        <v>10</v>
      </c>
      <c r="T493" s="275">
        <v>5</v>
      </c>
      <c r="U493" s="275">
        <v>0.7</v>
      </c>
      <c r="V493" s="275">
        <v>0.7</v>
      </c>
      <c r="W493" s="275">
        <v>0.7</v>
      </c>
      <c r="X493" s="56">
        <v>2000</v>
      </c>
      <c r="Y493" s="56" t="s">
        <v>571</v>
      </c>
      <c r="Z493" s="56">
        <v>0.2</v>
      </c>
      <c r="AA493" s="56" t="s">
        <v>572</v>
      </c>
      <c r="AB493" s="56" t="s">
        <v>573</v>
      </c>
      <c r="AC493" s="56">
        <v>220</v>
      </c>
      <c r="AD493" s="277" t="s">
        <v>19</v>
      </c>
      <c r="AE493" s="177"/>
    </row>
    <row r="494" spans="1:31" ht="15.75" x14ac:dyDescent="0.25">
      <c r="A494" s="56" t="s">
        <v>845</v>
      </c>
      <c r="B494" s="56" t="s">
        <v>594</v>
      </c>
      <c r="C494" s="56" t="s">
        <v>537</v>
      </c>
      <c r="D494" s="56" t="s">
        <v>569</v>
      </c>
      <c r="E494" s="56">
        <v>1.2</v>
      </c>
      <c r="F494" s="278">
        <v>45755.732638888891</v>
      </c>
      <c r="G494" s="56">
        <v>1</v>
      </c>
      <c r="H494" s="56">
        <v>51.377400000000002</v>
      </c>
      <c r="I494" s="56">
        <v>9.5899900000000002</v>
      </c>
      <c r="J494" s="56">
        <v>11.413563</v>
      </c>
      <c r="K494" s="56">
        <v>13.373675</v>
      </c>
      <c r="L494" s="56">
        <v>1081.1099999999999</v>
      </c>
      <c r="M494" s="56">
        <v>68.999983999999998</v>
      </c>
      <c r="N494" s="274">
        <v>13138.1199</v>
      </c>
      <c r="O494" s="56">
        <v>13226.1973</v>
      </c>
      <c r="P494" s="275">
        <v>2091.86</v>
      </c>
      <c r="Q494" s="275">
        <f t="shared" si="6"/>
        <v>2091.86</v>
      </c>
      <c r="R494" s="275" t="s">
        <v>584</v>
      </c>
      <c r="S494" s="275">
        <v>10</v>
      </c>
      <c r="T494" s="275">
        <v>5</v>
      </c>
      <c r="U494" s="275">
        <v>0.7</v>
      </c>
      <c r="V494" s="275">
        <v>0.7</v>
      </c>
      <c r="W494" s="275">
        <v>0.7</v>
      </c>
      <c r="X494" s="56">
        <v>2000</v>
      </c>
      <c r="Y494" s="56" t="s">
        <v>571</v>
      </c>
      <c r="Z494" s="56">
        <v>0.2</v>
      </c>
      <c r="AA494" s="56" t="s">
        <v>572</v>
      </c>
      <c r="AB494" s="56" t="s">
        <v>573</v>
      </c>
      <c r="AC494" s="56">
        <v>220</v>
      </c>
      <c r="AD494" s="277" t="s">
        <v>19</v>
      </c>
      <c r="AE494" s="177"/>
    </row>
    <row r="495" spans="1:31" ht="15.75" x14ac:dyDescent="0.25">
      <c r="A495" s="56" t="s">
        <v>846</v>
      </c>
      <c r="B495" s="56" t="s">
        <v>594</v>
      </c>
      <c r="C495" s="56" t="s">
        <v>537</v>
      </c>
      <c r="D495" s="56" t="s">
        <v>569</v>
      </c>
      <c r="E495" s="56">
        <v>1.2</v>
      </c>
      <c r="F495" s="278">
        <v>45755.73541666667</v>
      </c>
      <c r="G495" s="56">
        <v>1</v>
      </c>
      <c r="H495" s="56">
        <v>51.370800000000003</v>
      </c>
      <c r="I495" s="56">
        <v>9.6280800000000006</v>
      </c>
      <c r="J495" s="56">
        <v>11.365793999999999</v>
      </c>
      <c r="K495" s="56">
        <v>12.888512</v>
      </c>
      <c r="L495" s="56">
        <v>1084.92</v>
      </c>
      <c r="M495" s="56">
        <v>74.500862999999995</v>
      </c>
      <c r="N495" s="274">
        <v>13215.7541</v>
      </c>
      <c r="O495" s="56">
        <v>13226.1973</v>
      </c>
      <c r="P495" s="275">
        <v>2091.86</v>
      </c>
      <c r="Q495" s="275">
        <f t="shared" si="6"/>
        <v>2091.86</v>
      </c>
      <c r="R495" s="275" t="s">
        <v>570</v>
      </c>
      <c r="S495" s="275">
        <v>10</v>
      </c>
      <c r="T495" s="275">
        <v>5</v>
      </c>
      <c r="U495" s="275">
        <v>0.7</v>
      </c>
      <c r="V495" s="275">
        <v>0.7</v>
      </c>
      <c r="W495" s="275">
        <v>0.7</v>
      </c>
      <c r="X495" s="56">
        <v>2000</v>
      </c>
      <c r="Y495" s="56" t="s">
        <v>571</v>
      </c>
      <c r="Z495" s="56">
        <v>0.2</v>
      </c>
      <c r="AA495" s="56" t="s">
        <v>572</v>
      </c>
      <c r="AB495" s="56" t="s">
        <v>573</v>
      </c>
      <c r="AC495" s="56">
        <v>220</v>
      </c>
      <c r="AD495" s="277" t="s">
        <v>19</v>
      </c>
      <c r="AE495" s="177"/>
    </row>
    <row r="496" spans="1:31" ht="15.75" x14ac:dyDescent="0.25">
      <c r="A496" s="56" t="s">
        <v>847</v>
      </c>
      <c r="B496" s="56" t="s">
        <v>594</v>
      </c>
      <c r="C496" s="56" t="s">
        <v>537</v>
      </c>
      <c r="D496" s="56" t="s">
        <v>569</v>
      </c>
      <c r="E496" s="56">
        <v>1.2</v>
      </c>
      <c r="F496" s="278">
        <v>45755.738194444442</v>
      </c>
      <c r="G496" s="56">
        <v>1</v>
      </c>
      <c r="H496" s="56">
        <v>51.377400000000002</v>
      </c>
      <c r="I496" s="56">
        <v>9.4539899999999992</v>
      </c>
      <c r="J496" s="56">
        <v>11.398419000000001</v>
      </c>
      <c r="K496" s="56">
        <v>12.332169</v>
      </c>
      <c r="L496" s="56">
        <v>1074.93</v>
      </c>
      <c r="M496" s="56">
        <v>96.999993000000003</v>
      </c>
      <c r="N496" s="274">
        <v>13236.6405</v>
      </c>
      <c r="O496" s="56">
        <v>13226.1973</v>
      </c>
      <c r="P496" s="275">
        <v>2091.86</v>
      </c>
      <c r="Q496" s="275">
        <f t="shared" si="6"/>
        <v>2091.86</v>
      </c>
      <c r="R496" s="275" t="s">
        <v>570</v>
      </c>
      <c r="S496" s="275">
        <v>10</v>
      </c>
      <c r="T496" s="275">
        <v>5</v>
      </c>
      <c r="U496" s="275">
        <v>0.7</v>
      </c>
      <c r="V496" s="275">
        <v>0.7</v>
      </c>
      <c r="W496" s="275">
        <v>0.7</v>
      </c>
      <c r="X496" s="56">
        <v>2000</v>
      </c>
      <c r="Y496" s="56" t="s">
        <v>571</v>
      </c>
      <c r="Z496" s="56">
        <v>0.2</v>
      </c>
      <c r="AA496" s="56" t="s">
        <v>572</v>
      </c>
      <c r="AB496" s="56" t="s">
        <v>573</v>
      </c>
      <c r="AC496" s="56">
        <v>220</v>
      </c>
      <c r="AD496" s="277" t="s">
        <v>19</v>
      </c>
      <c r="AE496" s="177"/>
    </row>
    <row r="497" spans="1:31" ht="15.75" x14ac:dyDescent="0.25">
      <c r="A497" s="56" t="s">
        <v>672</v>
      </c>
      <c r="B497" s="56">
        <v>2</v>
      </c>
      <c r="C497" s="56" t="s">
        <v>537</v>
      </c>
      <c r="D497" s="56" t="s">
        <v>569</v>
      </c>
      <c r="E497" s="56">
        <v>1</v>
      </c>
      <c r="F497" s="278">
        <v>45755.741666666669</v>
      </c>
      <c r="G497" s="56">
        <v>1</v>
      </c>
      <c r="H497" s="56">
        <v>51.374099999999999</v>
      </c>
      <c r="I497" s="56">
        <v>9.5433299999999992</v>
      </c>
      <c r="J497" s="56">
        <v>11.373324999999999</v>
      </c>
      <c r="K497" s="56">
        <v>12.038481000000001</v>
      </c>
      <c r="L497" s="56">
        <v>1053.1300000000001</v>
      </c>
      <c r="M497" s="56">
        <v>95.999791999999999</v>
      </c>
      <c r="N497" s="274">
        <v>11022.717500000001</v>
      </c>
      <c r="O497" s="56">
        <v>10972.716399999999</v>
      </c>
      <c r="P497" s="275">
        <v>2090.66</v>
      </c>
      <c r="Q497" s="275">
        <f t="shared" si="6"/>
        <v>2090.66</v>
      </c>
      <c r="R497" s="275" t="s">
        <v>584</v>
      </c>
      <c r="S497" s="275">
        <v>10</v>
      </c>
      <c r="T497" s="275">
        <v>5</v>
      </c>
      <c r="U497" s="275">
        <v>0.7</v>
      </c>
      <c r="V497" s="275">
        <v>0.7</v>
      </c>
      <c r="W497" s="275">
        <v>0.7</v>
      </c>
      <c r="X497" s="56">
        <v>2000</v>
      </c>
      <c r="Y497" s="56" t="s">
        <v>571</v>
      </c>
      <c r="Z497" s="56">
        <v>0.2</v>
      </c>
      <c r="AA497" s="56" t="s">
        <v>572</v>
      </c>
      <c r="AB497" s="56" t="s">
        <v>573</v>
      </c>
      <c r="AC497" s="56">
        <v>220</v>
      </c>
      <c r="AD497" s="277" t="s">
        <v>19</v>
      </c>
      <c r="AE497" s="177"/>
    </row>
    <row r="498" spans="1:31" ht="15.75" x14ac:dyDescent="0.25">
      <c r="A498" s="56" t="s">
        <v>673</v>
      </c>
      <c r="B498" s="56">
        <v>2</v>
      </c>
      <c r="C498" s="56" t="s">
        <v>537</v>
      </c>
      <c r="D498" s="56" t="s">
        <v>569</v>
      </c>
      <c r="E498" s="56">
        <v>1</v>
      </c>
      <c r="F498" s="278">
        <v>45755.744444444441</v>
      </c>
      <c r="G498" s="56">
        <v>1</v>
      </c>
      <c r="H498" s="56">
        <v>51.377400000000002</v>
      </c>
      <c r="I498" s="56">
        <v>9.7744099999999996</v>
      </c>
      <c r="J498" s="56">
        <v>11.345549999999999</v>
      </c>
      <c r="K498" s="56">
        <v>14.280799999999999</v>
      </c>
      <c r="L498" s="56">
        <v>1031.74</v>
      </c>
      <c r="M498" s="56">
        <v>60.500354999999999</v>
      </c>
      <c r="N498" s="274">
        <v>10939.920700000001</v>
      </c>
      <c r="O498" s="56">
        <v>10972.716399999999</v>
      </c>
      <c r="P498" s="275">
        <v>2090.66</v>
      </c>
      <c r="Q498" s="275">
        <f t="shared" si="6"/>
        <v>2090.66</v>
      </c>
      <c r="R498" s="275" t="s">
        <v>584</v>
      </c>
      <c r="S498" s="275">
        <v>10</v>
      </c>
      <c r="T498" s="275">
        <v>5</v>
      </c>
      <c r="U498" s="275">
        <v>0.7</v>
      </c>
      <c r="V498" s="275">
        <v>0.7</v>
      </c>
      <c r="W498" s="275">
        <v>0.7</v>
      </c>
      <c r="X498" s="56">
        <v>2000</v>
      </c>
      <c r="Y498" s="56" t="s">
        <v>571</v>
      </c>
      <c r="Z498" s="56">
        <v>0.2</v>
      </c>
      <c r="AA498" s="56" t="s">
        <v>572</v>
      </c>
      <c r="AB498" s="56" t="s">
        <v>573</v>
      </c>
      <c r="AC498" s="56">
        <v>220</v>
      </c>
      <c r="AD498" s="277" t="s">
        <v>19</v>
      </c>
      <c r="AE498" s="177"/>
    </row>
    <row r="499" spans="1:31" ht="15.75" x14ac:dyDescent="0.25">
      <c r="A499" s="280" t="s">
        <v>674</v>
      </c>
      <c r="B499" s="280">
        <v>2</v>
      </c>
      <c r="C499" s="280" t="s">
        <v>537</v>
      </c>
      <c r="D499" s="280" t="s">
        <v>569</v>
      </c>
      <c r="E499" s="280">
        <v>1</v>
      </c>
      <c r="F499" s="281">
        <v>45755.74722222222</v>
      </c>
      <c r="G499" s="280">
        <v>1</v>
      </c>
      <c r="H499" s="280">
        <v>51.374099999999999</v>
      </c>
      <c r="I499" s="280">
        <v>9.7526600000000006</v>
      </c>
      <c r="J499" s="280">
        <v>11.533181000000001</v>
      </c>
      <c r="K499" s="280">
        <v>12.672874999999999</v>
      </c>
      <c r="L499" s="280">
        <v>1049.8699999999999</v>
      </c>
      <c r="M499" s="280">
        <v>70.500394</v>
      </c>
      <c r="N499" s="282">
        <v>10969.941000000001</v>
      </c>
      <c r="O499" s="280">
        <v>10972.716399999999</v>
      </c>
      <c r="P499" s="283">
        <v>2090.66</v>
      </c>
      <c r="Q499" s="275">
        <f t="shared" si="6"/>
        <v>2090.66</v>
      </c>
      <c r="R499" s="283" t="s">
        <v>570</v>
      </c>
      <c r="S499" s="275">
        <v>10</v>
      </c>
      <c r="T499" s="275">
        <v>5</v>
      </c>
      <c r="U499" s="275">
        <v>0.7</v>
      </c>
      <c r="V499" s="275">
        <v>0.7</v>
      </c>
      <c r="W499" s="275">
        <v>0.7</v>
      </c>
      <c r="X499" s="56">
        <v>2000</v>
      </c>
      <c r="Y499" s="56" t="s">
        <v>571</v>
      </c>
      <c r="Z499" s="56">
        <v>0.2</v>
      </c>
      <c r="AA499" s="56" t="s">
        <v>572</v>
      </c>
      <c r="AB499" s="56" t="s">
        <v>573</v>
      </c>
      <c r="AC499" s="56">
        <v>220</v>
      </c>
      <c r="AD499" s="277" t="s">
        <v>19</v>
      </c>
      <c r="AE499" s="177"/>
    </row>
    <row r="500" spans="1:31" ht="15.75" x14ac:dyDescent="0.25">
      <c r="A500" s="280" t="s">
        <v>675</v>
      </c>
      <c r="B500" s="280">
        <v>2</v>
      </c>
      <c r="C500" s="280" t="s">
        <v>537</v>
      </c>
      <c r="D500" s="280" t="s">
        <v>569</v>
      </c>
      <c r="E500" s="280">
        <v>1</v>
      </c>
      <c r="F500" s="281">
        <v>45755.75</v>
      </c>
      <c r="G500" s="280">
        <v>1</v>
      </c>
      <c r="H500" s="280">
        <v>51.370800000000003</v>
      </c>
      <c r="I500" s="280">
        <v>9.6438699999999997</v>
      </c>
      <c r="J500" s="280">
        <v>11.324331000000001</v>
      </c>
      <c r="K500" s="280">
        <v>12.628755999999999</v>
      </c>
      <c r="L500" s="280">
        <v>1055.73</v>
      </c>
      <c r="M500" s="280">
        <v>72.999509000000003</v>
      </c>
      <c r="N500" s="282">
        <v>10975.491900000001</v>
      </c>
      <c r="O500" s="280">
        <v>10972.716399999999</v>
      </c>
      <c r="P500" s="283">
        <v>2090.66</v>
      </c>
      <c r="Q500" s="275">
        <f t="shared" si="6"/>
        <v>2090.66</v>
      </c>
      <c r="R500" s="283" t="s">
        <v>570</v>
      </c>
      <c r="S500" s="275">
        <v>10</v>
      </c>
      <c r="T500" s="275">
        <v>5</v>
      </c>
      <c r="U500" s="275">
        <v>0.7</v>
      </c>
      <c r="V500" s="275">
        <v>0.7</v>
      </c>
      <c r="W500" s="275">
        <v>0.7</v>
      </c>
      <c r="X500" s="56">
        <v>2000</v>
      </c>
      <c r="Y500" s="56" t="s">
        <v>571</v>
      </c>
      <c r="Z500" s="56">
        <v>0.2</v>
      </c>
      <c r="AA500" s="56" t="s">
        <v>572</v>
      </c>
      <c r="AB500" s="56" t="s">
        <v>573</v>
      </c>
      <c r="AC500" s="56">
        <v>220</v>
      </c>
      <c r="AD500" s="277" t="s">
        <v>19</v>
      </c>
      <c r="AE500" s="177"/>
    </row>
    <row r="501" spans="1:31" ht="15.75" x14ac:dyDescent="0.25">
      <c r="A501" s="56" t="s">
        <v>726</v>
      </c>
      <c r="B501" s="56">
        <v>3</v>
      </c>
      <c r="C501" s="56">
        <v>521</v>
      </c>
      <c r="D501" s="56" t="s">
        <v>600</v>
      </c>
      <c r="E501" s="56">
        <v>1</v>
      </c>
      <c r="F501" s="278">
        <v>45755.753472222219</v>
      </c>
      <c r="G501" s="56">
        <v>1</v>
      </c>
      <c r="H501" s="56">
        <v>51.374099999999999</v>
      </c>
      <c r="I501" s="56">
        <v>9.8224699999999991</v>
      </c>
      <c r="J501" s="56">
        <v>11.453881000000001</v>
      </c>
      <c r="K501" s="56">
        <v>13.220855999999999</v>
      </c>
      <c r="L501" s="56">
        <v>1053.54</v>
      </c>
      <c r="M501" s="56">
        <v>64.500647999999998</v>
      </c>
      <c r="N501" s="274">
        <v>10835.578600000001</v>
      </c>
      <c r="O501" s="56">
        <v>10841.8609</v>
      </c>
      <c r="P501" s="275">
        <v>2066.25</v>
      </c>
      <c r="Q501" s="275">
        <f t="shared" si="6"/>
        <v>2066.25</v>
      </c>
      <c r="R501" s="275" t="s">
        <v>570</v>
      </c>
      <c r="S501" s="275">
        <v>10</v>
      </c>
      <c r="T501" s="275">
        <v>5</v>
      </c>
      <c r="U501" s="275">
        <v>0.7</v>
      </c>
      <c r="V501" s="275">
        <v>0.7</v>
      </c>
      <c r="W501" s="275">
        <v>0.7</v>
      </c>
      <c r="X501" s="56">
        <v>2000</v>
      </c>
      <c r="Y501" s="56" t="s">
        <v>571</v>
      </c>
      <c r="Z501" s="56">
        <v>0.2</v>
      </c>
      <c r="AA501" s="56" t="s">
        <v>572</v>
      </c>
      <c r="AB501" s="56" t="s">
        <v>573</v>
      </c>
      <c r="AC501" s="56">
        <v>220</v>
      </c>
      <c r="AD501" s="277" t="s">
        <v>19</v>
      </c>
      <c r="AE501" s="177"/>
    </row>
    <row r="502" spans="1:31" ht="15.75" x14ac:dyDescent="0.25">
      <c r="A502" s="56" t="s">
        <v>727</v>
      </c>
      <c r="B502" s="56">
        <v>3</v>
      </c>
      <c r="C502" s="56">
        <v>521</v>
      </c>
      <c r="D502" s="56" t="s">
        <v>600</v>
      </c>
      <c r="E502" s="56">
        <v>1</v>
      </c>
      <c r="F502" s="278">
        <v>45755.756249999999</v>
      </c>
      <c r="G502" s="56">
        <v>1</v>
      </c>
      <c r="H502" s="56">
        <v>51.377400000000002</v>
      </c>
      <c r="I502" s="56">
        <v>9.6518499999999996</v>
      </c>
      <c r="J502" s="56">
        <v>11.444375000000001</v>
      </c>
      <c r="K502" s="56">
        <v>13.353756000000001</v>
      </c>
      <c r="L502" s="56">
        <v>1044.8900000000001</v>
      </c>
      <c r="M502" s="56">
        <v>64.500563</v>
      </c>
      <c r="N502" s="274">
        <v>10848.1433</v>
      </c>
      <c r="O502" s="56">
        <v>10841.8609</v>
      </c>
      <c r="P502" s="275">
        <v>2066.25</v>
      </c>
      <c r="Q502" s="275">
        <f t="shared" si="6"/>
        <v>2066.25</v>
      </c>
      <c r="R502" s="275" t="s">
        <v>570</v>
      </c>
      <c r="S502" s="275">
        <v>10</v>
      </c>
      <c r="T502" s="275">
        <v>5</v>
      </c>
      <c r="U502" s="275">
        <v>0.7</v>
      </c>
      <c r="V502" s="275">
        <v>0.7</v>
      </c>
      <c r="W502" s="275">
        <v>0.7</v>
      </c>
      <c r="X502" s="56">
        <v>2000</v>
      </c>
      <c r="Y502" s="56" t="s">
        <v>571</v>
      </c>
      <c r="Z502" s="56">
        <v>0.2</v>
      </c>
      <c r="AA502" s="56" t="s">
        <v>572</v>
      </c>
      <c r="AB502" s="56" t="s">
        <v>573</v>
      </c>
      <c r="AC502" s="56">
        <v>220</v>
      </c>
      <c r="AD502" s="277" t="s">
        <v>19</v>
      </c>
      <c r="AE502" s="177"/>
    </row>
    <row r="503" spans="1:31" ht="15.75" x14ac:dyDescent="0.25">
      <c r="A503" s="56" t="s">
        <v>728</v>
      </c>
      <c r="B503" s="56">
        <v>4</v>
      </c>
      <c r="C503" s="56">
        <v>522</v>
      </c>
      <c r="D503" s="56" t="s">
        <v>604</v>
      </c>
      <c r="E503" s="56">
        <v>1</v>
      </c>
      <c r="F503" s="278">
        <v>45755.759722222225</v>
      </c>
      <c r="G503" s="56">
        <v>1</v>
      </c>
      <c r="H503" s="56">
        <v>51.377400000000002</v>
      </c>
      <c r="I503" s="56">
        <v>9.6073900000000005</v>
      </c>
      <c r="J503" s="56">
        <v>11.330005999999999</v>
      </c>
      <c r="K503" s="56">
        <v>12.867981</v>
      </c>
      <c r="L503" s="56">
        <v>1047.4100000000001</v>
      </c>
      <c r="M503" s="56">
        <v>68.501125999999999</v>
      </c>
      <c r="N503" s="274">
        <v>10863.482400000001</v>
      </c>
      <c r="O503" s="56">
        <v>10807.6073</v>
      </c>
      <c r="P503" s="275">
        <v>2059.86</v>
      </c>
      <c r="Q503" s="275">
        <f t="shared" si="6"/>
        <v>2059.86</v>
      </c>
      <c r="R503" s="275" t="s">
        <v>584</v>
      </c>
      <c r="S503" s="275">
        <v>10</v>
      </c>
      <c r="T503" s="275">
        <v>5</v>
      </c>
      <c r="U503" s="275">
        <v>0.7</v>
      </c>
      <c r="V503" s="275">
        <v>0.7</v>
      </c>
      <c r="W503" s="275">
        <v>0.7</v>
      </c>
      <c r="X503" s="56">
        <v>2000</v>
      </c>
      <c r="Y503" s="56" t="s">
        <v>571</v>
      </c>
      <c r="Z503" s="56">
        <v>0.2</v>
      </c>
      <c r="AA503" s="56" t="s">
        <v>572</v>
      </c>
      <c r="AB503" s="56" t="s">
        <v>573</v>
      </c>
      <c r="AC503" s="56">
        <v>220</v>
      </c>
      <c r="AD503" s="277" t="s">
        <v>19</v>
      </c>
      <c r="AE503" s="177"/>
    </row>
    <row r="504" spans="1:31" ht="15.75" x14ac:dyDescent="0.25">
      <c r="A504" s="56" t="s">
        <v>729</v>
      </c>
      <c r="B504" s="56">
        <v>4</v>
      </c>
      <c r="C504" s="56">
        <v>522</v>
      </c>
      <c r="D504" s="56" t="s">
        <v>604</v>
      </c>
      <c r="E504" s="56">
        <v>1</v>
      </c>
      <c r="F504" s="278">
        <v>45755.762499999997</v>
      </c>
      <c r="G504" s="56">
        <v>1</v>
      </c>
      <c r="H504" s="56">
        <v>51.377400000000002</v>
      </c>
      <c r="I504" s="56">
        <v>9.7811699999999995</v>
      </c>
      <c r="J504" s="56">
        <v>11.316850000000001</v>
      </c>
      <c r="K504" s="56">
        <v>12.929981</v>
      </c>
      <c r="L504" s="56">
        <v>1028.57</v>
      </c>
      <c r="M504" s="56">
        <v>76.499966000000001</v>
      </c>
      <c r="N504" s="274">
        <v>10809.1031</v>
      </c>
      <c r="O504" s="56">
        <v>10807.6073</v>
      </c>
      <c r="P504" s="275">
        <v>2059.86</v>
      </c>
      <c r="Q504" s="275">
        <f t="shared" si="6"/>
        <v>2059.86</v>
      </c>
      <c r="R504" s="275" t="s">
        <v>570</v>
      </c>
      <c r="S504" s="275">
        <v>10</v>
      </c>
      <c r="T504" s="275">
        <v>5</v>
      </c>
      <c r="U504" s="275">
        <v>0.7</v>
      </c>
      <c r="V504" s="275">
        <v>0.7</v>
      </c>
      <c r="W504" s="275">
        <v>0.7</v>
      </c>
      <c r="X504" s="56">
        <v>2000</v>
      </c>
      <c r="Y504" s="56" t="s">
        <v>571</v>
      </c>
      <c r="Z504" s="56">
        <v>0.2</v>
      </c>
      <c r="AA504" s="56" t="s">
        <v>572</v>
      </c>
      <c r="AB504" s="56" t="s">
        <v>573</v>
      </c>
      <c r="AC504" s="56">
        <v>220</v>
      </c>
      <c r="AD504" s="277" t="s">
        <v>19</v>
      </c>
      <c r="AE504" s="177"/>
    </row>
    <row r="505" spans="1:31" ht="15.75" x14ac:dyDescent="0.25">
      <c r="A505" s="56" t="s">
        <v>730</v>
      </c>
      <c r="B505" s="56">
        <v>4</v>
      </c>
      <c r="C505" s="56">
        <v>522</v>
      </c>
      <c r="D505" s="56" t="s">
        <v>604</v>
      </c>
      <c r="E505" s="56">
        <v>1</v>
      </c>
      <c r="F505" s="278">
        <v>45755.765277777777</v>
      </c>
      <c r="G505" s="56">
        <v>1</v>
      </c>
      <c r="H505" s="56">
        <v>51.374099999999999</v>
      </c>
      <c r="I505" s="56">
        <v>9.7880000000000003</v>
      </c>
      <c r="J505" s="56">
        <v>11.317024999999999</v>
      </c>
      <c r="K505" s="56">
        <v>13.961518999999999</v>
      </c>
      <c r="L505" s="56">
        <v>1037.55</v>
      </c>
      <c r="M505" s="56">
        <v>63.500183</v>
      </c>
      <c r="N505" s="274">
        <v>10806.1116</v>
      </c>
      <c r="O505" s="56">
        <v>10807.6073</v>
      </c>
      <c r="P505" s="275">
        <v>2059.86</v>
      </c>
      <c r="Q505" s="275">
        <f t="shared" si="6"/>
        <v>2059.86</v>
      </c>
      <c r="R505" s="275" t="s">
        <v>570</v>
      </c>
      <c r="S505" s="275">
        <v>10</v>
      </c>
      <c r="T505" s="275">
        <v>5</v>
      </c>
      <c r="U505" s="275">
        <v>0.7</v>
      </c>
      <c r="V505" s="275">
        <v>0.7</v>
      </c>
      <c r="W505" s="275">
        <v>0.7</v>
      </c>
      <c r="X505" s="56">
        <v>2000</v>
      </c>
      <c r="Y505" s="56" t="s">
        <v>571</v>
      </c>
      <c r="Z505" s="56">
        <v>0.2</v>
      </c>
      <c r="AA505" s="56" t="s">
        <v>572</v>
      </c>
      <c r="AB505" s="56" t="s">
        <v>573</v>
      </c>
      <c r="AC505" s="56">
        <v>220</v>
      </c>
      <c r="AD505" s="277" t="s">
        <v>19</v>
      </c>
      <c r="AE505" s="177"/>
    </row>
    <row r="506" spans="1:31" ht="15.75" x14ac:dyDescent="0.25">
      <c r="A506" s="56" t="s">
        <v>731</v>
      </c>
      <c r="B506" s="56">
        <v>5</v>
      </c>
      <c r="C506" s="56">
        <v>612</v>
      </c>
      <c r="D506" s="56" t="s">
        <v>608</v>
      </c>
      <c r="E506" s="56">
        <v>1</v>
      </c>
      <c r="F506" s="278">
        <v>45755.768750000003</v>
      </c>
      <c r="G506" s="56">
        <v>1</v>
      </c>
      <c r="H506" s="56">
        <v>51.377400000000002</v>
      </c>
      <c r="I506" s="56">
        <v>9.6041399999999992</v>
      </c>
      <c r="J506" s="56">
        <v>11.333837000000001</v>
      </c>
      <c r="K506" s="56">
        <v>12.991631</v>
      </c>
      <c r="L506" s="56">
        <v>1057.51</v>
      </c>
      <c r="M506" s="56">
        <v>64.498900000000006</v>
      </c>
      <c r="N506" s="274">
        <v>10827.985699999999</v>
      </c>
      <c r="O506" s="56">
        <v>10834.748600000001</v>
      </c>
      <c r="P506" s="275">
        <v>2064.92</v>
      </c>
      <c r="Q506" s="275">
        <f t="shared" si="6"/>
        <v>2064.92</v>
      </c>
      <c r="R506" s="275" t="s">
        <v>570</v>
      </c>
      <c r="S506" s="275">
        <v>10</v>
      </c>
      <c r="T506" s="275">
        <v>5</v>
      </c>
      <c r="U506" s="275">
        <v>0.7</v>
      </c>
      <c r="V506" s="275">
        <v>0.7</v>
      </c>
      <c r="W506" s="275">
        <v>0.7</v>
      </c>
      <c r="X506" s="56">
        <v>2000</v>
      </c>
      <c r="Y506" s="56" t="s">
        <v>571</v>
      </c>
      <c r="Z506" s="56">
        <v>0.2</v>
      </c>
      <c r="AA506" s="56" t="s">
        <v>572</v>
      </c>
      <c r="AB506" s="56" t="s">
        <v>573</v>
      </c>
      <c r="AC506" s="56">
        <v>220</v>
      </c>
      <c r="AD506" s="277" t="s">
        <v>19</v>
      </c>
      <c r="AE506" s="177"/>
    </row>
    <row r="507" spans="1:31" ht="15.75" x14ac:dyDescent="0.25">
      <c r="A507" s="56" t="s">
        <v>732</v>
      </c>
      <c r="B507" s="56">
        <v>5</v>
      </c>
      <c r="C507" s="56">
        <v>612</v>
      </c>
      <c r="D507" s="56" t="s">
        <v>608</v>
      </c>
      <c r="E507" s="56">
        <v>1</v>
      </c>
      <c r="F507" s="278">
        <v>45755.771527777775</v>
      </c>
      <c r="G507" s="56">
        <v>1</v>
      </c>
      <c r="H507" s="56">
        <v>51.374099999999999</v>
      </c>
      <c r="I507" s="56">
        <v>9.7123200000000001</v>
      </c>
      <c r="J507" s="56">
        <v>11.421369</v>
      </c>
      <c r="K507" s="56">
        <v>12.98415</v>
      </c>
      <c r="L507" s="56">
        <v>1048.8599999999999</v>
      </c>
      <c r="M507" s="56">
        <v>69.001264000000006</v>
      </c>
      <c r="N507" s="274">
        <v>10841.511399999999</v>
      </c>
      <c r="O507" s="56">
        <v>10834.748600000001</v>
      </c>
      <c r="P507" s="275">
        <v>2064.92</v>
      </c>
      <c r="Q507" s="275">
        <f t="shared" si="6"/>
        <v>2064.92</v>
      </c>
      <c r="R507" s="275" t="s">
        <v>570</v>
      </c>
      <c r="S507" s="275">
        <v>10</v>
      </c>
      <c r="T507" s="275">
        <v>5</v>
      </c>
      <c r="U507" s="275">
        <v>0.7</v>
      </c>
      <c r="V507" s="275">
        <v>0.7</v>
      </c>
      <c r="W507" s="275">
        <v>0.7</v>
      </c>
      <c r="X507" s="56">
        <v>2000</v>
      </c>
      <c r="Y507" s="56" t="s">
        <v>571</v>
      </c>
      <c r="Z507" s="56">
        <v>0.2</v>
      </c>
      <c r="AA507" s="56" t="s">
        <v>572</v>
      </c>
      <c r="AB507" s="56" t="s">
        <v>573</v>
      </c>
      <c r="AC507" s="56">
        <v>220</v>
      </c>
      <c r="AD507" s="277" t="s">
        <v>19</v>
      </c>
      <c r="AE507" s="177"/>
    </row>
    <row r="508" spans="1:31" ht="15.75" x14ac:dyDescent="0.25">
      <c r="A508" s="56" t="s">
        <v>733</v>
      </c>
      <c r="B508" s="56">
        <v>6</v>
      </c>
      <c r="C508" s="56">
        <v>613</v>
      </c>
      <c r="D508" s="56" t="s">
        <v>618</v>
      </c>
      <c r="E508" s="56">
        <v>1</v>
      </c>
      <c r="F508" s="278">
        <v>45755.775000000001</v>
      </c>
      <c r="G508" s="56">
        <v>1</v>
      </c>
      <c r="H508" s="56">
        <v>51.377400000000002</v>
      </c>
      <c r="I508" s="56">
        <v>9.6410199999999993</v>
      </c>
      <c r="J508" s="56">
        <v>11.202175</v>
      </c>
      <c r="K508" s="56">
        <v>12.332775</v>
      </c>
      <c r="L508" s="56">
        <v>1083.0999999999999</v>
      </c>
      <c r="M508" s="56">
        <v>77.000012999999996</v>
      </c>
      <c r="N508" s="274">
        <v>10812.114299999999</v>
      </c>
      <c r="O508" s="56">
        <v>10803.9054</v>
      </c>
      <c r="P508" s="275">
        <v>2059.17</v>
      </c>
      <c r="Q508" s="275">
        <f t="shared" si="6"/>
        <v>2059.17</v>
      </c>
      <c r="R508" s="275" t="s">
        <v>570</v>
      </c>
      <c r="S508" s="275">
        <v>10</v>
      </c>
      <c r="T508" s="275">
        <v>5</v>
      </c>
      <c r="U508" s="275">
        <v>0.7</v>
      </c>
      <c r="V508" s="275">
        <v>0.7</v>
      </c>
      <c r="W508" s="275">
        <v>0.7</v>
      </c>
      <c r="X508" s="56">
        <v>2000</v>
      </c>
      <c r="Y508" s="56" t="s">
        <v>571</v>
      </c>
      <c r="Z508" s="56">
        <v>0.2</v>
      </c>
      <c r="AA508" s="56" t="s">
        <v>572</v>
      </c>
      <c r="AB508" s="56" t="s">
        <v>573</v>
      </c>
      <c r="AC508" s="56">
        <v>220</v>
      </c>
      <c r="AD508" s="277" t="s">
        <v>19</v>
      </c>
      <c r="AE508" s="177"/>
    </row>
    <row r="509" spans="1:31" ht="15.75" x14ac:dyDescent="0.25">
      <c r="A509" s="56" t="s">
        <v>734</v>
      </c>
      <c r="B509" s="56">
        <v>6</v>
      </c>
      <c r="C509" s="56">
        <v>613</v>
      </c>
      <c r="D509" s="56" t="s">
        <v>618</v>
      </c>
      <c r="E509" s="56">
        <v>1</v>
      </c>
      <c r="F509" s="278">
        <v>45755.777777777781</v>
      </c>
      <c r="G509" s="56">
        <v>1</v>
      </c>
      <c r="H509" s="56">
        <v>51.377400000000002</v>
      </c>
      <c r="I509" s="56">
        <v>9.6987900000000007</v>
      </c>
      <c r="J509" s="56">
        <v>11.294544</v>
      </c>
      <c r="K509" s="56">
        <v>12.744319000000001</v>
      </c>
      <c r="L509" s="56">
        <v>1023.19</v>
      </c>
      <c r="M509" s="56">
        <v>76.499849999999995</v>
      </c>
      <c r="N509" s="274">
        <v>10795.696400000001</v>
      </c>
      <c r="O509" s="56">
        <v>10803.9054</v>
      </c>
      <c r="P509" s="275">
        <v>2059.17</v>
      </c>
      <c r="Q509" s="275">
        <f t="shared" si="6"/>
        <v>2059.17</v>
      </c>
      <c r="R509" s="275" t="s">
        <v>570</v>
      </c>
      <c r="S509" s="275">
        <v>10</v>
      </c>
      <c r="T509" s="275">
        <v>5</v>
      </c>
      <c r="U509" s="275">
        <v>0.7</v>
      </c>
      <c r="V509" s="275">
        <v>0.7</v>
      </c>
      <c r="W509" s="275">
        <v>0.7</v>
      </c>
      <c r="X509" s="56">
        <v>2000</v>
      </c>
      <c r="Y509" s="56" t="s">
        <v>571</v>
      </c>
      <c r="Z509" s="56">
        <v>0.2</v>
      </c>
      <c r="AA509" s="56" t="s">
        <v>572</v>
      </c>
      <c r="AB509" s="56" t="s">
        <v>573</v>
      </c>
      <c r="AC509" s="56">
        <v>220</v>
      </c>
      <c r="AD509" s="277" t="s">
        <v>19</v>
      </c>
      <c r="AE509" s="177"/>
    </row>
    <row r="510" spans="1:31" ht="15.75" x14ac:dyDescent="0.25">
      <c r="A510" s="56" t="s">
        <v>735</v>
      </c>
      <c r="B510" s="56">
        <v>7</v>
      </c>
      <c r="C510" s="56">
        <v>677</v>
      </c>
      <c r="D510" s="56" t="s">
        <v>623</v>
      </c>
      <c r="E510" s="56">
        <v>1</v>
      </c>
      <c r="F510" s="278">
        <v>45755.78125</v>
      </c>
      <c r="G510" s="56">
        <v>1</v>
      </c>
      <c r="H510" s="56">
        <v>51.374099999999999</v>
      </c>
      <c r="I510" s="56">
        <v>9.7382899999999992</v>
      </c>
      <c r="J510" s="56">
        <v>11.277894</v>
      </c>
      <c r="K510" s="56">
        <v>13.254187999999999</v>
      </c>
      <c r="L510" s="56">
        <v>1025.73</v>
      </c>
      <c r="M510" s="56">
        <v>67.499791999999999</v>
      </c>
      <c r="N510" s="274">
        <v>10699.458000000001</v>
      </c>
      <c r="O510" s="56">
        <v>10698.416300000001</v>
      </c>
      <c r="P510" s="275">
        <v>2039.48</v>
      </c>
      <c r="Q510" s="275">
        <f t="shared" si="6"/>
        <v>2039.48</v>
      </c>
      <c r="R510" s="275" t="s">
        <v>570</v>
      </c>
      <c r="S510" s="275">
        <v>10</v>
      </c>
      <c r="T510" s="275">
        <v>5</v>
      </c>
      <c r="U510" s="275">
        <v>0.7</v>
      </c>
      <c r="V510" s="275">
        <v>0.7</v>
      </c>
      <c r="W510" s="275">
        <v>0.7</v>
      </c>
      <c r="X510" s="56">
        <v>2000</v>
      </c>
      <c r="Y510" s="56" t="s">
        <v>571</v>
      </c>
      <c r="Z510" s="56">
        <v>0.2</v>
      </c>
      <c r="AA510" s="56" t="s">
        <v>572</v>
      </c>
      <c r="AB510" s="56" t="s">
        <v>573</v>
      </c>
      <c r="AC510" s="56">
        <v>220</v>
      </c>
      <c r="AD510" s="277" t="s">
        <v>19</v>
      </c>
      <c r="AE510" s="177"/>
    </row>
    <row r="511" spans="1:31" ht="15.75" x14ac:dyDescent="0.25">
      <c r="A511" s="56" t="s">
        <v>736</v>
      </c>
      <c r="B511" s="56">
        <v>7</v>
      </c>
      <c r="C511" s="56">
        <v>677</v>
      </c>
      <c r="D511" s="56" t="s">
        <v>623</v>
      </c>
      <c r="E511" s="56">
        <v>1</v>
      </c>
      <c r="F511" s="278">
        <v>45755.78402777778</v>
      </c>
      <c r="G511" s="56">
        <v>1</v>
      </c>
      <c r="H511" s="56">
        <v>51.377400000000002</v>
      </c>
      <c r="I511" s="56">
        <v>9.8309200000000008</v>
      </c>
      <c r="J511" s="56">
        <v>11.308887</v>
      </c>
      <c r="K511" s="56">
        <v>13.205</v>
      </c>
      <c r="L511" s="56">
        <v>1032.68</v>
      </c>
      <c r="M511" s="56">
        <v>63.500188000000001</v>
      </c>
      <c r="N511" s="274">
        <v>10697.3747</v>
      </c>
      <c r="O511" s="56">
        <v>10698.416300000001</v>
      </c>
      <c r="P511" s="275">
        <v>2039.48</v>
      </c>
      <c r="Q511" s="275">
        <f t="shared" si="6"/>
        <v>2039.48</v>
      </c>
      <c r="R511" s="275" t="s">
        <v>570</v>
      </c>
      <c r="S511" s="275">
        <v>10</v>
      </c>
      <c r="T511" s="275">
        <v>5</v>
      </c>
      <c r="U511" s="275">
        <v>0.7</v>
      </c>
      <c r="V511" s="275">
        <v>0.7</v>
      </c>
      <c r="W511" s="275">
        <v>0.7</v>
      </c>
      <c r="X511" s="56">
        <v>2000</v>
      </c>
      <c r="Y511" s="56" t="s">
        <v>571</v>
      </c>
      <c r="Z511" s="56">
        <v>0.2</v>
      </c>
      <c r="AA511" s="56" t="s">
        <v>572</v>
      </c>
      <c r="AB511" s="56" t="s">
        <v>573</v>
      </c>
      <c r="AC511" s="56">
        <v>220</v>
      </c>
      <c r="AD511" s="277" t="s">
        <v>19</v>
      </c>
      <c r="AE511" s="177"/>
    </row>
    <row r="512" spans="1:31" ht="15.75" x14ac:dyDescent="0.25">
      <c r="A512" s="56" t="s">
        <v>848</v>
      </c>
      <c r="B512" s="56">
        <v>8</v>
      </c>
      <c r="C512" s="56">
        <v>678</v>
      </c>
      <c r="D512" s="56" t="s">
        <v>629</v>
      </c>
      <c r="E512" s="56">
        <v>1</v>
      </c>
      <c r="F512" s="278">
        <v>45755.786805555559</v>
      </c>
      <c r="G512" s="56">
        <v>1</v>
      </c>
      <c r="H512" s="56">
        <v>51.374099999999999</v>
      </c>
      <c r="I512" s="56">
        <v>9.6536100000000005</v>
      </c>
      <c r="J512" s="56">
        <v>11.338775</v>
      </c>
      <c r="K512" s="56">
        <v>12.670419000000001</v>
      </c>
      <c r="L512" s="56">
        <v>1041.69</v>
      </c>
      <c r="M512" s="56">
        <v>71.500517000000002</v>
      </c>
      <c r="N512" s="274">
        <v>10753.8135</v>
      </c>
      <c r="O512" s="56">
        <v>10748.8331</v>
      </c>
      <c r="P512" s="275">
        <v>2048.89</v>
      </c>
      <c r="Q512" s="275">
        <f t="shared" si="6"/>
        <v>2048.89</v>
      </c>
      <c r="R512" s="275" t="s">
        <v>584</v>
      </c>
      <c r="S512" s="275">
        <v>10</v>
      </c>
      <c r="T512" s="275">
        <v>5</v>
      </c>
      <c r="U512" s="275">
        <v>0.7</v>
      </c>
      <c r="V512" s="275">
        <v>0.7</v>
      </c>
      <c r="W512" s="275">
        <v>0.7</v>
      </c>
      <c r="X512" s="56">
        <v>2000</v>
      </c>
      <c r="Y512" s="56" t="s">
        <v>571</v>
      </c>
      <c r="Z512" s="56">
        <v>0.2</v>
      </c>
      <c r="AA512" s="56" t="s">
        <v>572</v>
      </c>
      <c r="AB512" s="56" t="s">
        <v>573</v>
      </c>
      <c r="AC512" s="56">
        <v>220</v>
      </c>
      <c r="AD512" s="277" t="s">
        <v>19</v>
      </c>
      <c r="AE512" s="177"/>
    </row>
    <row r="513" spans="1:31" ht="15.75" x14ac:dyDescent="0.25">
      <c r="A513" s="56" t="s">
        <v>849</v>
      </c>
      <c r="B513" s="56">
        <v>8</v>
      </c>
      <c r="C513" s="56">
        <v>678</v>
      </c>
      <c r="D513" s="56" t="s">
        <v>629</v>
      </c>
      <c r="E513" s="56">
        <v>1</v>
      </c>
      <c r="F513" s="278">
        <v>45755.790277777778</v>
      </c>
      <c r="G513" s="56">
        <v>1</v>
      </c>
      <c r="H513" s="56">
        <v>51.374099999999999</v>
      </c>
      <c r="I513" s="56">
        <v>9.8418200000000002</v>
      </c>
      <c r="J513" s="56">
        <v>11.221206</v>
      </c>
      <c r="K513" s="56">
        <v>12.887263000000001</v>
      </c>
      <c r="L513" s="56">
        <v>1016.7</v>
      </c>
      <c r="M513" s="56">
        <v>68.498362999999998</v>
      </c>
      <c r="N513" s="274">
        <v>10691.8174</v>
      </c>
      <c r="O513" s="56">
        <v>10748.8331</v>
      </c>
      <c r="P513" s="275">
        <v>2048.89</v>
      </c>
      <c r="Q513" s="275">
        <f t="shared" si="6"/>
        <v>2048.89</v>
      </c>
      <c r="R513" s="275" t="s">
        <v>584</v>
      </c>
      <c r="S513" s="275">
        <v>10</v>
      </c>
      <c r="T513" s="275">
        <v>5</v>
      </c>
      <c r="U513" s="275">
        <v>0.7</v>
      </c>
      <c r="V513" s="275">
        <v>0.7</v>
      </c>
      <c r="W513" s="275">
        <v>0.7</v>
      </c>
      <c r="X513" s="56">
        <v>2000</v>
      </c>
      <c r="Y513" s="56" t="s">
        <v>571</v>
      </c>
      <c r="Z513" s="56">
        <v>0.2</v>
      </c>
      <c r="AA513" s="56" t="s">
        <v>572</v>
      </c>
      <c r="AB513" s="56" t="s">
        <v>573</v>
      </c>
      <c r="AC513" s="56">
        <v>220</v>
      </c>
      <c r="AD513" s="277" t="s">
        <v>19</v>
      </c>
      <c r="AE513" s="177"/>
    </row>
    <row r="514" spans="1:31" ht="15.75" x14ac:dyDescent="0.25">
      <c r="A514" s="56" t="s">
        <v>850</v>
      </c>
      <c r="B514" s="56">
        <v>8</v>
      </c>
      <c r="C514" s="56">
        <v>678</v>
      </c>
      <c r="D514" s="56" t="s">
        <v>629</v>
      </c>
      <c r="E514" s="56">
        <v>1</v>
      </c>
      <c r="F514" s="278">
        <v>45755.792361111111</v>
      </c>
      <c r="G514" s="56">
        <v>1</v>
      </c>
      <c r="H514" s="56">
        <v>51.370800000000003</v>
      </c>
      <c r="I514" s="56">
        <v>9.7473700000000001</v>
      </c>
      <c r="J514" s="56">
        <v>11.338675</v>
      </c>
      <c r="K514" s="56">
        <v>12.587463</v>
      </c>
      <c r="L514" s="56">
        <v>1033.24</v>
      </c>
      <c r="M514" s="56">
        <v>76.999206000000001</v>
      </c>
      <c r="N514" s="274">
        <v>10748.5911</v>
      </c>
      <c r="O514" s="56">
        <v>10748.8331</v>
      </c>
      <c r="P514" s="275">
        <v>2048.89</v>
      </c>
      <c r="Q514" s="275">
        <f t="shared" si="6"/>
        <v>2048.89</v>
      </c>
      <c r="R514" s="275" t="s">
        <v>570</v>
      </c>
      <c r="S514" s="275">
        <v>10</v>
      </c>
      <c r="T514" s="275">
        <v>5</v>
      </c>
      <c r="U514" s="275">
        <v>0.7</v>
      </c>
      <c r="V514" s="275">
        <v>0.7</v>
      </c>
      <c r="W514" s="275">
        <v>0.7</v>
      </c>
      <c r="X514" s="56">
        <v>2000</v>
      </c>
      <c r="Y514" s="56" t="s">
        <v>571</v>
      </c>
      <c r="Z514" s="56">
        <v>0.2</v>
      </c>
      <c r="AA514" s="56" t="s">
        <v>572</v>
      </c>
      <c r="AB514" s="56" t="s">
        <v>573</v>
      </c>
      <c r="AC514" s="56">
        <v>220</v>
      </c>
      <c r="AD514" s="277" t="s">
        <v>19</v>
      </c>
      <c r="AE514" s="177"/>
    </row>
    <row r="515" spans="1:31" ht="15.75" x14ac:dyDescent="0.25">
      <c r="A515" s="56" t="s">
        <v>851</v>
      </c>
      <c r="B515" s="56">
        <v>8</v>
      </c>
      <c r="C515" s="56">
        <v>678</v>
      </c>
      <c r="D515" s="56" t="s">
        <v>629</v>
      </c>
      <c r="E515" s="56">
        <v>1</v>
      </c>
      <c r="F515" s="278">
        <v>45755.79583333333</v>
      </c>
      <c r="G515" s="56">
        <v>1</v>
      </c>
      <c r="H515" s="56">
        <v>51.3675</v>
      </c>
      <c r="I515" s="56">
        <v>9.7901199999999999</v>
      </c>
      <c r="J515" s="56">
        <v>11.288788</v>
      </c>
      <c r="K515" s="56">
        <v>12.513887</v>
      </c>
      <c r="L515" s="56">
        <v>1047.3800000000001</v>
      </c>
      <c r="M515" s="56">
        <v>73.999101999999993</v>
      </c>
      <c r="N515" s="274">
        <v>10749.0751</v>
      </c>
      <c r="O515" s="56">
        <v>10748.8331</v>
      </c>
      <c r="P515" s="275">
        <v>2048.89</v>
      </c>
      <c r="Q515" s="275">
        <f t="shared" si="6"/>
        <v>2048.89</v>
      </c>
      <c r="R515" s="275" t="s">
        <v>570</v>
      </c>
      <c r="S515" s="275">
        <v>10</v>
      </c>
      <c r="T515" s="275">
        <v>5</v>
      </c>
      <c r="U515" s="275">
        <v>0.7</v>
      </c>
      <c r="V515" s="275">
        <v>0.7</v>
      </c>
      <c r="W515" s="275">
        <v>0.7</v>
      </c>
      <c r="X515" s="56">
        <v>2000</v>
      </c>
      <c r="Y515" s="56" t="s">
        <v>571</v>
      </c>
      <c r="Z515" s="56">
        <v>0.2</v>
      </c>
      <c r="AA515" s="56" t="s">
        <v>572</v>
      </c>
      <c r="AB515" s="56" t="s">
        <v>573</v>
      </c>
      <c r="AC515" s="56">
        <v>220</v>
      </c>
      <c r="AD515" s="277" t="s">
        <v>19</v>
      </c>
      <c r="AE515" s="177"/>
    </row>
    <row r="516" spans="1:31" ht="15.75" x14ac:dyDescent="0.25">
      <c r="A516" s="56" t="s">
        <v>852</v>
      </c>
      <c r="B516" s="56">
        <v>9</v>
      </c>
      <c r="C516" s="56" t="s">
        <v>537</v>
      </c>
      <c r="D516" s="56" t="s">
        <v>569</v>
      </c>
      <c r="E516" s="56">
        <v>1</v>
      </c>
      <c r="F516" s="278">
        <v>45755.799305555556</v>
      </c>
      <c r="G516" s="56">
        <v>1</v>
      </c>
      <c r="H516" s="56">
        <v>51.374099999999999</v>
      </c>
      <c r="I516" s="56">
        <v>9.6361000000000008</v>
      </c>
      <c r="J516" s="56">
        <v>11.1655</v>
      </c>
      <c r="K516" s="56">
        <v>12.715825000000001</v>
      </c>
      <c r="L516" s="56">
        <v>1059.75</v>
      </c>
      <c r="M516" s="56">
        <v>69.500636</v>
      </c>
      <c r="N516" s="274">
        <v>10962.282499999999</v>
      </c>
      <c r="O516" s="56">
        <v>11003.7665</v>
      </c>
      <c r="P516" s="275">
        <v>2096.46</v>
      </c>
      <c r="Q516" s="275">
        <f t="shared" si="6"/>
        <v>2096.46</v>
      </c>
      <c r="R516" s="275" t="s">
        <v>584</v>
      </c>
      <c r="S516" s="275">
        <v>10</v>
      </c>
      <c r="T516" s="275">
        <v>5</v>
      </c>
      <c r="U516" s="275">
        <v>0.7</v>
      </c>
      <c r="V516" s="275">
        <v>0.7</v>
      </c>
      <c r="W516" s="275">
        <v>0.7</v>
      </c>
      <c r="X516" s="56">
        <v>2000</v>
      </c>
      <c r="Y516" s="56" t="s">
        <v>571</v>
      </c>
      <c r="Z516" s="56">
        <v>0.2</v>
      </c>
      <c r="AA516" s="56" t="s">
        <v>572</v>
      </c>
      <c r="AB516" s="56" t="s">
        <v>573</v>
      </c>
      <c r="AC516" s="56">
        <v>220</v>
      </c>
      <c r="AD516" s="277" t="s">
        <v>19</v>
      </c>
      <c r="AE516" s="177"/>
    </row>
    <row r="517" spans="1:31" ht="15.75" x14ac:dyDescent="0.25">
      <c r="A517" s="280" t="s">
        <v>853</v>
      </c>
      <c r="B517" s="280">
        <v>9</v>
      </c>
      <c r="C517" s="280" t="s">
        <v>537</v>
      </c>
      <c r="D517" s="280" t="s">
        <v>569</v>
      </c>
      <c r="E517" s="280">
        <v>1</v>
      </c>
      <c r="F517" s="281">
        <v>45755.802083333336</v>
      </c>
      <c r="G517" s="280">
        <v>1</v>
      </c>
      <c r="H517" s="280">
        <v>51.380699999999997</v>
      </c>
      <c r="I517" s="280">
        <v>9.6304400000000001</v>
      </c>
      <c r="J517" s="280">
        <v>11.334425</v>
      </c>
      <c r="K517" s="280">
        <v>12.238350000000001</v>
      </c>
      <c r="L517" s="280">
        <v>1060.56</v>
      </c>
      <c r="M517" s="280">
        <v>81.499835000000004</v>
      </c>
      <c r="N517" s="282">
        <v>11007.851199999999</v>
      </c>
      <c r="O517" s="280">
        <v>11003.7665</v>
      </c>
      <c r="P517" s="283">
        <v>2096.46</v>
      </c>
      <c r="Q517" s="275">
        <f t="shared" si="6"/>
        <v>2096.46</v>
      </c>
      <c r="R517" s="283" t="s">
        <v>570</v>
      </c>
      <c r="S517" s="275">
        <v>10</v>
      </c>
      <c r="T517" s="275">
        <v>5</v>
      </c>
      <c r="U517" s="275">
        <v>0.7</v>
      </c>
      <c r="V517" s="275">
        <v>0.7</v>
      </c>
      <c r="W517" s="275">
        <v>0.7</v>
      </c>
      <c r="X517" s="56">
        <v>2000</v>
      </c>
      <c r="Y517" s="56" t="s">
        <v>571</v>
      </c>
      <c r="Z517" s="56">
        <v>0.2</v>
      </c>
      <c r="AA517" s="56" t="s">
        <v>572</v>
      </c>
      <c r="AB517" s="56" t="s">
        <v>573</v>
      </c>
      <c r="AC517" s="56">
        <v>220</v>
      </c>
      <c r="AD517" s="277" t="s">
        <v>19</v>
      </c>
      <c r="AE517" s="177"/>
    </row>
    <row r="518" spans="1:31" ht="15.75" x14ac:dyDescent="0.25">
      <c r="A518" s="280" t="s">
        <v>854</v>
      </c>
      <c r="B518" s="280">
        <v>9</v>
      </c>
      <c r="C518" s="280" t="s">
        <v>537</v>
      </c>
      <c r="D518" s="280" t="s">
        <v>569</v>
      </c>
      <c r="E518" s="280">
        <v>1</v>
      </c>
      <c r="F518" s="281">
        <v>45755.804861111108</v>
      </c>
      <c r="G518" s="280">
        <v>1</v>
      </c>
      <c r="H518" s="280">
        <v>51.374099999999999</v>
      </c>
      <c r="I518" s="280">
        <v>9.6184200000000004</v>
      </c>
      <c r="J518" s="280">
        <v>11.236437</v>
      </c>
      <c r="K518" s="280">
        <v>12.379505999999999</v>
      </c>
      <c r="L518" s="280">
        <v>1063.8699999999999</v>
      </c>
      <c r="M518" s="280">
        <v>70.500440999999995</v>
      </c>
      <c r="N518" s="282">
        <v>10999.6818</v>
      </c>
      <c r="O518" s="280">
        <v>11003.7665</v>
      </c>
      <c r="P518" s="283">
        <v>2096.46</v>
      </c>
      <c r="Q518" s="275">
        <f t="shared" si="6"/>
        <v>2096.46</v>
      </c>
      <c r="R518" s="283" t="s">
        <v>570</v>
      </c>
      <c r="S518" s="275">
        <v>10</v>
      </c>
      <c r="T518" s="275">
        <v>5</v>
      </c>
      <c r="U518" s="275">
        <v>0.7</v>
      </c>
      <c r="V518" s="275">
        <v>0.7</v>
      </c>
      <c r="W518" s="275">
        <v>0.7</v>
      </c>
      <c r="X518" s="56">
        <v>2000</v>
      </c>
      <c r="Y518" s="56" t="s">
        <v>571</v>
      </c>
      <c r="Z518" s="56">
        <v>0.2</v>
      </c>
      <c r="AA518" s="56" t="s">
        <v>572</v>
      </c>
      <c r="AB518" s="56" t="s">
        <v>573</v>
      </c>
      <c r="AC518" s="56">
        <v>220</v>
      </c>
      <c r="AD518" s="277" t="s">
        <v>19</v>
      </c>
      <c r="AE518" s="177"/>
    </row>
    <row r="519" spans="1:31" ht="15.75" x14ac:dyDescent="0.25">
      <c r="A519" s="56" t="s">
        <v>855</v>
      </c>
      <c r="B519" s="56" t="s">
        <v>583</v>
      </c>
      <c r="C519" s="56" t="s">
        <v>537</v>
      </c>
      <c r="D519" s="56" t="s">
        <v>569</v>
      </c>
      <c r="E519" s="56">
        <v>0.8</v>
      </c>
      <c r="F519" s="278">
        <v>45755.807638888888</v>
      </c>
      <c r="G519" s="56">
        <v>1</v>
      </c>
      <c r="H519" s="56">
        <v>51.374099999999999</v>
      </c>
      <c r="I519" s="56">
        <v>9.7217099999999999</v>
      </c>
      <c r="J519" s="56">
        <v>11.268886999999999</v>
      </c>
      <c r="K519" s="56">
        <v>12.694831000000001</v>
      </c>
      <c r="L519" s="56">
        <v>1012.4</v>
      </c>
      <c r="M519" s="56">
        <v>63.499755999999998</v>
      </c>
      <c r="N519" s="274">
        <v>8755.1983799999998</v>
      </c>
      <c r="O519" s="56">
        <v>8784.0532800000001</v>
      </c>
      <c r="P519" s="275">
        <v>2091.86</v>
      </c>
      <c r="Q519" s="275">
        <f t="shared" si="6"/>
        <v>2091.86</v>
      </c>
      <c r="R519" s="275" t="s">
        <v>584</v>
      </c>
      <c r="S519" s="275">
        <v>10</v>
      </c>
      <c r="T519" s="275">
        <v>5</v>
      </c>
      <c r="U519" s="275">
        <v>0.7</v>
      </c>
      <c r="V519" s="275">
        <v>0.7</v>
      </c>
      <c r="W519" s="275">
        <v>0.7</v>
      </c>
      <c r="X519" s="56">
        <v>2000</v>
      </c>
      <c r="Y519" s="56" t="s">
        <v>571</v>
      </c>
      <c r="Z519" s="56">
        <v>0.2</v>
      </c>
      <c r="AA519" s="56" t="s">
        <v>572</v>
      </c>
      <c r="AB519" s="56" t="s">
        <v>573</v>
      </c>
      <c r="AC519" s="56">
        <v>220</v>
      </c>
      <c r="AD519" s="277" t="s">
        <v>19</v>
      </c>
      <c r="AE519" s="177"/>
    </row>
    <row r="520" spans="1:31" ht="15.75" x14ac:dyDescent="0.25">
      <c r="A520" s="56" t="s">
        <v>856</v>
      </c>
      <c r="B520" s="56" t="s">
        <v>583</v>
      </c>
      <c r="C520" s="56" t="s">
        <v>537</v>
      </c>
      <c r="D520" s="56" t="s">
        <v>569</v>
      </c>
      <c r="E520" s="56">
        <v>0.8</v>
      </c>
      <c r="F520" s="278">
        <v>45755.810416666667</v>
      </c>
      <c r="G520" s="56">
        <v>1</v>
      </c>
      <c r="H520" s="56">
        <v>51.374099999999999</v>
      </c>
      <c r="I520" s="56">
        <v>9.4762500000000003</v>
      </c>
      <c r="J520" s="56">
        <v>11.127469</v>
      </c>
      <c r="K520" s="56">
        <v>12.181831000000001</v>
      </c>
      <c r="L520" s="56">
        <v>991.40499999999997</v>
      </c>
      <c r="M520" s="56">
        <v>79.500373999999994</v>
      </c>
      <c r="N520" s="274">
        <v>8778.4346499999992</v>
      </c>
      <c r="O520" s="56">
        <v>8784.0532800000001</v>
      </c>
      <c r="P520" s="275">
        <v>2091.86</v>
      </c>
      <c r="Q520" s="275">
        <f t="shared" si="6"/>
        <v>2091.86</v>
      </c>
      <c r="R520" s="275" t="s">
        <v>570</v>
      </c>
      <c r="S520" s="275">
        <v>10</v>
      </c>
      <c r="T520" s="275">
        <v>5</v>
      </c>
      <c r="U520" s="275">
        <v>0.7</v>
      </c>
      <c r="V520" s="275">
        <v>0.7</v>
      </c>
      <c r="W520" s="275">
        <v>0.7</v>
      </c>
      <c r="X520" s="56">
        <v>2000</v>
      </c>
      <c r="Y520" s="56" t="s">
        <v>571</v>
      </c>
      <c r="Z520" s="56">
        <v>0.2</v>
      </c>
      <c r="AA520" s="56" t="s">
        <v>572</v>
      </c>
      <c r="AB520" s="56" t="s">
        <v>573</v>
      </c>
      <c r="AC520" s="56">
        <v>220</v>
      </c>
      <c r="AD520" s="277" t="s">
        <v>19</v>
      </c>
      <c r="AE520" s="177"/>
    </row>
    <row r="521" spans="1:31" ht="15.75" x14ac:dyDescent="0.25">
      <c r="A521" s="56" t="s">
        <v>857</v>
      </c>
      <c r="B521" s="56" t="s">
        <v>583</v>
      </c>
      <c r="C521" s="56" t="s">
        <v>537</v>
      </c>
      <c r="D521" s="56" t="s">
        <v>569</v>
      </c>
      <c r="E521" s="56">
        <v>0.8</v>
      </c>
      <c r="F521" s="278">
        <v>45755.813194444447</v>
      </c>
      <c r="G521" s="56">
        <v>1</v>
      </c>
      <c r="H521" s="56">
        <v>51.374099999999999</v>
      </c>
      <c r="I521" s="56">
        <v>9.5635999999999992</v>
      </c>
      <c r="J521" s="56">
        <v>11.304912</v>
      </c>
      <c r="K521" s="56">
        <v>12.003806000000001</v>
      </c>
      <c r="L521" s="56">
        <v>984.81100000000004</v>
      </c>
      <c r="M521" s="56">
        <v>78.999947000000006</v>
      </c>
      <c r="N521" s="274">
        <v>8789.6719099999991</v>
      </c>
      <c r="O521" s="56">
        <v>8784.0532800000001</v>
      </c>
      <c r="P521" s="275">
        <v>2091.86</v>
      </c>
      <c r="Q521" s="275">
        <f t="shared" si="6"/>
        <v>2091.86</v>
      </c>
      <c r="R521" s="275" t="s">
        <v>570</v>
      </c>
      <c r="S521" s="275">
        <v>10</v>
      </c>
      <c r="T521" s="275">
        <v>5</v>
      </c>
      <c r="U521" s="275">
        <v>0.7</v>
      </c>
      <c r="V521" s="275">
        <v>0.7</v>
      </c>
      <c r="W521" s="275">
        <v>0.7</v>
      </c>
      <c r="X521" s="56">
        <v>2000</v>
      </c>
      <c r="Y521" s="56" t="s">
        <v>571</v>
      </c>
      <c r="Z521" s="56">
        <v>0.2</v>
      </c>
      <c r="AA521" s="56" t="s">
        <v>572</v>
      </c>
      <c r="AB521" s="56" t="s">
        <v>573</v>
      </c>
      <c r="AC521" s="56">
        <v>220</v>
      </c>
      <c r="AD521" s="277" t="s">
        <v>19</v>
      </c>
      <c r="AE521" s="177"/>
    </row>
    <row r="522" spans="1:31" ht="15.75" x14ac:dyDescent="0.25">
      <c r="A522" s="56" t="s">
        <v>858</v>
      </c>
      <c r="B522" s="56" t="s">
        <v>589</v>
      </c>
      <c r="C522" s="56" t="s">
        <v>537</v>
      </c>
      <c r="D522" s="56" t="s">
        <v>569</v>
      </c>
      <c r="E522" s="56">
        <v>1</v>
      </c>
      <c r="F522" s="278">
        <v>45755.815972222219</v>
      </c>
      <c r="G522" s="56">
        <v>1</v>
      </c>
      <c r="H522" s="56">
        <v>51.370800000000003</v>
      </c>
      <c r="I522" s="56">
        <v>9.5567200000000003</v>
      </c>
      <c r="J522" s="56">
        <v>11.306188000000001</v>
      </c>
      <c r="K522" s="56">
        <v>12.449525</v>
      </c>
      <c r="L522" s="56">
        <v>1059.32</v>
      </c>
      <c r="M522" s="56">
        <v>72.498822000000004</v>
      </c>
      <c r="N522" s="274">
        <v>10999.643099999999</v>
      </c>
      <c r="O522" s="56">
        <v>11000.0002</v>
      </c>
      <c r="P522" s="275">
        <v>2091.86</v>
      </c>
      <c r="Q522" s="275">
        <f t="shared" si="6"/>
        <v>2091.86</v>
      </c>
      <c r="R522" s="275" t="s">
        <v>570</v>
      </c>
      <c r="S522" s="275">
        <v>10</v>
      </c>
      <c r="T522" s="275">
        <v>5</v>
      </c>
      <c r="U522" s="275">
        <v>0.7</v>
      </c>
      <c r="V522" s="275">
        <v>0.7</v>
      </c>
      <c r="W522" s="275">
        <v>0.7</v>
      </c>
      <c r="X522" s="56">
        <v>2000</v>
      </c>
      <c r="Y522" s="56" t="s">
        <v>571</v>
      </c>
      <c r="Z522" s="56">
        <v>0.2</v>
      </c>
      <c r="AA522" s="56" t="s">
        <v>572</v>
      </c>
      <c r="AB522" s="56" t="s">
        <v>573</v>
      </c>
      <c r="AC522" s="56">
        <v>220</v>
      </c>
      <c r="AD522" s="277" t="s">
        <v>19</v>
      </c>
      <c r="AE522" s="177"/>
    </row>
    <row r="523" spans="1:31" ht="15.75" x14ac:dyDescent="0.25">
      <c r="A523" s="56" t="s">
        <v>859</v>
      </c>
      <c r="B523" s="56" t="s">
        <v>589</v>
      </c>
      <c r="C523" s="56" t="s">
        <v>537</v>
      </c>
      <c r="D523" s="56" t="s">
        <v>569</v>
      </c>
      <c r="E523" s="56">
        <v>1</v>
      </c>
      <c r="F523" s="278">
        <v>45755.818749999999</v>
      </c>
      <c r="G523" s="56">
        <v>1</v>
      </c>
      <c r="H523" s="56">
        <v>51.370800000000003</v>
      </c>
      <c r="I523" s="56">
        <v>9.5883900000000004</v>
      </c>
      <c r="J523" s="56">
        <v>11.2577</v>
      </c>
      <c r="K523" s="56">
        <v>12.694331</v>
      </c>
      <c r="L523" s="56">
        <v>1068.94</v>
      </c>
      <c r="M523" s="56">
        <v>69.000556000000003</v>
      </c>
      <c r="N523" s="274">
        <v>11000.3573</v>
      </c>
      <c r="O523" s="56">
        <v>11000.0002</v>
      </c>
      <c r="P523" s="275">
        <v>2091.86</v>
      </c>
      <c r="Q523" s="275">
        <f t="shared" si="6"/>
        <v>2091.86</v>
      </c>
      <c r="R523" s="275" t="s">
        <v>570</v>
      </c>
      <c r="S523" s="275">
        <v>10</v>
      </c>
      <c r="T523" s="275">
        <v>5</v>
      </c>
      <c r="U523" s="275">
        <v>0.7</v>
      </c>
      <c r="V523" s="275">
        <v>0.7</v>
      </c>
      <c r="W523" s="275">
        <v>0.7</v>
      </c>
      <c r="X523" s="56">
        <v>2000</v>
      </c>
      <c r="Y523" s="56" t="s">
        <v>571</v>
      </c>
      <c r="Z523" s="56">
        <v>0.2</v>
      </c>
      <c r="AA523" s="56" t="s">
        <v>572</v>
      </c>
      <c r="AB523" s="56" t="s">
        <v>573</v>
      </c>
      <c r="AC523" s="56">
        <v>220</v>
      </c>
      <c r="AD523" s="277" t="s">
        <v>19</v>
      </c>
      <c r="AE523" s="177"/>
    </row>
    <row r="524" spans="1:31" ht="15.75" x14ac:dyDescent="0.25">
      <c r="A524" s="56" t="s">
        <v>860</v>
      </c>
      <c r="B524" s="56" t="s">
        <v>594</v>
      </c>
      <c r="C524" s="56" t="s">
        <v>537</v>
      </c>
      <c r="D524" s="56" t="s">
        <v>569</v>
      </c>
      <c r="E524" s="56">
        <v>1.2</v>
      </c>
      <c r="F524" s="278">
        <v>45755.821527777778</v>
      </c>
      <c r="G524" s="56">
        <v>1</v>
      </c>
      <c r="H524" s="56">
        <v>51.374099999999999</v>
      </c>
      <c r="I524" s="56">
        <v>9.4560899999999997</v>
      </c>
      <c r="J524" s="56">
        <v>11.359819</v>
      </c>
      <c r="K524" s="56">
        <v>12.19655</v>
      </c>
      <c r="L524" s="56">
        <v>1080.8699999999999</v>
      </c>
      <c r="M524" s="56">
        <v>90.499463000000006</v>
      </c>
      <c r="N524" s="274">
        <v>13247.0139</v>
      </c>
      <c r="O524" s="56">
        <v>13234.932000000001</v>
      </c>
      <c r="P524" s="275">
        <v>2091.86</v>
      </c>
      <c r="Q524" s="275">
        <f t="shared" si="6"/>
        <v>2091.86</v>
      </c>
      <c r="R524" s="275" t="s">
        <v>570</v>
      </c>
      <c r="S524" s="275">
        <v>10</v>
      </c>
      <c r="T524" s="275">
        <v>5</v>
      </c>
      <c r="U524" s="275">
        <v>0.7</v>
      </c>
      <c r="V524" s="275">
        <v>0.7</v>
      </c>
      <c r="W524" s="275">
        <v>0.7</v>
      </c>
      <c r="X524" s="56">
        <v>2000</v>
      </c>
      <c r="Y524" s="56" t="s">
        <v>571</v>
      </c>
      <c r="Z524" s="56">
        <v>0.2</v>
      </c>
      <c r="AA524" s="56" t="s">
        <v>572</v>
      </c>
      <c r="AB524" s="56" t="s">
        <v>573</v>
      </c>
      <c r="AC524" s="56">
        <v>220</v>
      </c>
      <c r="AD524" s="277" t="s">
        <v>19</v>
      </c>
      <c r="AE524" s="177"/>
    </row>
    <row r="525" spans="1:31" ht="15.75" x14ac:dyDescent="0.25">
      <c r="A525" s="56" t="s">
        <v>861</v>
      </c>
      <c r="B525" s="56" t="s">
        <v>594</v>
      </c>
      <c r="C525" s="56" t="s">
        <v>537</v>
      </c>
      <c r="D525" s="56" t="s">
        <v>569</v>
      </c>
      <c r="E525" s="56">
        <v>1.2</v>
      </c>
      <c r="F525" s="278">
        <v>45755.824999999997</v>
      </c>
      <c r="G525" s="56">
        <v>1</v>
      </c>
      <c r="H525" s="56">
        <v>51.374099999999999</v>
      </c>
      <c r="I525" s="56">
        <v>9.5001499999999997</v>
      </c>
      <c r="J525" s="56">
        <v>11.211893999999999</v>
      </c>
      <c r="K525" s="56">
        <v>12.677906</v>
      </c>
      <c r="L525" s="56">
        <v>1100.31</v>
      </c>
      <c r="M525" s="56">
        <v>73.999454</v>
      </c>
      <c r="N525" s="274">
        <v>13222.850200000001</v>
      </c>
      <c r="O525" s="56">
        <v>13234.932000000001</v>
      </c>
      <c r="P525" s="275">
        <v>2091.86</v>
      </c>
      <c r="Q525" s="275">
        <f t="shared" si="6"/>
        <v>2091.86</v>
      </c>
      <c r="R525" s="275" t="s">
        <v>570</v>
      </c>
      <c r="S525" s="275">
        <v>10</v>
      </c>
      <c r="T525" s="275">
        <v>5</v>
      </c>
      <c r="U525" s="275">
        <v>0.7</v>
      </c>
      <c r="V525" s="275">
        <v>0.7</v>
      </c>
      <c r="W525" s="275">
        <v>0.7</v>
      </c>
      <c r="X525" s="56">
        <v>2000</v>
      </c>
      <c r="Y525" s="56" t="s">
        <v>571</v>
      </c>
      <c r="Z525" s="56">
        <v>0.2</v>
      </c>
      <c r="AA525" s="56" t="s">
        <v>572</v>
      </c>
      <c r="AB525" s="56" t="s">
        <v>573</v>
      </c>
      <c r="AC525" s="56">
        <v>220</v>
      </c>
      <c r="AD525" s="277" t="s">
        <v>19</v>
      </c>
      <c r="AE525" s="177"/>
    </row>
    <row r="526" spans="1:31" ht="15.75" x14ac:dyDescent="0.25">
      <c r="A526" s="280" t="s">
        <v>862</v>
      </c>
      <c r="B526" s="280">
        <v>2</v>
      </c>
      <c r="C526" s="280" t="s">
        <v>537</v>
      </c>
      <c r="D526" s="280" t="s">
        <v>569</v>
      </c>
      <c r="E526" s="280">
        <v>1</v>
      </c>
      <c r="F526" s="281">
        <v>45755.827777777777</v>
      </c>
      <c r="G526" s="280">
        <v>1</v>
      </c>
      <c r="H526" s="280">
        <v>51.377400000000002</v>
      </c>
      <c r="I526" s="280">
        <v>9.4133800000000001</v>
      </c>
      <c r="J526" s="280">
        <v>11.195513</v>
      </c>
      <c r="K526" s="280">
        <v>12.184875</v>
      </c>
      <c r="L526" s="280">
        <v>1060.93</v>
      </c>
      <c r="M526" s="280">
        <v>94.499454</v>
      </c>
      <c r="N526" s="282">
        <v>11028.820900000001</v>
      </c>
      <c r="O526" s="280">
        <v>11028.2384</v>
      </c>
      <c r="P526" s="283">
        <v>2095.98</v>
      </c>
      <c r="Q526" s="275">
        <f t="shared" si="6"/>
        <v>2095.98</v>
      </c>
      <c r="R526" s="283" t="s">
        <v>570</v>
      </c>
      <c r="S526" s="275">
        <v>10</v>
      </c>
      <c r="T526" s="275">
        <v>5</v>
      </c>
      <c r="U526" s="275">
        <v>0.7</v>
      </c>
      <c r="V526" s="275">
        <v>0.7</v>
      </c>
      <c r="W526" s="275">
        <v>0.7</v>
      </c>
      <c r="X526" s="56">
        <v>2000</v>
      </c>
      <c r="Y526" s="56" t="s">
        <v>571</v>
      </c>
      <c r="Z526" s="56">
        <v>0.2</v>
      </c>
      <c r="AA526" s="56" t="s">
        <v>572</v>
      </c>
      <c r="AB526" s="56" t="s">
        <v>573</v>
      </c>
      <c r="AC526" s="56">
        <v>220</v>
      </c>
      <c r="AD526" s="277" t="s">
        <v>19</v>
      </c>
      <c r="AE526" s="177"/>
    </row>
    <row r="527" spans="1:31" ht="15.75" x14ac:dyDescent="0.25">
      <c r="A527" s="280" t="s">
        <v>863</v>
      </c>
      <c r="B527" s="280">
        <v>2</v>
      </c>
      <c r="C527" s="280" t="s">
        <v>537</v>
      </c>
      <c r="D527" s="280" t="s">
        <v>569</v>
      </c>
      <c r="E527" s="280">
        <v>1</v>
      </c>
      <c r="F527" s="281">
        <v>45755.830555555556</v>
      </c>
      <c r="G527" s="280">
        <v>1</v>
      </c>
      <c r="H527" s="280">
        <v>51.374099999999999</v>
      </c>
      <c r="I527" s="280">
        <v>9.5419800000000006</v>
      </c>
      <c r="J527" s="280">
        <v>11.455019</v>
      </c>
      <c r="K527" s="280">
        <v>11.979569</v>
      </c>
      <c r="L527" s="280">
        <v>1056.93</v>
      </c>
      <c r="M527" s="280">
        <v>95.998745</v>
      </c>
      <c r="N527" s="282">
        <v>11027.6559</v>
      </c>
      <c r="O527" s="280">
        <v>11028.2384</v>
      </c>
      <c r="P527" s="283">
        <v>2095.98</v>
      </c>
      <c r="Q527" s="275">
        <f t="shared" si="6"/>
        <v>2095.98</v>
      </c>
      <c r="R527" s="283" t="s">
        <v>570</v>
      </c>
      <c r="S527" s="275">
        <v>10</v>
      </c>
      <c r="T527" s="275">
        <v>5</v>
      </c>
      <c r="U527" s="275">
        <v>0.7</v>
      </c>
      <c r="V527" s="275">
        <v>0.7</v>
      </c>
      <c r="W527" s="275">
        <v>0.7</v>
      </c>
      <c r="X527" s="56">
        <v>2000</v>
      </c>
      <c r="Y527" s="56" t="s">
        <v>571</v>
      </c>
      <c r="Z527" s="56">
        <v>0.2</v>
      </c>
      <c r="AA527" s="56" t="s">
        <v>572</v>
      </c>
      <c r="AB527" s="56" t="s">
        <v>573</v>
      </c>
      <c r="AC527" s="56">
        <v>220</v>
      </c>
      <c r="AD527" s="277" t="s">
        <v>19</v>
      </c>
      <c r="AE527" s="177"/>
    </row>
    <row r="528" spans="1:31" ht="15.75" x14ac:dyDescent="0.25">
      <c r="A528" s="56" t="s">
        <v>864</v>
      </c>
      <c r="B528" s="56">
        <v>3</v>
      </c>
      <c r="C528" s="56">
        <v>443</v>
      </c>
      <c r="D528" s="56" t="s">
        <v>600</v>
      </c>
      <c r="E528" s="56">
        <v>1</v>
      </c>
      <c r="F528" s="278">
        <v>45755.834027777775</v>
      </c>
      <c r="G528" s="56">
        <v>1</v>
      </c>
      <c r="H528" s="56">
        <v>51.374099999999999</v>
      </c>
      <c r="I528" s="56">
        <v>9.6034100000000002</v>
      </c>
      <c r="J528" s="56">
        <v>11.429456</v>
      </c>
      <c r="K528" s="56">
        <v>12.242856</v>
      </c>
      <c r="L528" s="56">
        <v>1079.0999999999999</v>
      </c>
      <c r="M528" s="56">
        <v>85.500968</v>
      </c>
      <c r="N528" s="274">
        <v>11082.5203</v>
      </c>
      <c r="O528" s="56">
        <v>11038.964599999999</v>
      </c>
      <c r="P528" s="275">
        <v>2098</v>
      </c>
      <c r="Q528" s="275">
        <f t="shared" si="6"/>
        <v>2098</v>
      </c>
      <c r="R528" s="275" t="s">
        <v>584</v>
      </c>
      <c r="S528" s="275">
        <v>10</v>
      </c>
      <c r="T528" s="275">
        <v>5</v>
      </c>
      <c r="U528" s="275">
        <v>0.7</v>
      </c>
      <c r="V528" s="275">
        <v>0.7</v>
      </c>
      <c r="W528" s="275">
        <v>0.7</v>
      </c>
      <c r="X528" s="56">
        <v>2000</v>
      </c>
      <c r="Y528" s="56" t="s">
        <v>571</v>
      </c>
      <c r="Z528" s="56">
        <v>0.2</v>
      </c>
      <c r="AA528" s="56" t="s">
        <v>572</v>
      </c>
      <c r="AB528" s="56" t="s">
        <v>573</v>
      </c>
      <c r="AC528" s="56">
        <v>220</v>
      </c>
      <c r="AD528" s="277" t="s">
        <v>19</v>
      </c>
      <c r="AE528" s="177"/>
    </row>
    <row r="529" spans="1:31" ht="15.75" x14ac:dyDescent="0.25">
      <c r="A529" s="56" t="s">
        <v>865</v>
      </c>
      <c r="B529" s="56">
        <v>3</v>
      </c>
      <c r="C529" s="56">
        <v>443</v>
      </c>
      <c r="D529" s="56" t="s">
        <v>600</v>
      </c>
      <c r="E529" s="56">
        <v>1</v>
      </c>
      <c r="F529" s="278">
        <v>45755.837500000001</v>
      </c>
      <c r="G529" s="56">
        <v>1</v>
      </c>
      <c r="H529" s="56">
        <v>51.377400000000002</v>
      </c>
      <c r="I529" s="56">
        <v>9.7585599999999992</v>
      </c>
      <c r="J529" s="56">
        <v>11.351806</v>
      </c>
      <c r="K529" s="56">
        <v>13.332687</v>
      </c>
      <c r="L529" s="56">
        <v>1061.6500000000001</v>
      </c>
      <c r="M529" s="56">
        <v>69.500151000000002</v>
      </c>
      <c r="N529" s="274">
        <v>11034.651599999999</v>
      </c>
      <c r="O529" s="56">
        <v>11038.964599999999</v>
      </c>
      <c r="P529" s="275">
        <v>2098</v>
      </c>
      <c r="Q529" s="275">
        <f t="shared" si="6"/>
        <v>2098</v>
      </c>
      <c r="R529" s="275" t="s">
        <v>570</v>
      </c>
      <c r="S529" s="275">
        <v>10</v>
      </c>
      <c r="T529" s="275">
        <v>5</v>
      </c>
      <c r="U529" s="275">
        <v>0.7</v>
      </c>
      <c r="V529" s="275">
        <v>0.7</v>
      </c>
      <c r="W529" s="275">
        <v>0.7</v>
      </c>
      <c r="X529" s="56">
        <v>2000</v>
      </c>
      <c r="Y529" s="56" t="s">
        <v>571</v>
      </c>
      <c r="Z529" s="56">
        <v>0.2</v>
      </c>
      <c r="AA529" s="56" t="s">
        <v>572</v>
      </c>
      <c r="AB529" s="56" t="s">
        <v>573</v>
      </c>
      <c r="AC529" s="56">
        <v>220</v>
      </c>
      <c r="AD529" s="277" t="s">
        <v>19</v>
      </c>
      <c r="AE529" s="177"/>
    </row>
    <row r="530" spans="1:31" ht="15.75" x14ac:dyDescent="0.25">
      <c r="A530" s="56" t="s">
        <v>866</v>
      </c>
      <c r="B530" s="56">
        <v>3</v>
      </c>
      <c r="C530" s="56">
        <v>443</v>
      </c>
      <c r="D530" s="56" t="s">
        <v>600</v>
      </c>
      <c r="E530" s="56">
        <v>1</v>
      </c>
      <c r="F530" s="278">
        <v>45755.840277777781</v>
      </c>
      <c r="G530" s="56">
        <v>1</v>
      </c>
      <c r="H530" s="56">
        <v>51.377400000000002</v>
      </c>
      <c r="I530" s="56">
        <v>9.73597</v>
      </c>
      <c r="J530" s="56">
        <v>11.333074999999999</v>
      </c>
      <c r="K530" s="56">
        <v>13.038694</v>
      </c>
      <c r="L530" s="56">
        <v>1051.49</v>
      </c>
      <c r="M530" s="56">
        <v>70.499887999999999</v>
      </c>
      <c r="N530" s="274">
        <v>11043.2775</v>
      </c>
      <c r="O530" s="56">
        <v>11038.964599999999</v>
      </c>
      <c r="P530" s="275">
        <v>2098</v>
      </c>
      <c r="Q530" s="275">
        <f t="shared" si="6"/>
        <v>2098</v>
      </c>
      <c r="R530" s="275" t="s">
        <v>570</v>
      </c>
      <c r="S530" s="275">
        <v>10</v>
      </c>
      <c r="T530" s="275">
        <v>5</v>
      </c>
      <c r="U530" s="275">
        <v>0.7</v>
      </c>
      <c r="V530" s="275">
        <v>0.7</v>
      </c>
      <c r="W530" s="275">
        <v>0.7</v>
      </c>
      <c r="X530" s="56">
        <v>2000</v>
      </c>
      <c r="Y530" s="56" t="s">
        <v>571</v>
      </c>
      <c r="Z530" s="56">
        <v>0.2</v>
      </c>
      <c r="AA530" s="56" t="s">
        <v>572</v>
      </c>
      <c r="AB530" s="56" t="s">
        <v>573</v>
      </c>
      <c r="AC530" s="56">
        <v>220</v>
      </c>
      <c r="AD530" s="277" t="s">
        <v>19</v>
      </c>
      <c r="AE530" s="177"/>
    </row>
    <row r="531" spans="1:31" ht="15.75" x14ac:dyDescent="0.25">
      <c r="A531" s="56" t="s">
        <v>867</v>
      </c>
      <c r="B531" s="56">
        <v>4</v>
      </c>
      <c r="C531" s="56">
        <v>444</v>
      </c>
      <c r="D531" s="56" t="s">
        <v>604</v>
      </c>
      <c r="E531" s="56">
        <v>1</v>
      </c>
      <c r="F531" s="278">
        <v>45755.84375</v>
      </c>
      <c r="G531" s="56">
        <v>1</v>
      </c>
      <c r="H531" s="56">
        <v>51.377400000000002</v>
      </c>
      <c r="I531" s="56">
        <v>9.4418600000000001</v>
      </c>
      <c r="J531" s="56">
        <v>11.329806</v>
      </c>
      <c r="K531" s="56">
        <v>12.209880999999999</v>
      </c>
      <c r="L531" s="56">
        <v>1082.05</v>
      </c>
      <c r="M531" s="56">
        <v>82.500173000000004</v>
      </c>
      <c r="N531" s="274">
        <v>11070.030199999999</v>
      </c>
      <c r="O531" s="56">
        <v>11039.3053</v>
      </c>
      <c r="P531" s="275">
        <v>2098.06</v>
      </c>
      <c r="Q531" s="275">
        <f t="shared" si="6"/>
        <v>2098.06</v>
      </c>
      <c r="R531" s="275" t="s">
        <v>584</v>
      </c>
      <c r="S531" s="275">
        <v>10</v>
      </c>
      <c r="T531" s="275">
        <v>5</v>
      </c>
      <c r="U531" s="275">
        <v>0.7</v>
      </c>
      <c r="V531" s="275">
        <v>0.7</v>
      </c>
      <c r="W531" s="275">
        <v>0.7</v>
      </c>
      <c r="X531" s="56">
        <v>2000</v>
      </c>
      <c r="Y531" s="56" t="s">
        <v>571</v>
      </c>
      <c r="Z531" s="56">
        <v>0.2</v>
      </c>
      <c r="AA531" s="56" t="s">
        <v>572</v>
      </c>
      <c r="AB531" s="56" t="s">
        <v>573</v>
      </c>
      <c r="AC531" s="56">
        <v>220</v>
      </c>
      <c r="AD531" s="277" t="s">
        <v>19</v>
      </c>
      <c r="AE531" s="177"/>
    </row>
    <row r="532" spans="1:31" ht="15.75" x14ac:dyDescent="0.25">
      <c r="A532" s="56" t="s">
        <v>868</v>
      </c>
      <c r="B532" s="56">
        <v>4</v>
      </c>
      <c r="C532" s="56">
        <v>444</v>
      </c>
      <c r="D532" s="56" t="s">
        <v>604</v>
      </c>
      <c r="E532" s="56">
        <v>1</v>
      </c>
      <c r="F532" s="278">
        <v>45755.84652777778</v>
      </c>
      <c r="G532" s="56">
        <v>1</v>
      </c>
      <c r="H532" s="56">
        <v>51.374099999999999</v>
      </c>
      <c r="I532" s="56">
        <v>9.6348000000000003</v>
      </c>
      <c r="J532" s="56">
        <v>11.448043999999999</v>
      </c>
      <c r="K532" s="56">
        <v>12.613412</v>
      </c>
      <c r="L532" s="56">
        <v>1063.1500000000001</v>
      </c>
      <c r="M532" s="56">
        <v>75.499837999999997</v>
      </c>
      <c r="N532" s="274">
        <v>11044.4249</v>
      </c>
      <c r="O532" s="56">
        <v>11039.3053</v>
      </c>
      <c r="P532" s="275">
        <v>2098.06</v>
      </c>
      <c r="Q532" s="275">
        <f t="shared" si="6"/>
        <v>2098.06</v>
      </c>
      <c r="R532" s="275" t="s">
        <v>570</v>
      </c>
      <c r="S532" s="275">
        <v>10</v>
      </c>
      <c r="T532" s="275">
        <v>5</v>
      </c>
      <c r="U532" s="275">
        <v>0.7</v>
      </c>
      <c r="V532" s="275">
        <v>0.7</v>
      </c>
      <c r="W532" s="275">
        <v>0.7</v>
      </c>
      <c r="X532" s="56">
        <v>2000</v>
      </c>
      <c r="Y532" s="56" t="s">
        <v>571</v>
      </c>
      <c r="Z532" s="56">
        <v>0.2</v>
      </c>
      <c r="AA532" s="56" t="s">
        <v>572</v>
      </c>
      <c r="AB532" s="56" t="s">
        <v>573</v>
      </c>
      <c r="AC532" s="56">
        <v>220</v>
      </c>
      <c r="AD532" s="277" t="s">
        <v>19</v>
      </c>
      <c r="AE532" s="177"/>
    </row>
    <row r="533" spans="1:31" ht="15.75" x14ac:dyDescent="0.25">
      <c r="A533" s="56" t="s">
        <v>869</v>
      </c>
      <c r="B533" s="56">
        <v>4</v>
      </c>
      <c r="C533" s="56">
        <v>444</v>
      </c>
      <c r="D533" s="56" t="s">
        <v>604</v>
      </c>
      <c r="E533" s="56">
        <v>1</v>
      </c>
      <c r="F533" s="278">
        <v>45755.849305555559</v>
      </c>
      <c r="G533" s="56">
        <v>1</v>
      </c>
      <c r="H533" s="56">
        <v>51.374099999999999</v>
      </c>
      <c r="I533" s="56">
        <v>9.7471200000000007</v>
      </c>
      <c r="J533" s="56">
        <v>11.340555999999999</v>
      </c>
      <c r="K533" s="56">
        <v>12.961461999999999</v>
      </c>
      <c r="L533" s="56">
        <v>1053.31</v>
      </c>
      <c r="M533" s="56">
        <v>65.999413000000004</v>
      </c>
      <c r="N533" s="274">
        <v>11034.1857</v>
      </c>
      <c r="O533" s="56">
        <v>11039.3053</v>
      </c>
      <c r="P533" s="275">
        <v>2098.06</v>
      </c>
      <c r="Q533" s="275">
        <f t="shared" si="6"/>
        <v>2098.06</v>
      </c>
      <c r="R533" s="275" t="s">
        <v>570</v>
      </c>
      <c r="S533" s="275">
        <v>10</v>
      </c>
      <c r="T533" s="275">
        <v>5</v>
      </c>
      <c r="U533" s="275">
        <v>0.7</v>
      </c>
      <c r="V533" s="275">
        <v>0.7</v>
      </c>
      <c r="W533" s="275">
        <v>0.7</v>
      </c>
      <c r="X533" s="56">
        <v>2000</v>
      </c>
      <c r="Y533" s="56" t="s">
        <v>571</v>
      </c>
      <c r="Z533" s="56">
        <v>0.2</v>
      </c>
      <c r="AA533" s="56" t="s">
        <v>572</v>
      </c>
      <c r="AB533" s="56" t="s">
        <v>573</v>
      </c>
      <c r="AC533" s="56">
        <v>220</v>
      </c>
      <c r="AD533" s="277" t="s">
        <v>19</v>
      </c>
      <c r="AE533" s="177"/>
    </row>
    <row r="534" spans="1:31" ht="15.75" x14ac:dyDescent="0.25">
      <c r="A534" s="56" t="s">
        <v>870</v>
      </c>
      <c r="B534" s="56">
        <v>5</v>
      </c>
      <c r="C534" s="56">
        <v>703</v>
      </c>
      <c r="D534" s="56" t="s">
        <v>608</v>
      </c>
      <c r="E534" s="56">
        <v>1</v>
      </c>
      <c r="F534" s="278">
        <v>45755.852777777778</v>
      </c>
      <c r="G534" s="56">
        <v>1</v>
      </c>
      <c r="H534" s="56">
        <v>51.374099999999999</v>
      </c>
      <c r="I534" s="56">
        <v>9.6739499999999996</v>
      </c>
      <c r="J534" s="56">
        <v>11.347981000000001</v>
      </c>
      <c r="K534" s="56">
        <v>13.396637999999999</v>
      </c>
      <c r="L534" s="56">
        <v>1057.49</v>
      </c>
      <c r="M534" s="56">
        <v>65.999623</v>
      </c>
      <c r="N534" s="274">
        <v>10990.8526</v>
      </c>
      <c r="O534" s="56">
        <v>10990.1114</v>
      </c>
      <c r="P534" s="275">
        <v>2088.81</v>
      </c>
      <c r="Q534" s="275">
        <f t="shared" si="6"/>
        <v>2088.81</v>
      </c>
      <c r="R534" s="275" t="s">
        <v>570</v>
      </c>
      <c r="S534" s="275">
        <v>10</v>
      </c>
      <c r="T534" s="275">
        <v>5</v>
      </c>
      <c r="U534" s="275">
        <v>0.7</v>
      </c>
      <c r="V534" s="275">
        <v>0.7</v>
      </c>
      <c r="W534" s="275">
        <v>0.7</v>
      </c>
      <c r="X534" s="56">
        <v>2000</v>
      </c>
      <c r="Y534" s="56" t="s">
        <v>571</v>
      </c>
      <c r="Z534" s="56">
        <v>0.2</v>
      </c>
      <c r="AA534" s="56" t="s">
        <v>572</v>
      </c>
      <c r="AB534" s="56" t="s">
        <v>573</v>
      </c>
      <c r="AC534" s="56">
        <v>220</v>
      </c>
      <c r="AD534" s="277" t="s">
        <v>19</v>
      </c>
      <c r="AE534" s="177"/>
    </row>
    <row r="535" spans="1:31" ht="15.75" x14ac:dyDescent="0.25">
      <c r="A535" s="56" t="s">
        <v>871</v>
      </c>
      <c r="B535" s="56">
        <v>5</v>
      </c>
      <c r="C535" s="56">
        <v>703</v>
      </c>
      <c r="D535" s="56" t="s">
        <v>608</v>
      </c>
      <c r="E535" s="56">
        <v>1</v>
      </c>
      <c r="F535" s="278">
        <v>45755.855555555558</v>
      </c>
      <c r="G535" s="56">
        <v>1</v>
      </c>
      <c r="H535" s="56">
        <v>51.374099999999999</v>
      </c>
      <c r="I535" s="56">
        <v>9.6380400000000002</v>
      </c>
      <c r="J535" s="56">
        <v>11.410231</v>
      </c>
      <c r="K535" s="56">
        <v>12.63495</v>
      </c>
      <c r="L535" s="56">
        <v>1062.92</v>
      </c>
      <c r="M535" s="56">
        <v>72.000483000000003</v>
      </c>
      <c r="N535" s="274">
        <v>10989.3703</v>
      </c>
      <c r="O535" s="56">
        <v>10990.1114</v>
      </c>
      <c r="P535" s="275">
        <v>2088.81</v>
      </c>
      <c r="Q535" s="275">
        <f t="shared" si="6"/>
        <v>2088.81</v>
      </c>
      <c r="R535" s="275" t="s">
        <v>570</v>
      </c>
      <c r="S535" s="275">
        <v>10</v>
      </c>
      <c r="T535" s="275">
        <v>5</v>
      </c>
      <c r="U535" s="275">
        <v>0.7</v>
      </c>
      <c r="V535" s="275">
        <v>0.7</v>
      </c>
      <c r="W535" s="275">
        <v>0.7</v>
      </c>
      <c r="X535" s="56">
        <v>2000</v>
      </c>
      <c r="Y535" s="56" t="s">
        <v>571</v>
      </c>
      <c r="Z535" s="56">
        <v>0.2</v>
      </c>
      <c r="AA535" s="56" t="s">
        <v>572</v>
      </c>
      <c r="AB535" s="56" t="s">
        <v>573</v>
      </c>
      <c r="AC535" s="56">
        <v>220</v>
      </c>
      <c r="AD535" s="277" t="s">
        <v>19</v>
      </c>
      <c r="AE535" s="177"/>
    </row>
    <row r="536" spans="1:31" ht="15.75" x14ac:dyDescent="0.25">
      <c r="A536" s="56" t="s">
        <v>872</v>
      </c>
      <c r="B536" s="56">
        <v>6</v>
      </c>
      <c r="C536" s="56">
        <v>704</v>
      </c>
      <c r="D536" s="56" t="s">
        <v>618</v>
      </c>
      <c r="E536" s="56">
        <v>1</v>
      </c>
      <c r="F536" s="278">
        <v>45755.859027777777</v>
      </c>
      <c r="G536" s="56">
        <v>1</v>
      </c>
      <c r="H536" s="56">
        <v>51.370800000000003</v>
      </c>
      <c r="I536" s="56">
        <v>9.6685300000000005</v>
      </c>
      <c r="J536" s="56">
        <v>11.441599999999999</v>
      </c>
      <c r="K536" s="56">
        <v>13.246499999999999</v>
      </c>
      <c r="L536" s="56">
        <v>1067.49</v>
      </c>
      <c r="M536" s="56">
        <v>65.499956999999995</v>
      </c>
      <c r="N536" s="274">
        <v>10964.938200000001</v>
      </c>
      <c r="O536" s="56">
        <v>10992.387199999999</v>
      </c>
      <c r="P536" s="275">
        <v>2089.2399999999998</v>
      </c>
      <c r="Q536" s="275">
        <f t="shared" si="6"/>
        <v>2089.2399999999998</v>
      </c>
      <c r="R536" s="275" t="s">
        <v>584</v>
      </c>
      <c r="S536" s="275">
        <v>10</v>
      </c>
      <c r="T536" s="275">
        <v>5</v>
      </c>
      <c r="U536" s="275">
        <v>0.7</v>
      </c>
      <c r="V536" s="275">
        <v>0.7</v>
      </c>
      <c r="W536" s="275">
        <v>0.7</v>
      </c>
      <c r="X536" s="56">
        <v>2000</v>
      </c>
      <c r="Y536" s="56" t="s">
        <v>571</v>
      </c>
      <c r="Z536" s="56">
        <v>0.2</v>
      </c>
      <c r="AA536" s="56" t="s">
        <v>572</v>
      </c>
      <c r="AB536" s="56" t="s">
        <v>573</v>
      </c>
      <c r="AC536" s="56">
        <v>220</v>
      </c>
      <c r="AD536" s="277" t="s">
        <v>19</v>
      </c>
      <c r="AE536" s="177"/>
    </row>
    <row r="537" spans="1:31" ht="15.75" x14ac:dyDescent="0.25">
      <c r="A537" s="56" t="s">
        <v>873</v>
      </c>
      <c r="B537" s="56">
        <v>6</v>
      </c>
      <c r="C537" s="56">
        <v>704</v>
      </c>
      <c r="D537" s="56" t="s">
        <v>618</v>
      </c>
      <c r="E537" s="56">
        <v>1</v>
      </c>
      <c r="F537" s="278">
        <v>45755.861805555556</v>
      </c>
      <c r="G537" s="56">
        <v>1</v>
      </c>
      <c r="H537" s="56">
        <v>51.370800000000003</v>
      </c>
      <c r="I537" s="56">
        <v>9.6624199999999991</v>
      </c>
      <c r="J537" s="56">
        <v>11.370100000000001</v>
      </c>
      <c r="K537" s="56">
        <v>12.526319000000001</v>
      </c>
      <c r="L537" s="56">
        <v>1050.33</v>
      </c>
      <c r="M537" s="56">
        <v>73.000487000000007</v>
      </c>
      <c r="N537" s="274">
        <v>11000.5471</v>
      </c>
      <c r="O537" s="56">
        <v>10992.387199999999</v>
      </c>
      <c r="P537" s="275">
        <v>2089.2399999999998</v>
      </c>
      <c r="Q537" s="275">
        <f t="shared" si="6"/>
        <v>2089.2399999999998</v>
      </c>
      <c r="R537" s="275" t="s">
        <v>570</v>
      </c>
      <c r="S537" s="275">
        <v>10</v>
      </c>
      <c r="T537" s="275">
        <v>5</v>
      </c>
      <c r="U537" s="275">
        <v>0.7</v>
      </c>
      <c r="V537" s="275">
        <v>0.7</v>
      </c>
      <c r="W537" s="275">
        <v>0.7</v>
      </c>
      <c r="X537" s="56">
        <v>2000</v>
      </c>
      <c r="Y537" s="56" t="s">
        <v>571</v>
      </c>
      <c r="Z537" s="56">
        <v>0.2</v>
      </c>
      <c r="AA537" s="56" t="s">
        <v>572</v>
      </c>
      <c r="AB537" s="56" t="s">
        <v>573</v>
      </c>
      <c r="AC537" s="56">
        <v>220</v>
      </c>
      <c r="AD537" s="277" t="s">
        <v>19</v>
      </c>
      <c r="AE537" s="177"/>
    </row>
    <row r="538" spans="1:31" ht="15.75" x14ac:dyDescent="0.25">
      <c r="A538" s="56" t="s">
        <v>874</v>
      </c>
      <c r="B538" s="56">
        <v>6</v>
      </c>
      <c r="C538" s="56">
        <v>704</v>
      </c>
      <c r="D538" s="56" t="s">
        <v>618</v>
      </c>
      <c r="E538" s="56">
        <v>1</v>
      </c>
      <c r="F538" s="278">
        <v>45755.864583333336</v>
      </c>
      <c r="G538" s="56">
        <v>1</v>
      </c>
      <c r="H538" s="56">
        <v>51.370800000000003</v>
      </c>
      <c r="I538" s="56">
        <v>9.6961999999999993</v>
      </c>
      <c r="J538" s="56">
        <v>11.420237</v>
      </c>
      <c r="K538" s="56">
        <v>12.755687999999999</v>
      </c>
      <c r="L538" s="56">
        <v>1064.9000000000001</v>
      </c>
      <c r="M538" s="56">
        <v>68.500726</v>
      </c>
      <c r="N538" s="274">
        <v>10984.227199999999</v>
      </c>
      <c r="O538" s="56">
        <v>10992.387199999999</v>
      </c>
      <c r="P538" s="275">
        <v>2089.2399999999998</v>
      </c>
      <c r="Q538" s="275">
        <f t="shared" si="6"/>
        <v>2089.2399999999998</v>
      </c>
      <c r="R538" s="275" t="s">
        <v>570</v>
      </c>
      <c r="S538" s="275">
        <v>10</v>
      </c>
      <c r="T538" s="275">
        <v>5</v>
      </c>
      <c r="U538" s="275">
        <v>0.7</v>
      </c>
      <c r="V538" s="275">
        <v>0.7</v>
      </c>
      <c r="W538" s="275">
        <v>0.7</v>
      </c>
      <c r="X538" s="56">
        <v>2000</v>
      </c>
      <c r="Y538" s="56" t="s">
        <v>571</v>
      </c>
      <c r="Z538" s="56">
        <v>0.2</v>
      </c>
      <c r="AA538" s="56" t="s">
        <v>572</v>
      </c>
      <c r="AB538" s="56" t="s">
        <v>573</v>
      </c>
      <c r="AC538" s="56">
        <v>220</v>
      </c>
      <c r="AD538" s="277" t="s">
        <v>19</v>
      </c>
      <c r="AE538" s="177"/>
    </row>
    <row r="539" spans="1:31" ht="15.75" x14ac:dyDescent="0.25">
      <c r="A539" s="56" t="s">
        <v>875</v>
      </c>
      <c r="B539" s="56">
        <v>7</v>
      </c>
      <c r="C539" s="56">
        <v>716</v>
      </c>
      <c r="D539" s="56" t="s">
        <v>623</v>
      </c>
      <c r="E539" s="56">
        <v>1</v>
      </c>
      <c r="F539" s="278">
        <v>45755.867361111108</v>
      </c>
      <c r="G539" s="56">
        <v>1</v>
      </c>
      <c r="H539" s="56">
        <v>51.370800000000003</v>
      </c>
      <c r="I539" s="56">
        <v>9.6101299999999998</v>
      </c>
      <c r="J539" s="56">
        <v>11.323638000000001</v>
      </c>
      <c r="K539" s="56">
        <v>12.959106</v>
      </c>
      <c r="L539" s="56">
        <v>1097</v>
      </c>
      <c r="M539" s="56">
        <v>68.999955</v>
      </c>
      <c r="N539" s="274">
        <v>11064.407999999999</v>
      </c>
      <c r="O539" s="56">
        <v>11060.110699999999</v>
      </c>
      <c r="P539" s="275">
        <v>2101.9699999999998</v>
      </c>
      <c r="Q539" s="275">
        <f t="shared" si="6"/>
        <v>2101.9699999999998</v>
      </c>
      <c r="R539" s="275" t="s">
        <v>584</v>
      </c>
      <c r="S539" s="275">
        <v>10</v>
      </c>
      <c r="T539" s="275">
        <v>5</v>
      </c>
      <c r="U539" s="275">
        <v>0.7</v>
      </c>
      <c r="V539" s="275">
        <v>0.7</v>
      </c>
      <c r="W539" s="275">
        <v>0.7</v>
      </c>
      <c r="X539" s="56">
        <v>2000</v>
      </c>
      <c r="Y539" s="56" t="s">
        <v>571</v>
      </c>
      <c r="Z539" s="56">
        <v>0.2</v>
      </c>
      <c r="AA539" s="56" t="s">
        <v>572</v>
      </c>
      <c r="AB539" s="56" t="s">
        <v>573</v>
      </c>
      <c r="AC539" s="56">
        <v>220</v>
      </c>
      <c r="AD539" s="277" t="s">
        <v>19</v>
      </c>
      <c r="AE539" s="177"/>
    </row>
    <row r="540" spans="1:31" ht="15.75" x14ac:dyDescent="0.25">
      <c r="A540" s="56" t="s">
        <v>876</v>
      </c>
      <c r="B540" s="56">
        <v>7</v>
      </c>
      <c r="C540" s="56">
        <v>716</v>
      </c>
      <c r="D540" s="56" t="s">
        <v>623</v>
      </c>
      <c r="E540" s="56">
        <v>1</v>
      </c>
      <c r="F540" s="278">
        <v>45755.870138888888</v>
      </c>
      <c r="G540" s="56">
        <v>1</v>
      </c>
      <c r="H540" s="56">
        <v>51.374099999999999</v>
      </c>
      <c r="I540" s="56">
        <v>9.7265099999999993</v>
      </c>
      <c r="J540" s="56">
        <v>11.369350000000001</v>
      </c>
      <c r="K540" s="56">
        <v>12.939925000000001</v>
      </c>
      <c r="L540" s="56">
        <v>1064.01</v>
      </c>
      <c r="M540" s="56">
        <v>67.999639999999999</v>
      </c>
      <c r="N540" s="274">
        <v>11019.2796</v>
      </c>
      <c r="O540" s="56">
        <v>11060.110699999999</v>
      </c>
      <c r="P540" s="275">
        <v>2101.9699999999998</v>
      </c>
      <c r="Q540" s="275">
        <f t="shared" si="6"/>
        <v>2101.9699999999998</v>
      </c>
      <c r="R540" s="275" t="s">
        <v>584</v>
      </c>
      <c r="S540" s="275">
        <v>10</v>
      </c>
      <c r="T540" s="275">
        <v>5</v>
      </c>
      <c r="U540" s="275">
        <v>0.7</v>
      </c>
      <c r="V540" s="275">
        <v>0.7</v>
      </c>
      <c r="W540" s="275">
        <v>0.7</v>
      </c>
      <c r="X540" s="56">
        <v>2000</v>
      </c>
      <c r="Y540" s="56" t="s">
        <v>571</v>
      </c>
      <c r="Z540" s="56">
        <v>0.2</v>
      </c>
      <c r="AA540" s="56" t="s">
        <v>572</v>
      </c>
      <c r="AB540" s="56" t="s">
        <v>573</v>
      </c>
      <c r="AC540" s="56">
        <v>220</v>
      </c>
      <c r="AD540" s="277" t="s">
        <v>19</v>
      </c>
      <c r="AE540" s="177"/>
    </row>
    <row r="541" spans="1:31" ht="15.75" x14ac:dyDescent="0.25">
      <c r="A541" s="56" t="s">
        <v>877</v>
      </c>
      <c r="B541" s="56">
        <v>7</v>
      </c>
      <c r="C541" s="56">
        <v>716</v>
      </c>
      <c r="D541" s="56" t="s">
        <v>623</v>
      </c>
      <c r="E541" s="56">
        <v>1</v>
      </c>
      <c r="F541" s="278">
        <v>45755.872916666667</v>
      </c>
      <c r="G541" s="56">
        <v>1</v>
      </c>
      <c r="H541" s="56">
        <v>51.374099999999999</v>
      </c>
      <c r="I541" s="56">
        <v>9.8176699999999997</v>
      </c>
      <c r="J541" s="56">
        <v>11.365281</v>
      </c>
      <c r="K541" s="56">
        <v>12.524336999999999</v>
      </c>
      <c r="L541" s="56">
        <v>1066.1600000000001</v>
      </c>
      <c r="M541" s="56">
        <v>76.001234999999994</v>
      </c>
      <c r="N541" s="274">
        <v>11070.0443</v>
      </c>
      <c r="O541" s="56">
        <v>11060.110699999999</v>
      </c>
      <c r="P541" s="275">
        <v>2101.9699999999998</v>
      </c>
      <c r="Q541" s="275">
        <f t="shared" si="6"/>
        <v>2101.9699999999998</v>
      </c>
      <c r="R541" s="275" t="s">
        <v>570</v>
      </c>
      <c r="S541" s="275">
        <v>10</v>
      </c>
      <c r="T541" s="275">
        <v>5</v>
      </c>
      <c r="U541" s="275">
        <v>0.7</v>
      </c>
      <c r="V541" s="275">
        <v>0.7</v>
      </c>
      <c r="W541" s="275">
        <v>0.7</v>
      </c>
      <c r="X541" s="56">
        <v>2000</v>
      </c>
      <c r="Y541" s="56" t="s">
        <v>571</v>
      </c>
      <c r="Z541" s="56">
        <v>0.2</v>
      </c>
      <c r="AA541" s="56" t="s">
        <v>572</v>
      </c>
      <c r="AB541" s="56" t="s">
        <v>573</v>
      </c>
      <c r="AC541" s="56">
        <v>220</v>
      </c>
      <c r="AD541" s="277" t="s">
        <v>19</v>
      </c>
      <c r="AE541" s="177"/>
    </row>
    <row r="542" spans="1:31" ht="15.75" x14ac:dyDescent="0.25">
      <c r="A542" s="56" t="s">
        <v>878</v>
      </c>
      <c r="B542" s="56">
        <v>7</v>
      </c>
      <c r="C542" s="56">
        <v>716</v>
      </c>
      <c r="D542" s="56" t="s">
        <v>623</v>
      </c>
      <c r="E542" s="56">
        <v>1</v>
      </c>
      <c r="F542" s="278">
        <v>45755.876388888886</v>
      </c>
      <c r="G542" s="56">
        <v>1</v>
      </c>
      <c r="H542" s="56">
        <v>51.370800000000003</v>
      </c>
      <c r="I542" s="56">
        <v>9.77102</v>
      </c>
      <c r="J542" s="56">
        <v>11.427350000000001</v>
      </c>
      <c r="K542" s="56">
        <v>12.544511999999999</v>
      </c>
      <c r="L542" s="56">
        <v>1062.75</v>
      </c>
      <c r="M542" s="56">
        <v>71.501395000000002</v>
      </c>
      <c r="N542" s="274">
        <v>11050.177100000001</v>
      </c>
      <c r="O542" s="56">
        <v>11060.110699999999</v>
      </c>
      <c r="P542" s="275">
        <v>2101.9699999999998</v>
      </c>
      <c r="Q542" s="275">
        <f t="shared" si="6"/>
        <v>2101.9699999999998</v>
      </c>
      <c r="R542" s="275" t="s">
        <v>570</v>
      </c>
      <c r="S542" s="275">
        <v>10</v>
      </c>
      <c r="T542" s="275">
        <v>5</v>
      </c>
      <c r="U542" s="275">
        <v>0.7</v>
      </c>
      <c r="V542" s="275">
        <v>0.7</v>
      </c>
      <c r="W542" s="275">
        <v>0.7</v>
      </c>
      <c r="X542" s="56">
        <v>2000</v>
      </c>
      <c r="Y542" s="56" t="s">
        <v>571</v>
      </c>
      <c r="Z542" s="56">
        <v>0.2</v>
      </c>
      <c r="AA542" s="56" t="s">
        <v>572</v>
      </c>
      <c r="AB542" s="56" t="s">
        <v>573</v>
      </c>
      <c r="AC542" s="56">
        <v>220</v>
      </c>
      <c r="AD542" s="277" t="s">
        <v>19</v>
      </c>
      <c r="AE542" s="177"/>
    </row>
    <row r="543" spans="1:31" ht="15.75" x14ac:dyDescent="0.25">
      <c r="A543" s="56" t="s">
        <v>879</v>
      </c>
      <c r="B543" s="56">
        <v>8</v>
      </c>
      <c r="C543" s="56">
        <v>717</v>
      </c>
      <c r="D543" s="56" t="s">
        <v>629</v>
      </c>
      <c r="E543" s="56">
        <v>1</v>
      </c>
      <c r="F543" s="278">
        <v>45755.879861111112</v>
      </c>
      <c r="G543" s="56">
        <v>1</v>
      </c>
      <c r="H543" s="56">
        <v>51.374099999999999</v>
      </c>
      <c r="I543" s="56">
        <v>9.65489</v>
      </c>
      <c r="J543" s="56">
        <v>11.111738000000001</v>
      </c>
      <c r="K543" s="56">
        <v>12.222075</v>
      </c>
      <c r="L543" s="56">
        <v>1054.45</v>
      </c>
      <c r="M543" s="56">
        <v>84.999998000000005</v>
      </c>
      <c r="N543" s="274">
        <v>11074.616599999999</v>
      </c>
      <c r="O543" s="56">
        <v>11002.5201</v>
      </c>
      <c r="P543" s="275">
        <v>2091.14</v>
      </c>
      <c r="Q543" s="275">
        <f t="shared" si="6"/>
        <v>2091.14</v>
      </c>
      <c r="R543" s="275" t="s">
        <v>584</v>
      </c>
      <c r="S543" s="275">
        <v>10</v>
      </c>
      <c r="T543" s="275">
        <v>5</v>
      </c>
      <c r="U543" s="275">
        <v>0.7</v>
      </c>
      <c r="V543" s="275">
        <v>0.7</v>
      </c>
      <c r="W543" s="275">
        <v>0.7</v>
      </c>
      <c r="X543" s="56">
        <v>2000</v>
      </c>
      <c r="Y543" s="56" t="s">
        <v>571</v>
      </c>
      <c r="Z543" s="56">
        <v>0.2</v>
      </c>
      <c r="AA543" s="56" t="s">
        <v>572</v>
      </c>
      <c r="AB543" s="56" t="s">
        <v>573</v>
      </c>
      <c r="AC543" s="56">
        <v>220</v>
      </c>
      <c r="AD543" s="277" t="s">
        <v>19</v>
      </c>
      <c r="AE543" s="177"/>
    </row>
    <row r="544" spans="1:31" ht="15.75" x14ac:dyDescent="0.25">
      <c r="A544" s="56" t="s">
        <v>880</v>
      </c>
      <c r="B544" s="56">
        <v>8</v>
      </c>
      <c r="C544" s="56">
        <v>717</v>
      </c>
      <c r="D544" s="56" t="s">
        <v>629</v>
      </c>
      <c r="E544" s="56">
        <v>1</v>
      </c>
      <c r="F544" s="278">
        <v>45755.882638888892</v>
      </c>
      <c r="G544" s="56">
        <v>1</v>
      </c>
      <c r="H544" s="56">
        <v>51.374099999999999</v>
      </c>
      <c r="I544" s="56">
        <v>9.6021199999999993</v>
      </c>
      <c r="J544" s="56">
        <v>11.356775000000001</v>
      </c>
      <c r="K544" s="56">
        <v>12.3315</v>
      </c>
      <c r="L544" s="56">
        <v>1055.98</v>
      </c>
      <c r="M544" s="56">
        <v>78.999583000000001</v>
      </c>
      <c r="N544" s="274">
        <v>11045.7626</v>
      </c>
      <c r="O544" s="56">
        <v>11002.5201</v>
      </c>
      <c r="P544" s="275">
        <v>2091.14</v>
      </c>
      <c r="Q544" s="275">
        <f t="shared" si="6"/>
        <v>2091.14</v>
      </c>
      <c r="R544" s="275" t="s">
        <v>584</v>
      </c>
      <c r="S544" s="275">
        <v>10</v>
      </c>
      <c r="T544" s="275">
        <v>5</v>
      </c>
      <c r="U544" s="275">
        <v>0.7</v>
      </c>
      <c r="V544" s="275">
        <v>0.7</v>
      </c>
      <c r="W544" s="275">
        <v>0.7</v>
      </c>
      <c r="X544" s="56">
        <v>2000</v>
      </c>
      <c r="Y544" s="56" t="s">
        <v>571</v>
      </c>
      <c r="Z544" s="56">
        <v>0.2</v>
      </c>
      <c r="AA544" s="56" t="s">
        <v>572</v>
      </c>
      <c r="AB544" s="56" t="s">
        <v>573</v>
      </c>
      <c r="AC544" s="56">
        <v>220</v>
      </c>
      <c r="AD544" s="277" t="s">
        <v>19</v>
      </c>
      <c r="AE544" s="177"/>
    </row>
    <row r="545" spans="1:31" ht="15.75" x14ac:dyDescent="0.25">
      <c r="A545" s="56" t="s">
        <v>881</v>
      </c>
      <c r="B545" s="56">
        <v>8</v>
      </c>
      <c r="C545" s="56">
        <v>717</v>
      </c>
      <c r="D545" s="56" t="s">
        <v>629</v>
      </c>
      <c r="E545" s="56">
        <v>1</v>
      </c>
      <c r="F545" s="278">
        <v>45755.885416666664</v>
      </c>
      <c r="G545" s="56">
        <v>1</v>
      </c>
      <c r="H545" s="56">
        <v>51.377400000000002</v>
      </c>
      <c r="I545" s="56">
        <v>9.8754399999999993</v>
      </c>
      <c r="J545" s="56">
        <v>11.162981</v>
      </c>
      <c r="K545" s="56">
        <v>13.630625</v>
      </c>
      <c r="L545" s="56">
        <v>1041.8800000000001</v>
      </c>
      <c r="M545" s="56">
        <v>62.000039000000001</v>
      </c>
      <c r="N545" s="274">
        <v>11003.112499999999</v>
      </c>
      <c r="O545" s="56">
        <v>11002.5201</v>
      </c>
      <c r="P545" s="275">
        <v>2091.14</v>
      </c>
      <c r="Q545" s="275">
        <f t="shared" si="6"/>
        <v>2091.14</v>
      </c>
      <c r="R545" s="275" t="s">
        <v>570</v>
      </c>
      <c r="S545" s="275">
        <v>10</v>
      </c>
      <c r="T545" s="275">
        <v>5</v>
      </c>
      <c r="U545" s="275">
        <v>0.7</v>
      </c>
      <c r="V545" s="275">
        <v>0.7</v>
      </c>
      <c r="W545" s="275">
        <v>0.7</v>
      </c>
      <c r="X545" s="56">
        <v>2000</v>
      </c>
      <c r="Y545" s="56" t="s">
        <v>571</v>
      </c>
      <c r="Z545" s="56">
        <v>0.2</v>
      </c>
      <c r="AA545" s="56" t="s">
        <v>572</v>
      </c>
      <c r="AB545" s="56" t="s">
        <v>573</v>
      </c>
      <c r="AC545" s="56">
        <v>220</v>
      </c>
      <c r="AD545" s="277" t="s">
        <v>19</v>
      </c>
      <c r="AE545" s="177"/>
    </row>
    <row r="546" spans="1:31" ht="15.75" x14ac:dyDescent="0.25">
      <c r="A546" s="56" t="s">
        <v>882</v>
      </c>
      <c r="B546" s="56">
        <v>8</v>
      </c>
      <c r="C546" s="56">
        <v>717</v>
      </c>
      <c r="D546" s="56" t="s">
        <v>629</v>
      </c>
      <c r="E546" s="56">
        <v>1</v>
      </c>
      <c r="F546" s="278">
        <v>45755.888194444444</v>
      </c>
      <c r="G546" s="56">
        <v>1</v>
      </c>
      <c r="H546" s="56">
        <v>51.374099999999999</v>
      </c>
      <c r="I546" s="56">
        <v>9.7129799999999999</v>
      </c>
      <c r="J546" s="56">
        <v>11.3523</v>
      </c>
      <c r="K546" s="56">
        <v>12.774587</v>
      </c>
      <c r="L546" s="56">
        <v>1064.68</v>
      </c>
      <c r="M546" s="56">
        <v>68.500221999999994</v>
      </c>
      <c r="N546" s="274">
        <v>11001.9277</v>
      </c>
      <c r="O546" s="56">
        <v>11002.5201</v>
      </c>
      <c r="P546" s="275">
        <v>2091.14</v>
      </c>
      <c r="Q546" s="275">
        <f t="shared" si="6"/>
        <v>2091.14</v>
      </c>
      <c r="R546" s="275" t="s">
        <v>570</v>
      </c>
      <c r="S546" s="275">
        <v>10</v>
      </c>
      <c r="T546" s="275">
        <v>5</v>
      </c>
      <c r="U546" s="275">
        <v>0.7</v>
      </c>
      <c r="V546" s="275">
        <v>0.7</v>
      </c>
      <c r="W546" s="275">
        <v>0.7</v>
      </c>
      <c r="X546" s="56">
        <v>2000</v>
      </c>
      <c r="Y546" s="56" t="s">
        <v>571</v>
      </c>
      <c r="Z546" s="56">
        <v>0.2</v>
      </c>
      <c r="AA546" s="56" t="s">
        <v>572</v>
      </c>
      <c r="AB546" s="56" t="s">
        <v>573</v>
      </c>
      <c r="AC546" s="56">
        <v>220</v>
      </c>
      <c r="AD546" s="277" t="s">
        <v>19</v>
      </c>
      <c r="AE546" s="177"/>
    </row>
    <row r="547" spans="1:31" ht="15.75" x14ac:dyDescent="0.25">
      <c r="A547" s="56" t="s">
        <v>883</v>
      </c>
      <c r="B547" s="56">
        <v>9</v>
      </c>
      <c r="C547" s="56">
        <v>690</v>
      </c>
      <c r="D547" s="56" t="s">
        <v>633</v>
      </c>
      <c r="E547" s="56">
        <v>1</v>
      </c>
      <c r="F547" s="278">
        <v>45755.89166666667</v>
      </c>
      <c r="G547" s="56">
        <v>1</v>
      </c>
      <c r="H547" s="56">
        <v>51.370800000000003</v>
      </c>
      <c r="I547" s="56">
        <v>9.8127600000000008</v>
      </c>
      <c r="J547" s="56">
        <v>11.303912</v>
      </c>
      <c r="K547" s="56">
        <v>13.127155999999999</v>
      </c>
      <c r="L547" s="56">
        <v>1060.49</v>
      </c>
      <c r="M547" s="56">
        <v>70.501492999999996</v>
      </c>
      <c r="N547" s="274">
        <v>11031.4897</v>
      </c>
      <c r="O547" s="56">
        <v>11040.655699999999</v>
      </c>
      <c r="P547" s="275">
        <v>2098.31</v>
      </c>
      <c r="Q547" s="275">
        <f t="shared" si="6"/>
        <v>2098.31</v>
      </c>
      <c r="R547" s="275" t="s">
        <v>570</v>
      </c>
      <c r="S547" s="275">
        <v>10</v>
      </c>
      <c r="T547" s="275">
        <v>5</v>
      </c>
      <c r="U547" s="275">
        <v>0.7</v>
      </c>
      <c r="V547" s="275">
        <v>0.7</v>
      </c>
      <c r="W547" s="275">
        <v>0.7</v>
      </c>
      <c r="X547" s="56">
        <v>2000</v>
      </c>
      <c r="Y547" s="56" t="s">
        <v>571</v>
      </c>
      <c r="Z547" s="56">
        <v>0.2</v>
      </c>
      <c r="AA547" s="56" t="s">
        <v>572</v>
      </c>
      <c r="AB547" s="56" t="s">
        <v>573</v>
      </c>
      <c r="AC547" s="56">
        <v>220</v>
      </c>
      <c r="AD547" s="277" t="s">
        <v>19</v>
      </c>
      <c r="AE547" s="177"/>
    </row>
    <row r="548" spans="1:31" ht="15.75" x14ac:dyDescent="0.25">
      <c r="A548" s="56" t="s">
        <v>884</v>
      </c>
      <c r="B548" s="56">
        <v>9</v>
      </c>
      <c r="C548" s="56">
        <v>690</v>
      </c>
      <c r="D548" s="56" t="s">
        <v>633</v>
      </c>
      <c r="E548" s="56">
        <v>1</v>
      </c>
      <c r="F548" s="278">
        <v>45755.894444444442</v>
      </c>
      <c r="G548" s="56">
        <v>1</v>
      </c>
      <c r="H548" s="56">
        <v>51.377400000000002</v>
      </c>
      <c r="I548" s="56">
        <v>9.7765299999999993</v>
      </c>
      <c r="J548" s="56">
        <v>11.318436999999999</v>
      </c>
      <c r="K548" s="56">
        <v>12.672124999999999</v>
      </c>
      <c r="L548" s="56">
        <v>1064.48</v>
      </c>
      <c r="M548" s="56">
        <v>68.000094000000004</v>
      </c>
      <c r="N548" s="274">
        <v>11049.8217</v>
      </c>
      <c r="O548" s="56">
        <v>11040.655699999999</v>
      </c>
      <c r="P548" s="275">
        <v>2098.31</v>
      </c>
      <c r="Q548" s="275">
        <f t="shared" si="6"/>
        <v>2098.31</v>
      </c>
      <c r="R548" s="275" t="s">
        <v>570</v>
      </c>
      <c r="S548" s="275">
        <v>10</v>
      </c>
      <c r="T548" s="275">
        <v>5</v>
      </c>
      <c r="U548" s="275">
        <v>0.7</v>
      </c>
      <c r="V548" s="275">
        <v>0.7</v>
      </c>
      <c r="W548" s="275">
        <v>0.7</v>
      </c>
      <c r="X548" s="56">
        <v>2000</v>
      </c>
      <c r="Y548" s="56" t="s">
        <v>571</v>
      </c>
      <c r="Z548" s="56">
        <v>0.2</v>
      </c>
      <c r="AA548" s="56" t="s">
        <v>572</v>
      </c>
      <c r="AB548" s="56" t="s">
        <v>573</v>
      </c>
      <c r="AC548" s="56">
        <v>220</v>
      </c>
      <c r="AD548" s="277" t="s">
        <v>19</v>
      </c>
      <c r="AE548" s="177"/>
    </row>
    <row r="549" spans="1:31" ht="15.75" x14ac:dyDescent="0.25">
      <c r="A549" s="56" t="s">
        <v>885</v>
      </c>
      <c r="B549" s="56">
        <v>10</v>
      </c>
      <c r="C549" s="56">
        <v>691</v>
      </c>
      <c r="D549" s="56" t="s">
        <v>637</v>
      </c>
      <c r="E549" s="56">
        <v>1</v>
      </c>
      <c r="F549" s="278">
        <v>45755.897916666669</v>
      </c>
      <c r="G549" s="56">
        <v>1</v>
      </c>
      <c r="H549" s="56">
        <v>51.370800000000003</v>
      </c>
      <c r="I549" s="56">
        <v>9.5882400000000008</v>
      </c>
      <c r="J549" s="56">
        <v>11.28645</v>
      </c>
      <c r="K549" s="56">
        <v>12.1425</v>
      </c>
      <c r="L549" s="56">
        <v>1091.83</v>
      </c>
      <c r="M549" s="56">
        <v>87.000906000000001</v>
      </c>
      <c r="N549" s="274">
        <v>11079.9022</v>
      </c>
      <c r="O549" s="56">
        <v>11017.299000000001</v>
      </c>
      <c r="P549" s="275">
        <v>2093.92</v>
      </c>
      <c r="Q549" s="275">
        <f t="shared" si="6"/>
        <v>2093.92</v>
      </c>
      <c r="R549" s="275" t="s">
        <v>584</v>
      </c>
      <c r="S549" s="275">
        <v>10</v>
      </c>
      <c r="T549" s="275">
        <v>5</v>
      </c>
      <c r="U549" s="275">
        <v>0.7</v>
      </c>
      <c r="V549" s="275">
        <v>0.7</v>
      </c>
      <c r="W549" s="275">
        <v>0.7</v>
      </c>
      <c r="X549" s="56">
        <v>2000</v>
      </c>
      <c r="Y549" s="56" t="s">
        <v>571</v>
      </c>
      <c r="Z549" s="56">
        <v>0.2</v>
      </c>
      <c r="AA549" s="56" t="s">
        <v>572</v>
      </c>
      <c r="AB549" s="56" t="s">
        <v>573</v>
      </c>
      <c r="AC549" s="56">
        <v>220</v>
      </c>
      <c r="AD549" s="277" t="s">
        <v>19</v>
      </c>
      <c r="AE549" s="177"/>
    </row>
    <row r="550" spans="1:31" ht="15.75" x14ac:dyDescent="0.25">
      <c r="A550" s="56" t="s">
        <v>886</v>
      </c>
      <c r="B550" s="56">
        <v>10</v>
      </c>
      <c r="C550" s="56">
        <v>691</v>
      </c>
      <c r="D550" s="56" t="s">
        <v>637</v>
      </c>
      <c r="E550" s="56">
        <v>1</v>
      </c>
      <c r="F550" s="278">
        <v>45755.900694444441</v>
      </c>
      <c r="G550" s="56">
        <v>1</v>
      </c>
      <c r="H550" s="56">
        <v>51.374099999999999</v>
      </c>
      <c r="I550" s="56">
        <v>9.8434699999999999</v>
      </c>
      <c r="J550" s="56">
        <v>11.263406</v>
      </c>
      <c r="K550" s="56">
        <v>13.049694000000001</v>
      </c>
      <c r="L550" s="56">
        <v>1068.74</v>
      </c>
      <c r="M550" s="56">
        <v>69.000136999999995</v>
      </c>
      <c r="N550" s="274">
        <v>11021.4838</v>
      </c>
      <c r="O550" s="56">
        <v>11017.299000000001</v>
      </c>
      <c r="P550" s="275">
        <v>2093.92</v>
      </c>
      <c r="Q550" s="275">
        <f t="shared" si="6"/>
        <v>2093.92</v>
      </c>
      <c r="R550" s="275" t="s">
        <v>570</v>
      </c>
      <c r="S550" s="275">
        <v>10</v>
      </c>
      <c r="T550" s="275">
        <v>5</v>
      </c>
      <c r="U550" s="275">
        <v>0.7</v>
      </c>
      <c r="V550" s="275">
        <v>0.7</v>
      </c>
      <c r="W550" s="275">
        <v>0.7</v>
      </c>
      <c r="X550" s="56">
        <v>2000</v>
      </c>
      <c r="Y550" s="56" t="s">
        <v>571</v>
      </c>
      <c r="Z550" s="56">
        <v>0.2</v>
      </c>
      <c r="AA550" s="56" t="s">
        <v>572</v>
      </c>
      <c r="AB550" s="56" t="s">
        <v>573</v>
      </c>
      <c r="AC550" s="56">
        <v>220</v>
      </c>
      <c r="AD550" s="277" t="s">
        <v>19</v>
      </c>
      <c r="AE550" s="177"/>
    </row>
    <row r="551" spans="1:31" ht="15.75" x14ac:dyDescent="0.25">
      <c r="A551" s="56" t="s">
        <v>887</v>
      </c>
      <c r="B551" s="56">
        <v>10</v>
      </c>
      <c r="C551" s="56">
        <v>691</v>
      </c>
      <c r="D551" s="56" t="s">
        <v>637</v>
      </c>
      <c r="E551" s="56">
        <v>1</v>
      </c>
      <c r="F551" s="278">
        <v>45755.90347222222</v>
      </c>
      <c r="G551" s="56">
        <v>1</v>
      </c>
      <c r="H551" s="56">
        <v>51.374099999999999</v>
      </c>
      <c r="I551" s="56">
        <v>9.8048400000000004</v>
      </c>
      <c r="J551" s="56">
        <v>11.206412</v>
      </c>
      <c r="K551" s="56">
        <v>12.880255999999999</v>
      </c>
      <c r="L551" s="56">
        <v>1065.5999999999999</v>
      </c>
      <c r="M551" s="56">
        <v>66.999763999999999</v>
      </c>
      <c r="N551" s="274">
        <v>11013.1142</v>
      </c>
      <c r="O551" s="56">
        <v>11017.299000000001</v>
      </c>
      <c r="P551" s="275">
        <v>2093.92</v>
      </c>
      <c r="Q551" s="275">
        <f t="shared" si="6"/>
        <v>2093.92</v>
      </c>
      <c r="R551" s="275" t="s">
        <v>570</v>
      </c>
      <c r="S551" s="275">
        <v>10</v>
      </c>
      <c r="T551" s="275">
        <v>5</v>
      </c>
      <c r="U551" s="275">
        <v>0.7</v>
      </c>
      <c r="V551" s="275">
        <v>0.7</v>
      </c>
      <c r="W551" s="275">
        <v>0.7</v>
      </c>
      <c r="X551" s="56">
        <v>2000</v>
      </c>
      <c r="Y551" s="56" t="s">
        <v>571</v>
      </c>
      <c r="Z551" s="56">
        <v>0.2</v>
      </c>
      <c r="AA551" s="56" t="s">
        <v>572</v>
      </c>
      <c r="AB551" s="56" t="s">
        <v>573</v>
      </c>
      <c r="AC551" s="56">
        <v>220</v>
      </c>
      <c r="AD551" s="277" t="s">
        <v>19</v>
      </c>
      <c r="AE551" s="177"/>
    </row>
    <row r="552" spans="1:31" ht="15.75" x14ac:dyDescent="0.25">
      <c r="A552" s="56" t="s">
        <v>888</v>
      </c>
      <c r="B552" s="56">
        <v>11</v>
      </c>
      <c r="C552" s="56" t="s">
        <v>537</v>
      </c>
      <c r="D552" s="56" t="s">
        <v>569</v>
      </c>
      <c r="E552" s="56">
        <v>1</v>
      </c>
      <c r="F552" s="278">
        <v>45755.906944444447</v>
      </c>
      <c r="G552" s="56">
        <v>1</v>
      </c>
      <c r="H552" s="56">
        <v>51.374099999999999</v>
      </c>
      <c r="I552" s="56">
        <v>9.7720000000000002</v>
      </c>
      <c r="J552" s="56">
        <v>11.309718999999999</v>
      </c>
      <c r="K552" s="56">
        <v>12.611444000000001</v>
      </c>
      <c r="L552" s="18">
        <v>1023.45</v>
      </c>
      <c r="M552" s="18">
        <v>94.439945399999999</v>
      </c>
      <c r="N552" s="257">
        <v>10968.8161</v>
      </c>
      <c r="O552" s="18">
        <v>11031.215</v>
      </c>
      <c r="P552" s="288">
        <v>2095.98</v>
      </c>
      <c r="Q552" s="275">
        <f t="shared" si="6"/>
        <v>2095.98</v>
      </c>
      <c r="R552" s="275" t="s">
        <v>584</v>
      </c>
      <c r="S552" s="275">
        <v>10</v>
      </c>
      <c r="T552" s="275">
        <v>5</v>
      </c>
      <c r="U552" s="275">
        <v>0.7</v>
      </c>
      <c r="V552" s="275">
        <v>0.7</v>
      </c>
      <c r="W552" s="275">
        <v>0.7</v>
      </c>
      <c r="X552" s="56">
        <v>2000</v>
      </c>
      <c r="Y552" s="56" t="s">
        <v>571</v>
      </c>
      <c r="Z552" s="56">
        <v>0.2</v>
      </c>
      <c r="AA552" s="56" t="s">
        <v>572</v>
      </c>
      <c r="AB552" s="56" t="s">
        <v>573</v>
      </c>
      <c r="AC552" s="56">
        <v>220</v>
      </c>
      <c r="AD552" s="277" t="s">
        <v>19</v>
      </c>
      <c r="AE552" s="177"/>
    </row>
    <row r="553" spans="1:31" ht="15.75" x14ac:dyDescent="0.25">
      <c r="A553" s="280" t="s">
        <v>889</v>
      </c>
      <c r="B553" s="280">
        <v>11</v>
      </c>
      <c r="C553" s="280" t="s">
        <v>537</v>
      </c>
      <c r="D553" s="280" t="s">
        <v>569</v>
      </c>
      <c r="E553" s="280">
        <v>1</v>
      </c>
      <c r="F553" s="281">
        <v>45755.909722222219</v>
      </c>
      <c r="G553" s="280">
        <v>1</v>
      </c>
      <c r="H553" s="280">
        <v>51.377400000000002</v>
      </c>
      <c r="I553" s="280">
        <v>9.5931300000000004</v>
      </c>
      <c r="J553" s="280">
        <v>11.124275000000001</v>
      </c>
      <c r="K553" s="280">
        <v>12.657506</v>
      </c>
      <c r="L553" s="280">
        <v>1023.45</v>
      </c>
      <c r="M553" s="280">
        <v>94.439945399999999</v>
      </c>
      <c r="N553" s="282">
        <v>10974.8272</v>
      </c>
      <c r="O553" s="280">
        <v>11031.215</v>
      </c>
      <c r="P553" s="283">
        <v>2095.98</v>
      </c>
      <c r="Q553" s="275">
        <f t="shared" si="6"/>
        <v>2095.98</v>
      </c>
      <c r="R553" s="283" t="s">
        <v>570</v>
      </c>
      <c r="S553" s="275">
        <v>10</v>
      </c>
      <c r="T553" s="275">
        <v>5</v>
      </c>
      <c r="U553" s="275">
        <v>0.7</v>
      </c>
      <c r="V553" s="275">
        <v>0.7</v>
      </c>
      <c r="W553" s="275">
        <v>0.7</v>
      </c>
      <c r="X553" s="56">
        <v>2000</v>
      </c>
      <c r="Y553" s="56" t="s">
        <v>571</v>
      </c>
      <c r="Z553" s="56">
        <v>0.2</v>
      </c>
      <c r="AA553" s="56" t="s">
        <v>572</v>
      </c>
      <c r="AB553" s="56" t="s">
        <v>573</v>
      </c>
      <c r="AC553" s="56">
        <v>220</v>
      </c>
      <c r="AD553" s="277" t="s">
        <v>19</v>
      </c>
      <c r="AE553" s="177"/>
    </row>
    <row r="554" spans="1:31" ht="15.75" x14ac:dyDescent="0.25">
      <c r="A554" s="280" t="s">
        <v>890</v>
      </c>
      <c r="B554" s="280">
        <v>11</v>
      </c>
      <c r="C554" s="280" t="s">
        <v>537</v>
      </c>
      <c r="D554" s="280" t="s">
        <v>569</v>
      </c>
      <c r="E554" s="280">
        <v>1</v>
      </c>
      <c r="F554" s="281">
        <v>45755.912499999999</v>
      </c>
      <c r="G554" s="280">
        <v>1</v>
      </c>
      <c r="H554" s="280">
        <v>51.377400000000002</v>
      </c>
      <c r="I554" s="280">
        <v>9.5522299999999998</v>
      </c>
      <c r="J554" s="280">
        <v>11.312950000000001</v>
      </c>
      <c r="K554" s="280">
        <v>12.532280999999999</v>
      </c>
      <c r="L554" s="280">
        <v>1047.83</v>
      </c>
      <c r="M554" s="280">
        <v>95.458744999999993</v>
      </c>
      <c r="N554" s="282">
        <v>10964.0761</v>
      </c>
      <c r="O554" s="280">
        <v>11031.215</v>
      </c>
      <c r="P554" s="283">
        <v>2095.98</v>
      </c>
      <c r="Q554" s="275">
        <f t="shared" si="6"/>
        <v>2095.98</v>
      </c>
      <c r="R554" s="283" t="s">
        <v>570</v>
      </c>
      <c r="S554" s="275">
        <v>10</v>
      </c>
      <c r="T554" s="275">
        <v>5</v>
      </c>
      <c r="U554" s="275">
        <v>0.7</v>
      </c>
      <c r="V554" s="275">
        <v>0.7</v>
      </c>
      <c r="W554" s="275">
        <v>0.7</v>
      </c>
      <c r="X554" s="56">
        <v>2000</v>
      </c>
      <c r="Y554" s="56" t="s">
        <v>571</v>
      </c>
      <c r="Z554" s="56">
        <v>0.2</v>
      </c>
      <c r="AA554" s="56" t="s">
        <v>572</v>
      </c>
      <c r="AB554" s="56" t="s">
        <v>573</v>
      </c>
      <c r="AC554" s="56">
        <v>220</v>
      </c>
      <c r="AD554" s="277" t="s">
        <v>19</v>
      </c>
      <c r="AE554" s="177"/>
    </row>
    <row r="555" spans="1:31" ht="15.75" x14ac:dyDescent="0.25">
      <c r="A555" s="300"/>
      <c r="B555" s="301"/>
      <c r="C555" s="301"/>
      <c r="D555" s="301"/>
      <c r="E555" s="301"/>
      <c r="F555" s="302"/>
      <c r="G555" s="301"/>
      <c r="H555" s="301"/>
      <c r="I555" s="301"/>
      <c r="J555" s="301"/>
      <c r="K555" s="301"/>
      <c r="L555" s="301"/>
      <c r="M555" s="301"/>
      <c r="N555" s="303"/>
      <c r="O555" s="301"/>
      <c r="P555" s="304"/>
      <c r="Q555" s="304"/>
      <c r="R555" s="304"/>
      <c r="S555" s="304"/>
      <c r="T555" s="304"/>
      <c r="U555" s="304"/>
      <c r="V555" s="304"/>
      <c r="W555" s="304"/>
      <c r="X555" s="301"/>
      <c r="Y555" s="301"/>
      <c r="Z555" s="301"/>
      <c r="AA555" s="301"/>
      <c r="AB555" s="301"/>
      <c r="AC555" s="305"/>
      <c r="AD555" s="171"/>
      <c r="AE555" s="177"/>
    </row>
    <row r="556" spans="1:31" ht="15.75" x14ac:dyDescent="0.25">
      <c r="A556" s="300"/>
      <c r="B556" s="301"/>
      <c r="C556" s="301"/>
      <c r="D556" s="301"/>
      <c r="E556" s="301"/>
      <c r="F556" s="302"/>
      <c r="G556" s="301"/>
      <c r="H556" s="301"/>
      <c r="I556" s="301"/>
      <c r="J556" s="301"/>
      <c r="K556" s="301"/>
      <c r="L556" s="301"/>
      <c r="M556" s="301"/>
      <c r="N556" s="303"/>
      <c r="O556" s="301"/>
      <c r="P556" s="304"/>
      <c r="Q556" s="304"/>
      <c r="R556" s="304"/>
      <c r="S556" s="304"/>
      <c r="T556" s="304"/>
      <c r="U556" s="304"/>
      <c r="V556" s="304"/>
      <c r="W556" s="304"/>
      <c r="X556" s="301"/>
      <c r="Y556" s="301"/>
      <c r="Z556" s="301"/>
      <c r="AA556" s="301"/>
      <c r="AB556" s="301"/>
      <c r="AC556" s="305"/>
      <c r="AD556" s="171"/>
      <c r="AE556" s="177"/>
    </row>
    <row r="557" spans="1:31" ht="15.75" x14ac:dyDescent="0.25">
      <c r="A557" s="300"/>
      <c r="B557" s="301"/>
      <c r="C557" s="301"/>
      <c r="D557" s="301"/>
      <c r="E557" s="301"/>
      <c r="F557" s="302"/>
      <c r="G557" s="301"/>
      <c r="H557" s="301"/>
      <c r="I557" s="301"/>
      <c r="J557" s="301"/>
      <c r="K557" s="301"/>
      <c r="L557" s="301"/>
      <c r="M557" s="301"/>
      <c r="N557" s="303"/>
      <c r="O557" s="301"/>
      <c r="P557" s="304"/>
      <c r="Q557" s="304"/>
      <c r="R557" s="304"/>
      <c r="S557" s="304"/>
      <c r="T557" s="304"/>
      <c r="U557" s="304"/>
      <c r="V557" s="304"/>
      <c r="W557" s="304"/>
      <c r="X557" s="301"/>
      <c r="Y557" s="301"/>
      <c r="Z557" s="301"/>
      <c r="AA557" s="301"/>
      <c r="AB557" s="301"/>
      <c r="AC557" s="305"/>
      <c r="AD557" s="171"/>
      <c r="AE557" s="177"/>
    </row>
    <row r="558" spans="1:31" ht="15.75" x14ac:dyDescent="0.25">
      <c r="A558" s="300"/>
      <c r="B558" s="301"/>
      <c r="C558" s="301"/>
      <c r="D558" s="301"/>
      <c r="E558" s="301"/>
      <c r="F558" s="302"/>
      <c r="G558" s="301"/>
      <c r="H558" s="301"/>
      <c r="I558" s="301"/>
      <c r="J558" s="301"/>
      <c r="K558" s="301"/>
      <c r="L558" s="301"/>
      <c r="M558" s="301"/>
      <c r="N558" s="303"/>
      <c r="O558" s="301"/>
      <c r="P558" s="304"/>
      <c r="Q558" s="304"/>
      <c r="R558" s="304"/>
      <c r="S558" s="304"/>
      <c r="T558" s="304"/>
      <c r="U558" s="304"/>
      <c r="V558" s="304"/>
      <c r="W558" s="304"/>
      <c r="X558" s="301"/>
      <c r="Y558" s="301"/>
      <c r="Z558" s="301"/>
      <c r="AA558" s="301"/>
      <c r="AB558" s="301"/>
      <c r="AC558" s="305"/>
      <c r="AD558" s="171"/>
      <c r="AE558" s="177"/>
    </row>
    <row r="559" spans="1:31" ht="15.75" x14ac:dyDescent="0.25">
      <c r="A559" s="300"/>
      <c r="B559" s="301"/>
      <c r="C559" s="301"/>
      <c r="D559" s="301"/>
      <c r="E559" s="301"/>
      <c r="F559" s="302"/>
      <c r="G559" s="301"/>
      <c r="H559" s="301"/>
      <c r="I559" s="301"/>
      <c r="J559" s="301"/>
      <c r="K559" s="301"/>
      <c r="L559" s="301"/>
      <c r="M559" s="301"/>
      <c r="N559" s="303"/>
      <c r="O559" s="301"/>
      <c r="P559" s="304"/>
      <c r="Q559" s="304"/>
      <c r="R559" s="304"/>
      <c r="S559" s="304"/>
      <c r="T559" s="304"/>
      <c r="U559" s="304"/>
      <c r="V559" s="304"/>
      <c r="W559" s="304"/>
      <c r="X559" s="301"/>
      <c r="Y559" s="301"/>
      <c r="Z559" s="301"/>
      <c r="AA559" s="301"/>
      <c r="AB559" s="301"/>
      <c r="AC559" s="305"/>
      <c r="AD559" s="171"/>
      <c r="AE559" s="177"/>
    </row>
    <row r="560" spans="1:31" ht="15.75" x14ac:dyDescent="0.25">
      <c r="A560" s="300"/>
      <c r="B560" s="301"/>
      <c r="C560" s="301"/>
      <c r="D560" s="301"/>
      <c r="E560" s="301"/>
      <c r="F560" s="302"/>
      <c r="G560" s="301"/>
      <c r="H560" s="301"/>
      <c r="I560" s="301"/>
      <c r="J560" s="301"/>
      <c r="K560" s="301"/>
      <c r="L560" s="301"/>
      <c r="M560" s="301"/>
      <c r="N560" s="303"/>
      <c r="O560" s="301"/>
      <c r="P560" s="304"/>
      <c r="Q560" s="304"/>
      <c r="R560" s="304"/>
      <c r="S560" s="304"/>
      <c r="T560" s="304"/>
      <c r="U560" s="304"/>
      <c r="V560" s="304"/>
      <c r="W560" s="304"/>
      <c r="X560" s="301"/>
      <c r="Y560" s="301"/>
      <c r="Z560" s="301"/>
      <c r="AA560" s="301"/>
      <c r="AB560" s="301"/>
      <c r="AC560" s="305"/>
      <c r="AD560" s="171"/>
      <c r="AE560" s="177"/>
    </row>
    <row r="561" spans="1:31" ht="15.75" x14ac:dyDescent="0.25">
      <c r="A561" s="300"/>
      <c r="B561" s="301"/>
      <c r="C561" s="301"/>
      <c r="D561" s="301"/>
      <c r="E561" s="301"/>
      <c r="F561" s="302"/>
      <c r="G561" s="301"/>
      <c r="H561" s="301"/>
      <c r="I561" s="301"/>
      <c r="J561" s="301"/>
      <c r="K561" s="301"/>
      <c r="L561" s="301"/>
      <c r="M561" s="301"/>
      <c r="N561" s="303"/>
      <c r="O561" s="301"/>
      <c r="P561" s="304"/>
      <c r="Q561" s="304"/>
      <c r="R561" s="304"/>
      <c r="S561" s="304"/>
      <c r="T561" s="304"/>
      <c r="U561" s="304"/>
      <c r="V561" s="304"/>
      <c r="W561" s="304"/>
      <c r="X561" s="301"/>
      <c r="Y561" s="301"/>
      <c r="Z561" s="301"/>
      <c r="AA561" s="301"/>
      <c r="AB561" s="301"/>
      <c r="AC561" s="305"/>
      <c r="AD561" s="171"/>
      <c r="AE561" s="177"/>
    </row>
    <row r="562" spans="1:31" ht="15.75" x14ac:dyDescent="0.25">
      <c r="A562" s="300"/>
      <c r="B562" s="301"/>
      <c r="C562" s="301"/>
      <c r="D562" s="301"/>
      <c r="E562" s="301"/>
      <c r="F562" s="302"/>
      <c r="G562" s="301"/>
      <c r="H562" s="301"/>
      <c r="I562" s="301"/>
      <c r="J562" s="301"/>
      <c r="K562" s="301"/>
      <c r="L562" s="301"/>
      <c r="M562" s="301"/>
      <c r="N562" s="303"/>
      <c r="O562" s="301"/>
      <c r="P562" s="304"/>
      <c r="Q562" s="304"/>
      <c r="R562" s="304"/>
      <c r="S562" s="304"/>
      <c r="T562" s="304"/>
      <c r="U562" s="304"/>
      <c r="V562" s="304"/>
      <c r="W562" s="304"/>
      <c r="X562" s="301"/>
      <c r="Y562" s="301"/>
      <c r="Z562" s="301"/>
      <c r="AA562" s="301"/>
      <c r="AB562" s="301"/>
      <c r="AC562" s="305"/>
      <c r="AD562" s="171"/>
      <c r="AE562" s="177"/>
    </row>
    <row r="563" spans="1:31" ht="15.75" x14ac:dyDescent="0.25">
      <c r="A563" s="300"/>
      <c r="B563" s="301"/>
      <c r="C563" s="301"/>
      <c r="D563" s="301"/>
      <c r="E563" s="301"/>
      <c r="F563" s="302"/>
      <c r="G563" s="301"/>
      <c r="H563" s="301"/>
      <c r="I563" s="301"/>
      <c r="J563" s="301"/>
      <c r="K563" s="301"/>
      <c r="L563" s="301"/>
      <c r="M563" s="301"/>
      <c r="N563" s="303"/>
      <c r="O563" s="301"/>
      <c r="P563" s="304"/>
      <c r="Q563" s="304"/>
      <c r="R563" s="304"/>
      <c r="S563" s="304"/>
      <c r="T563" s="304"/>
      <c r="U563" s="304"/>
      <c r="V563" s="304"/>
      <c r="W563" s="304"/>
      <c r="X563" s="301"/>
      <c r="Y563" s="301"/>
      <c r="Z563" s="301"/>
      <c r="AA563" s="301"/>
      <c r="AB563" s="301"/>
      <c r="AC563" s="305"/>
      <c r="AD563" s="171"/>
      <c r="AE563" s="177"/>
    </row>
    <row r="564" spans="1:31" ht="15.75" x14ac:dyDescent="0.25">
      <c r="A564" s="300"/>
      <c r="B564" s="301"/>
      <c r="C564" s="301"/>
      <c r="D564" s="301"/>
      <c r="E564" s="301"/>
      <c r="F564" s="302"/>
      <c r="G564" s="301"/>
      <c r="H564" s="301"/>
      <c r="I564" s="301"/>
      <c r="J564" s="301"/>
      <c r="K564" s="301"/>
      <c r="L564" s="301"/>
      <c r="M564" s="301"/>
      <c r="N564" s="303"/>
      <c r="O564" s="301"/>
      <c r="P564" s="304"/>
      <c r="Q564" s="304"/>
      <c r="R564" s="304"/>
      <c r="S564" s="304"/>
      <c r="T564" s="304"/>
      <c r="U564" s="304"/>
      <c r="V564" s="304"/>
      <c r="W564" s="304"/>
      <c r="X564" s="301"/>
      <c r="Y564" s="301"/>
      <c r="Z564" s="301"/>
      <c r="AA564" s="301"/>
      <c r="AB564" s="301"/>
      <c r="AC564" s="305"/>
      <c r="AD564" s="171"/>
      <c r="AE564" s="177"/>
    </row>
    <row r="565" spans="1:31" ht="15.75" x14ac:dyDescent="0.25">
      <c r="A565" s="300"/>
      <c r="B565" s="301"/>
      <c r="C565" s="301"/>
      <c r="D565" s="301"/>
      <c r="E565" s="301"/>
      <c r="F565" s="302"/>
      <c r="G565" s="301"/>
      <c r="H565" s="301"/>
      <c r="I565" s="301"/>
      <c r="J565" s="301"/>
      <c r="K565" s="301"/>
      <c r="L565" s="301"/>
      <c r="M565" s="301"/>
      <c r="N565" s="303"/>
      <c r="O565" s="301"/>
      <c r="P565" s="304"/>
      <c r="Q565" s="304"/>
      <c r="R565" s="304"/>
      <c r="S565" s="304"/>
      <c r="T565" s="304"/>
      <c r="U565" s="304"/>
      <c r="V565" s="304"/>
      <c r="W565" s="304"/>
      <c r="X565" s="301"/>
      <c r="Y565" s="301"/>
      <c r="Z565" s="301"/>
      <c r="AA565" s="301"/>
      <c r="AB565" s="301"/>
      <c r="AC565" s="305"/>
      <c r="AD565" s="171"/>
      <c r="AE565" s="177"/>
    </row>
    <row r="566" spans="1:31" ht="15.75" x14ac:dyDescent="0.25">
      <c r="A566" s="300"/>
      <c r="B566" s="301"/>
      <c r="C566" s="301"/>
      <c r="D566" s="301"/>
      <c r="E566" s="301"/>
      <c r="F566" s="302"/>
      <c r="G566" s="301"/>
      <c r="H566" s="301"/>
      <c r="I566" s="301"/>
      <c r="J566" s="301"/>
      <c r="K566" s="301"/>
      <c r="L566" s="301"/>
      <c r="M566" s="301"/>
      <c r="N566" s="303"/>
      <c r="O566" s="301"/>
      <c r="P566" s="304"/>
      <c r="Q566" s="304"/>
      <c r="R566" s="304"/>
      <c r="S566" s="304"/>
      <c r="T566" s="304"/>
      <c r="U566" s="304"/>
      <c r="V566" s="304"/>
      <c r="W566" s="304"/>
      <c r="X566" s="301"/>
      <c r="Y566" s="301"/>
      <c r="Z566" s="301"/>
      <c r="AA566" s="301"/>
      <c r="AB566" s="301"/>
      <c r="AC566" s="305"/>
      <c r="AD566" s="171"/>
      <c r="AE566" s="177"/>
    </row>
    <row r="567" spans="1:31" ht="15.75" x14ac:dyDescent="0.25">
      <c r="A567" s="300"/>
      <c r="B567" s="301"/>
      <c r="C567" s="301"/>
      <c r="D567" s="301"/>
      <c r="E567" s="301"/>
      <c r="F567" s="302"/>
      <c r="G567" s="301"/>
      <c r="H567" s="301"/>
      <c r="I567" s="301"/>
      <c r="J567" s="301"/>
      <c r="K567" s="301"/>
      <c r="L567" s="301"/>
      <c r="M567" s="301"/>
      <c r="N567" s="303"/>
      <c r="O567" s="301"/>
      <c r="P567" s="304"/>
      <c r="Q567" s="304"/>
      <c r="R567" s="304"/>
      <c r="S567" s="304"/>
      <c r="T567" s="304"/>
      <c r="U567" s="304"/>
      <c r="V567" s="304"/>
      <c r="W567" s="304"/>
      <c r="X567" s="301"/>
      <c r="Y567" s="301"/>
      <c r="Z567" s="301"/>
      <c r="AA567" s="301"/>
      <c r="AB567" s="301"/>
      <c r="AC567" s="305"/>
      <c r="AD567" s="171"/>
      <c r="AE567" s="177"/>
    </row>
    <row r="568" spans="1:31" ht="15.75" x14ac:dyDescent="0.25">
      <c r="A568" s="300"/>
      <c r="B568" s="301"/>
      <c r="C568" s="301"/>
      <c r="D568" s="301"/>
      <c r="E568" s="301"/>
      <c r="F568" s="302"/>
      <c r="G568" s="301"/>
      <c r="H568" s="301"/>
      <c r="I568" s="301"/>
      <c r="J568" s="301"/>
      <c r="K568" s="301"/>
      <c r="L568" s="301"/>
      <c r="M568" s="301"/>
      <c r="N568" s="303"/>
      <c r="O568" s="301"/>
      <c r="P568" s="304"/>
      <c r="Q568" s="304"/>
      <c r="R568" s="304"/>
      <c r="S568" s="304"/>
      <c r="T568" s="304"/>
      <c r="U568" s="304"/>
      <c r="V568" s="304"/>
      <c r="W568" s="304"/>
      <c r="X568" s="301"/>
      <c r="Y568" s="301"/>
      <c r="Z568" s="301"/>
      <c r="AA568" s="301"/>
      <c r="AB568" s="301"/>
      <c r="AC568" s="305"/>
      <c r="AD568" s="171"/>
      <c r="AE568" s="177"/>
    </row>
    <row r="569" spans="1:31" ht="15.75" x14ac:dyDescent="0.25">
      <c r="A569" s="300"/>
      <c r="B569" s="301"/>
      <c r="C569" s="301"/>
      <c r="D569" s="301"/>
      <c r="E569" s="301"/>
      <c r="F569" s="302"/>
      <c r="G569" s="301"/>
      <c r="H569" s="301"/>
      <c r="I569" s="301"/>
      <c r="J569" s="301"/>
      <c r="K569" s="301"/>
      <c r="L569" s="301"/>
      <c r="M569" s="301"/>
      <c r="N569" s="303"/>
      <c r="O569" s="301"/>
      <c r="P569" s="304"/>
      <c r="Q569" s="304"/>
      <c r="R569" s="304"/>
      <c r="S569" s="304"/>
      <c r="T569" s="304"/>
      <c r="U569" s="304"/>
      <c r="V569" s="304"/>
      <c r="W569" s="304"/>
      <c r="X569" s="301"/>
      <c r="Y569" s="301"/>
      <c r="Z569" s="301"/>
      <c r="AA569" s="301"/>
      <c r="AB569" s="301"/>
      <c r="AC569" s="305"/>
      <c r="AD569" s="171"/>
      <c r="AE569" s="177"/>
    </row>
    <row r="570" spans="1:31" ht="15.75" x14ac:dyDescent="0.25">
      <c r="A570" s="300"/>
      <c r="B570" s="301"/>
      <c r="C570" s="301"/>
      <c r="D570" s="301"/>
      <c r="E570" s="301"/>
      <c r="F570" s="302"/>
      <c r="G570" s="301"/>
      <c r="H570" s="301"/>
      <c r="I570" s="301"/>
      <c r="J570" s="301"/>
      <c r="K570" s="301"/>
      <c r="L570" s="301"/>
      <c r="M570" s="301"/>
      <c r="N570" s="303"/>
      <c r="O570" s="301"/>
      <c r="P570" s="304"/>
      <c r="Q570" s="304"/>
      <c r="R570" s="304"/>
      <c r="S570" s="304"/>
      <c r="T570" s="304"/>
      <c r="U570" s="304"/>
      <c r="V570" s="304"/>
      <c r="W570" s="304"/>
      <c r="X570" s="301"/>
      <c r="Y570" s="301"/>
      <c r="Z570" s="301"/>
      <c r="AA570" s="301"/>
      <c r="AB570" s="301"/>
      <c r="AC570" s="305"/>
      <c r="AD570" s="171"/>
      <c r="AE570" s="177"/>
    </row>
    <row r="571" spans="1:31" ht="15.75" x14ac:dyDescent="0.25">
      <c r="A571" s="300"/>
      <c r="B571" s="301"/>
      <c r="C571" s="301"/>
      <c r="D571" s="301"/>
      <c r="E571" s="301"/>
      <c r="F571" s="302"/>
      <c r="G571" s="301"/>
      <c r="H571" s="301"/>
      <c r="I571" s="301"/>
      <c r="J571" s="301"/>
      <c r="K571" s="301"/>
      <c r="L571" s="301"/>
      <c r="M571" s="301"/>
      <c r="N571" s="303"/>
      <c r="O571" s="301"/>
      <c r="P571" s="304"/>
      <c r="Q571" s="304"/>
      <c r="R571" s="304"/>
      <c r="S571" s="304"/>
      <c r="T571" s="304"/>
      <c r="U571" s="304"/>
      <c r="V571" s="304"/>
      <c r="W571" s="304"/>
      <c r="X571" s="301"/>
      <c r="Y571" s="301"/>
      <c r="Z571" s="301"/>
      <c r="AA571" s="301"/>
      <c r="AB571" s="301"/>
      <c r="AC571" s="305"/>
      <c r="AD571" s="171"/>
      <c r="AE571" s="177"/>
    </row>
    <row r="572" spans="1:31" ht="15.75" x14ac:dyDescent="0.25">
      <c r="A572" s="300"/>
      <c r="B572" s="301"/>
      <c r="C572" s="301"/>
      <c r="D572" s="301"/>
      <c r="E572" s="301"/>
      <c r="F572" s="302"/>
      <c r="G572" s="301"/>
      <c r="H572" s="301"/>
      <c r="I572" s="301"/>
      <c r="J572" s="301"/>
      <c r="K572" s="301"/>
      <c r="L572" s="301"/>
      <c r="M572" s="301"/>
      <c r="N572" s="303"/>
      <c r="O572" s="301"/>
      <c r="P572" s="304"/>
      <c r="Q572" s="304"/>
      <c r="R572" s="304"/>
      <c r="S572" s="304"/>
      <c r="T572" s="304"/>
      <c r="U572" s="304"/>
      <c r="V572" s="304"/>
      <c r="W572" s="304"/>
      <c r="X572" s="301"/>
      <c r="Y572" s="301"/>
      <c r="Z572" s="301"/>
      <c r="AA572" s="301"/>
      <c r="AB572" s="301"/>
      <c r="AC572" s="305"/>
      <c r="AD572" s="171"/>
      <c r="AE572" s="177"/>
    </row>
    <row r="573" spans="1:31" ht="15.75" x14ac:dyDescent="0.25">
      <c r="A573" s="300"/>
      <c r="B573" s="301"/>
      <c r="C573" s="301"/>
      <c r="D573" s="301"/>
      <c r="E573" s="301"/>
      <c r="F573" s="302"/>
      <c r="G573" s="301"/>
      <c r="H573" s="301"/>
      <c r="I573" s="301"/>
      <c r="J573" s="301"/>
      <c r="K573" s="301"/>
      <c r="L573" s="301"/>
      <c r="M573" s="301"/>
      <c r="N573" s="303"/>
      <c r="O573" s="301"/>
      <c r="P573" s="304"/>
      <c r="Q573" s="304"/>
      <c r="R573" s="304"/>
      <c r="S573" s="304"/>
      <c r="T573" s="304"/>
      <c r="U573" s="304"/>
      <c r="V573" s="304"/>
      <c r="W573" s="304"/>
      <c r="X573" s="301"/>
      <c r="Y573" s="301"/>
      <c r="Z573" s="301"/>
      <c r="AA573" s="301"/>
      <c r="AB573" s="301"/>
      <c r="AC573" s="305"/>
      <c r="AD573" s="171"/>
      <c r="AE573" s="177"/>
    </row>
    <row r="574" spans="1:31" ht="15.75" x14ac:dyDescent="0.25">
      <c r="A574" s="300"/>
      <c r="B574" s="301"/>
      <c r="C574" s="301"/>
      <c r="D574" s="301"/>
      <c r="E574" s="301"/>
      <c r="F574" s="302"/>
      <c r="G574" s="301"/>
      <c r="H574" s="301"/>
      <c r="I574" s="301"/>
      <c r="J574" s="301"/>
      <c r="K574" s="301"/>
      <c r="L574" s="301"/>
      <c r="M574" s="301"/>
      <c r="N574" s="303"/>
      <c r="O574" s="301"/>
      <c r="P574" s="304"/>
      <c r="Q574" s="304"/>
      <c r="R574" s="304"/>
      <c r="S574" s="304"/>
      <c r="T574" s="304"/>
      <c r="U574" s="304"/>
      <c r="V574" s="304"/>
      <c r="W574" s="304"/>
      <c r="X574" s="301"/>
      <c r="Y574" s="301"/>
      <c r="Z574" s="301"/>
      <c r="AA574" s="301"/>
      <c r="AB574" s="301"/>
      <c r="AC574" s="305"/>
      <c r="AD574" s="171"/>
      <c r="AE574" s="177"/>
    </row>
    <row r="575" spans="1:31" ht="15.75" x14ac:dyDescent="0.25">
      <c r="A575" s="300"/>
      <c r="B575" s="301"/>
      <c r="C575" s="301"/>
      <c r="D575" s="301"/>
      <c r="E575" s="301"/>
      <c r="F575" s="302"/>
      <c r="G575" s="301"/>
      <c r="H575" s="301"/>
      <c r="I575" s="301"/>
      <c r="J575" s="301"/>
      <c r="K575" s="301"/>
      <c r="L575" s="301"/>
      <c r="M575" s="301"/>
      <c r="N575" s="303"/>
      <c r="O575" s="301"/>
      <c r="P575" s="304"/>
      <c r="Q575" s="304"/>
      <c r="R575" s="304"/>
      <c r="S575" s="304"/>
      <c r="T575" s="304"/>
      <c r="U575" s="304"/>
      <c r="V575" s="304"/>
      <c r="W575" s="304"/>
      <c r="X575" s="301"/>
      <c r="Y575" s="301"/>
      <c r="Z575" s="301"/>
      <c r="AA575" s="301"/>
      <c r="AB575" s="301"/>
      <c r="AC575" s="305"/>
      <c r="AD575" s="171"/>
      <c r="AE575" s="177"/>
    </row>
    <row r="576" spans="1:31" ht="15.75" x14ac:dyDescent="0.25">
      <c r="A576" s="300"/>
      <c r="B576" s="301"/>
      <c r="C576" s="301"/>
      <c r="D576" s="301"/>
      <c r="E576" s="301"/>
      <c r="F576" s="302"/>
      <c r="G576" s="301"/>
      <c r="H576" s="301"/>
      <c r="I576" s="301"/>
      <c r="J576" s="301"/>
      <c r="K576" s="301"/>
      <c r="L576" s="301"/>
      <c r="M576" s="301"/>
      <c r="N576" s="303"/>
      <c r="O576" s="301"/>
      <c r="P576" s="304"/>
      <c r="Q576" s="304"/>
      <c r="R576" s="304"/>
      <c r="S576" s="304"/>
      <c r="T576" s="304"/>
      <c r="U576" s="304"/>
      <c r="V576" s="304"/>
      <c r="W576" s="304"/>
      <c r="X576" s="301"/>
      <c r="Y576" s="301"/>
      <c r="Z576" s="301"/>
      <c r="AA576" s="301"/>
      <c r="AB576" s="301"/>
      <c r="AC576" s="305"/>
      <c r="AD576" s="171"/>
      <c r="AE576" s="177"/>
    </row>
    <row r="577" spans="1:31" ht="15.75" x14ac:dyDescent="0.25">
      <c r="A577" s="300"/>
      <c r="B577" s="301"/>
      <c r="C577" s="301"/>
      <c r="D577" s="301"/>
      <c r="E577" s="301"/>
      <c r="F577" s="302"/>
      <c r="G577" s="301"/>
      <c r="H577" s="301"/>
      <c r="I577" s="301"/>
      <c r="J577" s="301"/>
      <c r="K577" s="301"/>
      <c r="L577" s="301"/>
      <c r="M577" s="301"/>
      <c r="N577" s="303"/>
      <c r="O577" s="301"/>
      <c r="P577" s="304"/>
      <c r="Q577" s="304"/>
      <c r="R577" s="304"/>
      <c r="S577" s="304"/>
      <c r="T577" s="304"/>
      <c r="U577" s="304"/>
      <c r="V577" s="304"/>
      <c r="W577" s="304"/>
      <c r="X577" s="301"/>
      <c r="Y577" s="301"/>
      <c r="Z577" s="301"/>
      <c r="AA577" s="301"/>
      <c r="AB577" s="301"/>
      <c r="AC577" s="305"/>
      <c r="AD577" s="171"/>
      <c r="AE577" s="177"/>
    </row>
    <row r="578" spans="1:31" ht="15.75" x14ac:dyDescent="0.25">
      <c r="A578" s="300"/>
      <c r="B578" s="301"/>
      <c r="C578" s="301"/>
      <c r="D578" s="301"/>
      <c r="E578" s="301"/>
      <c r="F578" s="302"/>
      <c r="G578" s="301"/>
      <c r="H578" s="301"/>
      <c r="I578" s="301"/>
      <c r="J578" s="301"/>
      <c r="K578" s="301"/>
      <c r="L578" s="301"/>
      <c r="M578" s="301"/>
      <c r="N578" s="303"/>
      <c r="O578" s="301"/>
      <c r="P578" s="304"/>
      <c r="Q578" s="304"/>
      <c r="R578" s="304"/>
      <c r="S578" s="304"/>
      <c r="T578" s="304"/>
      <c r="U578" s="304"/>
      <c r="V578" s="304"/>
      <c r="W578" s="304"/>
      <c r="X578" s="301"/>
      <c r="Y578" s="301"/>
      <c r="Z578" s="301"/>
      <c r="AA578" s="301"/>
      <c r="AB578" s="301"/>
      <c r="AC578" s="305"/>
      <c r="AD578" s="171"/>
      <c r="AE578" s="177"/>
    </row>
    <row r="579" spans="1:31" ht="15.75" x14ac:dyDescent="0.25">
      <c r="A579" s="300"/>
      <c r="B579" s="301"/>
      <c r="C579" s="301"/>
      <c r="D579" s="301"/>
      <c r="E579" s="301"/>
      <c r="F579" s="302"/>
      <c r="G579" s="301"/>
      <c r="H579" s="301"/>
      <c r="I579" s="301"/>
      <c r="J579" s="301"/>
      <c r="K579" s="301"/>
      <c r="L579" s="301"/>
      <c r="M579" s="301"/>
      <c r="N579" s="303"/>
      <c r="O579" s="301"/>
      <c r="P579" s="304"/>
      <c r="Q579" s="304"/>
      <c r="R579" s="304"/>
      <c r="S579" s="304"/>
      <c r="T579" s="304"/>
      <c r="U579" s="304"/>
      <c r="V579" s="304"/>
      <c r="W579" s="304"/>
      <c r="X579" s="301"/>
      <c r="Y579" s="301"/>
      <c r="Z579" s="301"/>
      <c r="AA579" s="301"/>
      <c r="AB579" s="301"/>
      <c r="AC579" s="305"/>
      <c r="AD579" s="171"/>
      <c r="AE579" s="177"/>
    </row>
    <row r="580" spans="1:31" ht="15.75" x14ac:dyDescent="0.25">
      <c r="A580" s="300"/>
      <c r="B580" s="301"/>
      <c r="C580" s="301"/>
      <c r="D580" s="301"/>
      <c r="E580" s="301"/>
      <c r="F580" s="302"/>
      <c r="G580" s="301"/>
      <c r="H580" s="301"/>
      <c r="I580" s="301"/>
      <c r="J580" s="301"/>
      <c r="K580" s="301"/>
      <c r="L580" s="301"/>
      <c r="M580" s="301"/>
      <c r="N580" s="303"/>
      <c r="O580" s="301"/>
      <c r="P580" s="304"/>
      <c r="Q580" s="304"/>
      <c r="R580" s="304"/>
      <c r="S580" s="304"/>
      <c r="T580" s="304"/>
      <c r="U580" s="304"/>
      <c r="V580" s="304"/>
      <c r="W580" s="304"/>
      <c r="X580" s="301"/>
      <c r="Y580" s="301"/>
      <c r="Z580" s="301"/>
      <c r="AA580" s="301"/>
      <c r="AB580" s="301"/>
      <c r="AC580" s="305"/>
      <c r="AD580" s="171"/>
      <c r="AE580" s="177"/>
    </row>
    <row r="581" spans="1:31" ht="15.75" x14ac:dyDescent="0.25">
      <c r="A581" s="300"/>
      <c r="B581" s="301"/>
      <c r="C581" s="301"/>
      <c r="D581" s="301"/>
      <c r="E581" s="301"/>
      <c r="F581" s="302"/>
      <c r="G581" s="301"/>
      <c r="H581" s="301"/>
      <c r="I581" s="301"/>
      <c r="J581" s="301"/>
      <c r="K581" s="301"/>
      <c r="L581" s="301"/>
      <c r="M581" s="301"/>
      <c r="N581" s="303"/>
      <c r="O581" s="301"/>
      <c r="P581" s="304"/>
      <c r="Q581" s="304"/>
      <c r="R581" s="304"/>
      <c r="S581" s="304"/>
      <c r="T581" s="304"/>
      <c r="U581" s="304"/>
      <c r="V581" s="304"/>
      <c r="W581" s="304"/>
      <c r="X581" s="301"/>
      <c r="Y581" s="301"/>
      <c r="Z581" s="301"/>
      <c r="AA581" s="301"/>
      <c r="AB581" s="301"/>
      <c r="AC581" s="305"/>
      <c r="AD581" s="171"/>
      <c r="AE581" s="177"/>
    </row>
    <row r="582" spans="1:31" ht="15.75" x14ac:dyDescent="0.25">
      <c r="A582" s="300"/>
      <c r="B582" s="301"/>
      <c r="C582" s="301"/>
      <c r="D582" s="301"/>
      <c r="E582" s="301"/>
      <c r="F582" s="302"/>
      <c r="G582" s="301"/>
      <c r="H582" s="301"/>
      <c r="I582" s="301"/>
      <c r="J582" s="301"/>
      <c r="K582" s="301"/>
      <c r="L582" s="301"/>
      <c r="M582" s="301"/>
      <c r="N582" s="303"/>
      <c r="O582" s="301"/>
      <c r="P582" s="304"/>
      <c r="Q582" s="304"/>
      <c r="R582" s="304"/>
      <c r="S582" s="304"/>
      <c r="T582" s="304"/>
      <c r="U582" s="304"/>
      <c r="V582" s="304"/>
      <c r="W582" s="304"/>
      <c r="X582" s="301"/>
      <c r="Y582" s="301"/>
      <c r="Z582" s="301"/>
      <c r="AA582" s="301"/>
      <c r="AB582" s="301"/>
      <c r="AC582" s="305"/>
      <c r="AD582" s="171"/>
      <c r="AE582" s="177"/>
    </row>
    <row r="583" spans="1:31" ht="15.75" x14ac:dyDescent="0.25">
      <c r="A583" s="300"/>
      <c r="B583" s="301"/>
      <c r="C583" s="301"/>
      <c r="D583" s="301"/>
      <c r="E583" s="301"/>
      <c r="F583" s="302"/>
      <c r="G583" s="301"/>
      <c r="H583" s="301"/>
      <c r="I583" s="301"/>
      <c r="J583" s="301"/>
      <c r="K583" s="301"/>
      <c r="L583" s="301"/>
      <c r="M583" s="301"/>
      <c r="N583" s="303"/>
      <c r="O583" s="301"/>
      <c r="P583" s="304"/>
      <c r="Q583" s="304"/>
      <c r="R583" s="304"/>
      <c r="S583" s="304"/>
      <c r="T583" s="304"/>
      <c r="U583" s="304"/>
      <c r="V583" s="304"/>
      <c r="W583" s="304"/>
      <c r="X583" s="301"/>
      <c r="Y583" s="301"/>
      <c r="Z583" s="301"/>
      <c r="AA583" s="301"/>
      <c r="AB583" s="301"/>
      <c r="AC583" s="305"/>
      <c r="AD583" s="171"/>
      <c r="AE583" s="177"/>
    </row>
    <row r="584" spans="1:31" ht="15.75" x14ac:dyDescent="0.25">
      <c r="A584" s="300"/>
      <c r="B584" s="301"/>
      <c r="C584" s="301"/>
      <c r="D584" s="301"/>
      <c r="E584" s="301"/>
      <c r="F584" s="302"/>
      <c r="G584" s="301"/>
      <c r="H584" s="301"/>
      <c r="I584" s="301"/>
      <c r="J584" s="301"/>
      <c r="K584" s="301"/>
      <c r="L584" s="301"/>
      <c r="M584" s="301"/>
      <c r="N584" s="303"/>
      <c r="O584" s="301"/>
      <c r="P584" s="304"/>
      <c r="Q584" s="304"/>
      <c r="R584" s="304"/>
      <c r="S584" s="304"/>
      <c r="T584" s="304"/>
      <c r="U584" s="304"/>
      <c r="V584" s="304"/>
      <c r="W584" s="304"/>
      <c r="X584" s="301"/>
      <c r="Y584" s="301"/>
      <c r="Z584" s="301"/>
      <c r="AA584" s="301"/>
      <c r="AB584" s="301"/>
      <c r="AC584" s="305"/>
      <c r="AD584" s="171"/>
      <c r="AE584" s="177"/>
    </row>
    <row r="585" spans="1:31" ht="15.75" x14ac:dyDescent="0.25">
      <c r="A585" s="300"/>
      <c r="B585" s="301"/>
      <c r="C585" s="301"/>
      <c r="D585" s="301"/>
      <c r="E585" s="301"/>
      <c r="F585" s="302"/>
      <c r="G585" s="301"/>
      <c r="H585" s="301"/>
      <c r="I585" s="301"/>
      <c r="J585" s="301"/>
      <c r="K585" s="301"/>
      <c r="L585" s="301"/>
      <c r="M585" s="301"/>
      <c r="N585" s="303"/>
      <c r="O585" s="301"/>
      <c r="P585" s="304"/>
      <c r="Q585" s="304"/>
      <c r="R585" s="304"/>
      <c r="S585" s="304"/>
      <c r="T585" s="304"/>
      <c r="U585" s="304"/>
      <c r="V585" s="304"/>
      <c r="W585" s="304"/>
      <c r="X585" s="301"/>
      <c r="Y585" s="301"/>
      <c r="Z585" s="301"/>
      <c r="AA585" s="301"/>
      <c r="AB585" s="301"/>
      <c r="AC585" s="305"/>
      <c r="AD585" s="171"/>
      <c r="AE585" s="177"/>
    </row>
    <row r="586" spans="1:31" ht="15.75" x14ac:dyDescent="0.25">
      <c r="A586" s="300"/>
      <c r="B586" s="301"/>
      <c r="C586" s="301"/>
      <c r="D586" s="301"/>
      <c r="E586" s="301"/>
      <c r="F586" s="302"/>
      <c r="G586" s="301"/>
      <c r="H586" s="301"/>
      <c r="I586" s="301"/>
      <c r="J586" s="301"/>
      <c r="K586" s="301"/>
      <c r="L586" s="301"/>
      <c r="M586" s="301"/>
      <c r="N586" s="303"/>
      <c r="O586" s="301"/>
      <c r="P586" s="304"/>
      <c r="Q586" s="304"/>
      <c r="R586" s="304"/>
      <c r="S586" s="304"/>
      <c r="T586" s="304"/>
      <c r="U586" s="304"/>
      <c r="V586" s="304"/>
      <c r="W586" s="304"/>
      <c r="X586" s="301"/>
      <c r="Y586" s="301"/>
      <c r="Z586" s="301"/>
      <c r="AA586" s="301"/>
      <c r="AB586" s="301"/>
      <c r="AC586" s="305"/>
      <c r="AD586" s="171"/>
      <c r="AE586" s="177"/>
    </row>
    <row r="587" spans="1:31" ht="15.75" x14ac:dyDescent="0.25">
      <c r="A587" s="300"/>
      <c r="B587" s="301"/>
      <c r="C587" s="301"/>
      <c r="D587" s="301"/>
      <c r="E587" s="301"/>
      <c r="F587" s="302"/>
      <c r="G587" s="301"/>
      <c r="H587" s="301"/>
      <c r="I587" s="301"/>
      <c r="J587" s="301"/>
      <c r="K587" s="301"/>
      <c r="L587" s="301"/>
      <c r="M587" s="301"/>
      <c r="N587" s="303"/>
      <c r="O587" s="301"/>
      <c r="P587" s="304"/>
      <c r="Q587" s="304"/>
      <c r="R587" s="304"/>
      <c r="S587" s="304"/>
      <c r="T587" s="304"/>
      <c r="U587" s="304"/>
      <c r="V587" s="304"/>
      <c r="W587" s="304"/>
      <c r="X587" s="301"/>
      <c r="Y587" s="301"/>
      <c r="Z587" s="301"/>
      <c r="AA587" s="301"/>
      <c r="AB587" s="301"/>
      <c r="AC587" s="305"/>
      <c r="AD587" s="171"/>
      <c r="AE587" s="177"/>
    </row>
    <row r="588" spans="1:31" ht="15" customHeight="1" x14ac:dyDescent="0.25">
      <c r="A588" s="300"/>
      <c r="B588" s="301"/>
      <c r="C588" s="301"/>
      <c r="D588" s="301"/>
      <c r="E588" s="301"/>
      <c r="F588" s="302"/>
      <c r="G588" s="301"/>
      <c r="H588" s="301"/>
      <c r="I588" s="301"/>
      <c r="J588" s="301"/>
      <c r="K588" s="301"/>
      <c r="L588" s="301"/>
      <c r="M588" s="301"/>
      <c r="N588" s="303"/>
      <c r="O588" s="301"/>
      <c r="P588" s="304"/>
      <c r="Q588" s="304"/>
      <c r="R588" s="304"/>
      <c r="S588" s="304"/>
      <c r="T588" s="304"/>
      <c r="U588" s="304"/>
      <c r="V588" s="304"/>
      <c r="W588" s="304"/>
      <c r="X588" s="301"/>
      <c r="Y588" s="301"/>
      <c r="Z588" s="301"/>
      <c r="AA588" s="301"/>
      <c r="AB588" s="301"/>
      <c r="AC588" s="305"/>
      <c r="AD588" s="306"/>
      <c r="AE588" s="307"/>
    </row>
    <row r="589" spans="1:31" ht="15" customHeight="1" x14ac:dyDescent="0.25">
      <c r="A589" s="300"/>
      <c r="B589" s="301"/>
      <c r="C589" s="301"/>
      <c r="D589" s="301"/>
      <c r="E589" s="301"/>
      <c r="F589" s="302"/>
      <c r="G589" s="301"/>
      <c r="H589" s="301"/>
      <c r="I589" s="301"/>
      <c r="J589" s="301"/>
      <c r="K589" s="301"/>
      <c r="L589" s="301"/>
      <c r="M589" s="301"/>
      <c r="N589" s="303"/>
      <c r="O589" s="301"/>
      <c r="P589" s="304"/>
      <c r="Q589" s="304"/>
      <c r="R589" s="304"/>
      <c r="S589" s="304"/>
      <c r="T589" s="304"/>
      <c r="U589" s="304"/>
      <c r="V589" s="304"/>
      <c r="W589" s="304"/>
      <c r="X589" s="301"/>
      <c r="Y589" s="301"/>
      <c r="Z589" s="301"/>
      <c r="AA589" s="301"/>
      <c r="AB589" s="301"/>
      <c r="AC589" s="305"/>
      <c r="AD589" s="306"/>
      <c r="AE589" s="307"/>
    </row>
    <row r="590" spans="1:31" ht="15" customHeight="1" x14ac:dyDescent="0.25">
      <c r="A590" s="300"/>
      <c r="B590" s="301"/>
      <c r="C590" s="301"/>
      <c r="D590" s="301"/>
      <c r="E590" s="301"/>
      <c r="F590" s="302"/>
      <c r="G590" s="301"/>
      <c r="H590" s="301"/>
      <c r="I590" s="301"/>
      <c r="J590" s="301"/>
      <c r="K590" s="301"/>
      <c r="L590" s="301"/>
      <c r="M590" s="301"/>
      <c r="N590" s="303"/>
      <c r="O590" s="301"/>
      <c r="P590" s="304"/>
      <c r="Q590" s="304"/>
      <c r="R590" s="304"/>
      <c r="S590" s="304"/>
      <c r="T590" s="304"/>
      <c r="U590" s="304"/>
      <c r="V590" s="304"/>
      <c r="W590" s="304"/>
      <c r="X590" s="301"/>
      <c r="Y590" s="301"/>
      <c r="Z590" s="301"/>
      <c r="AA590" s="301"/>
      <c r="AB590" s="301"/>
      <c r="AC590" s="305"/>
      <c r="AD590" s="306"/>
      <c r="AE590" s="307"/>
    </row>
    <row r="591" spans="1:31" ht="15" customHeight="1" x14ac:dyDescent="0.25">
      <c r="A591" s="300"/>
      <c r="B591" s="301"/>
      <c r="C591" s="301"/>
      <c r="D591" s="301"/>
      <c r="E591" s="301"/>
      <c r="F591" s="302"/>
      <c r="G591" s="301"/>
      <c r="H591" s="301"/>
      <c r="I591" s="301"/>
      <c r="J591" s="301"/>
      <c r="K591" s="301"/>
      <c r="L591" s="301"/>
      <c r="M591" s="301"/>
      <c r="N591" s="303"/>
      <c r="O591" s="301"/>
      <c r="P591" s="304"/>
      <c r="Q591" s="304"/>
      <c r="R591" s="304"/>
      <c r="S591" s="304"/>
      <c r="T591" s="304"/>
      <c r="U591" s="304"/>
      <c r="V591" s="304"/>
      <c r="W591" s="304"/>
      <c r="X591" s="301"/>
      <c r="Y591" s="301"/>
      <c r="Z591" s="301"/>
      <c r="AA591" s="301"/>
      <c r="AB591" s="301"/>
      <c r="AC591" s="305"/>
      <c r="AD591" s="306"/>
      <c r="AE591" s="307"/>
    </row>
    <row r="592" spans="1:31" ht="15" customHeight="1" x14ac:dyDescent="0.25">
      <c r="A592" s="300"/>
      <c r="B592" s="301"/>
      <c r="C592" s="301"/>
      <c r="D592" s="301"/>
      <c r="E592" s="301"/>
      <c r="F592" s="302"/>
      <c r="G592" s="301"/>
      <c r="H592" s="301"/>
      <c r="I592" s="301"/>
      <c r="J592" s="301"/>
      <c r="K592" s="301"/>
      <c r="L592" s="301"/>
      <c r="M592" s="301"/>
      <c r="N592" s="303"/>
      <c r="O592" s="301"/>
      <c r="P592" s="304"/>
      <c r="Q592" s="304"/>
      <c r="R592" s="304"/>
      <c r="S592" s="304"/>
      <c r="T592" s="304"/>
      <c r="U592" s="304"/>
      <c r="V592" s="304"/>
      <c r="W592" s="304"/>
      <c r="X592" s="301"/>
      <c r="Y592" s="301"/>
      <c r="Z592" s="301"/>
      <c r="AA592" s="301"/>
      <c r="AB592" s="301"/>
      <c r="AC592" s="305"/>
      <c r="AD592" s="306"/>
      <c r="AE592" s="307"/>
    </row>
    <row r="593" spans="1:31" ht="15" customHeight="1" x14ac:dyDescent="0.25">
      <c r="A593" s="300"/>
      <c r="B593" s="301"/>
      <c r="C593" s="301"/>
      <c r="D593" s="301"/>
      <c r="E593" s="301"/>
      <c r="F593" s="302"/>
      <c r="G593" s="301"/>
      <c r="H593" s="301"/>
      <c r="I593" s="301"/>
      <c r="J593" s="301"/>
      <c r="K593" s="301"/>
      <c r="L593" s="301"/>
      <c r="M593" s="301"/>
      <c r="N593" s="303"/>
      <c r="O593" s="301"/>
      <c r="P593" s="304"/>
      <c r="Q593" s="304"/>
      <c r="R593" s="304"/>
      <c r="S593" s="304"/>
      <c r="T593" s="304"/>
      <c r="U593" s="304"/>
      <c r="V593" s="304"/>
      <c r="W593" s="304"/>
      <c r="X593" s="301"/>
      <c r="Y593" s="301"/>
      <c r="Z593" s="301"/>
      <c r="AA593" s="301"/>
      <c r="AB593" s="301"/>
      <c r="AC593" s="305"/>
      <c r="AD593" s="306"/>
      <c r="AE593" s="307"/>
    </row>
    <row r="594" spans="1:31" ht="15" customHeight="1" x14ac:dyDescent="0.25">
      <c r="A594" s="300"/>
      <c r="B594" s="301"/>
      <c r="C594" s="301"/>
      <c r="D594" s="301"/>
      <c r="E594" s="301"/>
      <c r="F594" s="302"/>
      <c r="G594" s="301"/>
      <c r="H594" s="301"/>
      <c r="I594" s="301"/>
      <c r="J594" s="301"/>
      <c r="K594" s="301"/>
      <c r="L594" s="301"/>
      <c r="M594" s="301"/>
      <c r="N594" s="303"/>
      <c r="O594" s="301"/>
      <c r="P594" s="304"/>
      <c r="Q594" s="304"/>
      <c r="R594" s="304"/>
      <c r="S594" s="304"/>
      <c r="T594" s="304"/>
      <c r="U594" s="304"/>
      <c r="V594" s="304"/>
      <c r="W594" s="304"/>
      <c r="X594" s="301"/>
      <c r="Y594" s="301"/>
      <c r="Z594" s="301"/>
      <c r="AA594" s="301"/>
      <c r="AB594" s="301"/>
      <c r="AC594" s="305"/>
      <c r="AD594" s="306"/>
      <c r="AE594" s="307"/>
    </row>
    <row r="595" spans="1:31" ht="15" customHeight="1" x14ac:dyDescent="0.25">
      <c r="A595" s="300"/>
      <c r="B595" s="301"/>
      <c r="C595" s="301"/>
      <c r="D595" s="301"/>
      <c r="E595" s="301"/>
      <c r="F595" s="302"/>
      <c r="G595" s="301"/>
      <c r="H595" s="301"/>
      <c r="I595" s="301"/>
      <c r="J595" s="301"/>
      <c r="K595" s="301"/>
      <c r="L595" s="301"/>
      <c r="M595" s="301"/>
      <c r="N595" s="303"/>
      <c r="O595" s="301"/>
      <c r="P595" s="304"/>
      <c r="Q595" s="304"/>
      <c r="R595" s="304"/>
      <c r="S595" s="304"/>
      <c r="T595" s="304"/>
      <c r="U595" s="304"/>
      <c r="V595" s="304"/>
      <c r="W595" s="304"/>
      <c r="X595" s="301"/>
      <c r="Y595" s="301"/>
      <c r="Z595" s="301"/>
      <c r="AA595" s="301"/>
      <c r="AB595" s="301"/>
      <c r="AC595" s="305"/>
      <c r="AD595" s="306"/>
      <c r="AE595" s="307"/>
    </row>
    <row r="596" spans="1:31" ht="15" customHeight="1" x14ac:dyDescent="0.25">
      <c r="A596" s="300"/>
      <c r="B596" s="301"/>
      <c r="C596" s="301"/>
      <c r="D596" s="301"/>
      <c r="E596" s="301"/>
      <c r="F596" s="302"/>
      <c r="G596" s="301"/>
      <c r="H596" s="301"/>
      <c r="I596" s="301"/>
      <c r="J596" s="301"/>
      <c r="K596" s="301"/>
      <c r="L596" s="301"/>
      <c r="M596" s="301"/>
      <c r="N596" s="303"/>
      <c r="O596" s="301"/>
      <c r="P596" s="304"/>
      <c r="Q596" s="304"/>
      <c r="R596" s="304"/>
      <c r="S596" s="304"/>
      <c r="T596" s="304"/>
      <c r="U596" s="304"/>
      <c r="V596" s="304"/>
      <c r="W596" s="304"/>
      <c r="X596" s="301"/>
      <c r="Y596" s="301"/>
      <c r="Z596" s="301"/>
      <c r="AA596" s="301"/>
      <c r="AB596" s="301"/>
      <c r="AC596" s="305"/>
      <c r="AD596" s="306"/>
      <c r="AE596" s="307"/>
    </row>
    <row r="597" spans="1:31" ht="15" customHeight="1" x14ac:dyDescent="0.25">
      <c r="A597" s="305"/>
      <c r="B597" s="305"/>
      <c r="C597" s="305"/>
      <c r="D597" s="305"/>
      <c r="E597" s="305"/>
      <c r="F597" s="308"/>
      <c r="G597" s="305"/>
      <c r="H597" s="305"/>
      <c r="I597" s="305"/>
      <c r="J597" s="305"/>
      <c r="K597" s="305"/>
      <c r="L597" s="305"/>
      <c r="M597" s="305"/>
      <c r="N597" s="309"/>
      <c r="O597" s="305"/>
      <c r="P597" s="310"/>
      <c r="Q597" s="311"/>
      <c r="R597" s="311"/>
      <c r="S597" s="310"/>
      <c r="T597" s="310"/>
      <c r="U597" s="310"/>
      <c r="V597" s="310"/>
      <c r="W597" s="310"/>
      <c r="X597" s="305"/>
      <c r="Y597" s="305"/>
      <c r="Z597" s="305"/>
      <c r="AA597" s="305"/>
      <c r="AB597" s="305"/>
      <c r="AC597" s="305"/>
      <c r="AD597" s="306"/>
      <c r="AE597" s="307"/>
    </row>
    <row r="598" spans="1:31" ht="15" customHeight="1" x14ac:dyDescent="0.25">
      <c r="A598" s="305"/>
      <c r="B598" s="305"/>
      <c r="C598" s="305"/>
      <c r="D598" s="305"/>
      <c r="E598" s="305"/>
      <c r="F598" s="308"/>
      <c r="G598" s="305"/>
      <c r="H598" s="305"/>
      <c r="I598" s="305"/>
      <c r="J598" s="305"/>
      <c r="K598" s="305"/>
      <c r="L598" s="305"/>
      <c r="M598" s="305"/>
      <c r="N598" s="309"/>
      <c r="O598" s="305"/>
      <c r="P598" s="310"/>
      <c r="Q598" s="311"/>
      <c r="R598" s="311"/>
      <c r="S598" s="310"/>
      <c r="T598" s="310"/>
      <c r="U598" s="310"/>
      <c r="V598" s="310"/>
      <c r="W598" s="310"/>
      <c r="X598" s="305"/>
      <c r="Y598" s="305"/>
      <c r="Z598" s="305"/>
      <c r="AA598" s="305"/>
      <c r="AB598" s="305"/>
      <c r="AC598" s="305"/>
      <c r="AD598" s="306"/>
      <c r="AE598" s="307"/>
    </row>
    <row r="599" spans="1:31" ht="15" customHeight="1" x14ac:dyDescent="0.25">
      <c r="A599" s="305"/>
      <c r="B599" s="305"/>
      <c r="C599" s="305"/>
      <c r="D599" s="305"/>
      <c r="E599" s="305"/>
      <c r="F599" s="308"/>
      <c r="G599" s="305"/>
      <c r="H599" s="305"/>
      <c r="I599" s="305"/>
      <c r="J599" s="305"/>
      <c r="K599" s="305"/>
      <c r="L599" s="305"/>
      <c r="M599" s="305"/>
      <c r="N599" s="309"/>
      <c r="O599" s="305"/>
      <c r="P599" s="310"/>
      <c r="Q599" s="311"/>
      <c r="R599" s="311"/>
      <c r="S599" s="310"/>
      <c r="T599" s="310"/>
      <c r="U599" s="310"/>
      <c r="V599" s="310"/>
      <c r="W599" s="310"/>
      <c r="X599" s="305"/>
      <c r="Y599" s="305"/>
      <c r="Z599" s="305"/>
      <c r="AA599" s="305"/>
      <c r="AB599" s="305"/>
      <c r="AC599" s="305"/>
      <c r="AD599" s="306"/>
      <c r="AE599" s="307"/>
    </row>
    <row r="600" spans="1:31" ht="15" customHeight="1" x14ac:dyDescent="0.25">
      <c r="A600" s="305"/>
      <c r="B600" s="305"/>
      <c r="C600" s="305"/>
      <c r="D600" s="305"/>
      <c r="E600" s="305"/>
      <c r="F600" s="308"/>
      <c r="G600" s="305"/>
      <c r="H600" s="305"/>
      <c r="I600" s="305"/>
      <c r="J600" s="305"/>
      <c r="K600" s="305"/>
      <c r="L600" s="305"/>
      <c r="M600" s="305"/>
      <c r="N600" s="309"/>
      <c r="O600" s="305"/>
      <c r="P600" s="310"/>
      <c r="Q600" s="311"/>
      <c r="R600" s="311"/>
      <c r="S600" s="310"/>
      <c r="T600" s="310"/>
      <c r="U600" s="310"/>
      <c r="V600" s="310"/>
      <c r="W600" s="310"/>
      <c r="X600" s="305"/>
      <c r="Y600" s="305"/>
      <c r="Z600" s="305"/>
      <c r="AA600" s="305"/>
      <c r="AB600" s="305"/>
      <c r="AC600" s="305"/>
      <c r="AD600" s="306"/>
      <c r="AE600" s="307"/>
    </row>
    <row r="601" spans="1:31" ht="15" customHeight="1" x14ac:dyDescent="0.25">
      <c r="A601" s="305"/>
      <c r="B601" s="305"/>
      <c r="C601" s="305"/>
      <c r="D601" s="305"/>
      <c r="E601" s="305"/>
      <c r="F601" s="308"/>
      <c r="G601" s="305"/>
      <c r="H601" s="305"/>
      <c r="I601" s="305"/>
      <c r="J601" s="305"/>
      <c r="K601" s="305"/>
      <c r="L601" s="305"/>
      <c r="M601" s="305"/>
      <c r="N601" s="309"/>
      <c r="O601" s="305"/>
      <c r="P601" s="310"/>
      <c r="Q601" s="311"/>
      <c r="R601" s="311"/>
      <c r="S601" s="310"/>
      <c r="T601" s="310"/>
      <c r="U601" s="310"/>
      <c r="V601" s="310"/>
      <c r="W601" s="310"/>
      <c r="X601" s="305"/>
      <c r="Y601" s="305"/>
      <c r="Z601" s="305"/>
      <c r="AA601" s="305"/>
      <c r="AB601" s="305"/>
      <c r="AC601" s="305"/>
      <c r="AD601" s="306"/>
      <c r="AE601" s="307"/>
    </row>
    <row r="602" spans="1:31" ht="15" customHeight="1" x14ac:dyDescent="0.25">
      <c r="A602" s="305"/>
      <c r="B602" s="305"/>
      <c r="C602" s="305"/>
      <c r="D602" s="305"/>
      <c r="E602" s="305"/>
      <c r="F602" s="308"/>
      <c r="G602" s="305"/>
      <c r="H602" s="305"/>
      <c r="I602" s="305"/>
      <c r="J602" s="305"/>
      <c r="K602" s="305"/>
      <c r="L602" s="305"/>
      <c r="M602" s="305"/>
      <c r="N602" s="309"/>
      <c r="O602" s="305"/>
      <c r="P602" s="310"/>
      <c r="Q602" s="311"/>
      <c r="R602" s="311"/>
      <c r="S602" s="310"/>
      <c r="T602" s="310"/>
      <c r="U602" s="310"/>
      <c r="V602" s="310"/>
      <c r="W602" s="310"/>
      <c r="X602" s="305"/>
      <c r="Y602" s="305"/>
      <c r="Z602" s="305"/>
      <c r="AA602" s="305"/>
      <c r="AB602" s="305"/>
      <c r="AC602" s="305"/>
      <c r="AD602" s="306"/>
      <c r="AE602" s="307"/>
    </row>
    <row r="603" spans="1:31" ht="15" customHeight="1" x14ac:dyDescent="0.25">
      <c r="A603" s="305"/>
      <c r="B603" s="305"/>
      <c r="C603" s="305"/>
      <c r="D603" s="305"/>
      <c r="E603" s="305"/>
      <c r="F603" s="308"/>
      <c r="G603" s="305"/>
      <c r="H603" s="305"/>
      <c r="I603" s="305"/>
      <c r="J603" s="305"/>
      <c r="K603" s="305"/>
      <c r="L603" s="305"/>
      <c r="M603" s="305"/>
      <c r="N603" s="309"/>
      <c r="O603" s="305"/>
      <c r="P603" s="310"/>
      <c r="Q603" s="311"/>
      <c r="R603" s="311"/>
      <c r="S603" s="310"/>
      <c r="T603" s="310"/>
      <c r="U603" s="310"/>
      <c r="V603" s="310"/>
      <c r="W603" s="310"/>
      <c r="X603" s="305"/>
      <c r="Y603" s="305"/>
      <c r="Z603" s="305"/>
      <c r="AA603" s="305"/>
      <c r="AB603" s="305"/>
      <c r="AC603" s="305"/>
      <c r="AD603" s="306"/>
      <c r="AE603" s="307"/>
    </row>
    <row r="604" spans="1:31" ht="15" customHeight="1" x14ac:dyDescent="0.25">
      <c r="A604" s="305"/>
      <c r="B604" s="305"/>
      <c r="C604" s="305"/>
      <c r="D604" s="305"/>
      <c r="E604" s="305"/>
      <c r="F604" s="308"/>
      <c r="G604" s="305"/>
      <c r="H604" s="305"/>
      <c r="I604" s="305"/>
      <c r="J604" s="305"/>
      <c r="K604" s="305"/>
      <c r="L604" s="305"/>
      <c r="M604" s="305"/>
      <c r="N604" s="309"/>
      <c r="O604" s="305"/>
      <c r="P604" s="310"/>
      <c r="Q604" s="311"/>
      <c r="R604" s="311"/>
      <c r="S604" s="310"/>
      <c r="T604" s="310"/>
      <c r="U604" s="310"/>
      <c r="V604" s="310"/>
      <c r="W604" s="310"/>
      <c r="X604" s="305"/>
      <c r="Y604" s="305"/>
      <c r="Z604" s="305"/>
      <c r="AA604" s="305"/>
      <c r="AB604" s="305"/>
      <c r="AC604" s="305"/>
      <c r="AD604" s="306"/>
      <c r="AE604" s="307"/>
    </row>
    <row r="605" spans="1:31" ht="15" customHeight="1" x14ac:dyDescent="0.25">
      <c r="A605" s="305"/>
      <c r="B605" s="305"/>
      <c r="C605" s="305"/>
      <c r="D605" s="305"/>
      <c r="E605" s="305"/>
      <c r="F605" s="308"/>
      <c r="G605" s="305"/>
      <c r="H605" s="305"/>
      <c r="I605" s="305"/>
      <c r="J605" s="305"/>
      <c r="K605" s="305"/>
      <c r="L605" s="305"/>
      <c r="M605" s="305"/>
      <c r="N605" s="309"/>
      <c r="O605" s="305"/>
      <c r="P605" s="310"/>
      <c r="Q605" s="311"/>
      <c r="R605" s="311"/>
      <c r="S605" s="310"/>
      <c r="T605" s="310"/>
      <c r="U605" s="310"/>
      <c r="V605" s="310"/>
      <c r="W605" s="310"/>
      <c r="X605" s="305"/>
      <c r="Y605" s="305"/>
      <c r="Z605" s="305"/>
      <c r="AA605" s="305"/>
      <c r="AB605" s="305"/>
      <c r="AC605" s="305"/>
      <c r="AD605" s="306"/>
      <c r="AE605" s="307"/>
    </row>
    <row r="606" spans="1:31" ht="15" customHeight="1" x14ac:dyDescent="0.25">
      <c r="A606" s="305"/>
      <c r="B606" s="305"/>
      <c r="C606" s="305"/>
      <c r="D606" s="305"/>
      <c r="E606" s="305"/>
      <c r="F606" s="308"/>
      <c r="G606" s="305"/>
      <c r="H606" s="305"/>
      <c r="I606" s="305"/>
      <c r="J606" s="305"/>
      <c r="K606" s="305"/>
      <c r="L606" s="305"/>
      <c r="M606" s="305"/>
      <c r="N606" s="309"/>
      <c r="O606" s="305"/>
      <c r="P606" s="310"/>
      <c r="Q606" s="311"/>
      <c r="R606" s="311"/>
      <c r="S606" s="310"/>
      <c r="T606" s="310"/>
      <c r="U606" s="310"/>
      <c r="V606" s="310"/>
      <c r="W606" s="310"/>
      <c r="X606" s="305"/>
      <c r="Y606" s="305"/>
      <c r="Z606" s="305"/>
      <c r="AA606" s="305"/>
      <c r="AB606" s="305"/>
      <c r="AC606" s="305"/>
      <c r="AD606" s="306"/>
      <c r="AE606" s="307"/>
    </row>
    <row r="607" spans="1:31" ht="15" customHeight="1" x14ac:dyDescent="0.25">
      <c r="A607" s="305"/>
      <c r="B607" s="305"/>
      <c r="C607" s="305"/>
      <c r="D607" s="305"/>
      <c r="E607" s="305"/>
      <c r="F607" s="308"/>
      <c r="G607" s="305"/>
      <c r="H607" s="305"/>
      <c r="I607" s="305"/>
      <c r="J607" s="305"/>
      <c r="K607" s="305"/>
      <c r="L607" s="305"/>
      <c r="M607" s="305"/>
      <c r="N607" s="309"/>
      <c r="O607" s="305"/>
      <c r="P607" s="310"/>
      <c r="Q607" s="311"/>
      <c r="R607" s="311"/>
      <c r="S607" s="310"/>
      <c r="T607" s="310"/>
      <c r="U607" s="310"/>
      <c r="V607" s="310"/>
      <c r="W607" s="310"/>
      <c r="X607" s="305"/>
      <c r="Y607" s="305"/>
      <c r="Z607" s="305"/>
      <c r="AA607" s="305"/>
      <c r="AB607" s="305"/>
      <c r="AC607" s="305"/>
      <c r="AD607" s="306"/>
      <c r="AE607" s="307"/>
    </row>
    <row r="608" spans="1:31" ht="15" customHeight="1" x14ac:dyDescent="0.25">
      <c r="A608" s="305"/>
      <c r="B608" s="305"/>
      <c r="C608" s="305"/>
      <c r="D608" s="305"/>
      <c r="E608" s="305"/>
      <c r="F608" s="308"/>
      <c r="G608" s="305"/>
      <c r="H608" s="305"/>
      <c r="I608" s="305"/>
      <c r="J608" s="305"/>
      <c r="K608" s="305"/>
      <c r="L608" s="305"/>
      <c r="M608" s="305"/>
      <c r="N608" s="309"/>
      <c r="O608" s="305"/>
      <c r="P608" s="310"/>
      <c r="Q608" s="311"/>
      <c r="R608" s="311"/>
      <c r="S608" s="310"/>
      <c r="T608" s="310"/>
      <c r="U608" s="310"/>
      <c r="V608" s="310"/>
      <c r="W608" s="310"/>
      <c r="X608" s="305"/>
      <c r="Y608" s="305"/>
      <c r="Z608" s="305"/>
      <c r="AA608" s="305"/>
      <c r="AB608" s="305"/>
      <c r="AC608" s="305"/>
      <c r="AD608" s="306"/>
      <c r="AE608" s="307"/>
    </row>
    <row r="609" spans="1:31" ht="15" customHeight="1" x14ac:dyDescent="0.25">
      <c r="A609" s="305"/>
      <c r="B609" s="305"/>
      <c r="C609" s="305"/>
      <c r="D609" s="305"/>
      <c r="E609" s="305"/>
      <c r="F609" s="308"/>
      <c r="G609" s="305"/>
      <c r="H609" s="305"/>
      <c r="I609" s="305"/>
      <c r="J609" s="305"/>
      <c r="K609" s="305"/>
      <c r="L609" s="305"/>
      <c r="M609" s="305"/>
      <c r="N609" s="309"/>
      <c r="O609" s="305"/>
      <c r="P609" s="310"/>
      <c r="Q609" s="311"/>
      <c r="R609" s="311"/>
      <c r="S609" s="310"/>
      <c r="T609" s="310"/>
      <c r="U609" s="310"/>
      <c r="V609" s="310"/>
      <c r="W609" s="310"/>
      <c r="X609" s="305"/>
      <c r="Y609" s="305"/>
      <c r="Z609" s="305"/>
      <c r="AA609" s="305"/>
      <c r="AB609" s="305"/>
      <c r="AC609" s="305"/>
      <c r="AD609" s="306"/>
      <c r="AE609" s="307"/>
    </row>
    <row r="610" spans="1:31" ht="15" customHeight="1" x14ac:dyDescent="0.25">
      <c r="A610" s="305"/>
      <c r="B610" s="305"/>
      <c r="C610" s="305"/>
      <c r="D610" s="305"/>
      <c r="E610" s="305"/>
      <c r="F610" s="308"/>
      <c r="G610" s="305"/>
      <c r="H610" s="305"/>
      <c r="I610" s="305"/>
      <c r="J610" s="305"/>
      <c r="K610" s="305"/>
      <c r="L610" s="305"/>
      <c r="M610" s="305"/>
      <c r="N610" s="309"/>
      <c r="O610" s="305"/>
      <c r="P610" s="310"/>
      <c r="Q610" s="311"/>
      <c r="R610" s="311"/>
      <c r="S610" s="310"/>
      <c r="T610" s="310"/>
      <c r="U610" s="310"/>
      <c r="V610" s="310"/>
      <c r="W610" s="310"/>
      <c r="X610" s="305"/>
      <c r="Y610" s="305"/>
      <c r="Z610" s="305"/>
      <c r="AA610" s="305"/>
      <c r="AB610" s="305"/>
      <c r="AC610" s="305"/>
      <c r="AD610" s="306"/>
      <c r="AE610" s="307"/>
    </row>
    <row r="611" spans="1:31" ht="15" customHeight="1" x14ac:dyDescent="0.25">
      <c r="A611" s="305"/>
      <c r="B611" s="305"/>
      <c r="C611" s="305"/>
      <c r="D611" s="305"/>
      <c r="E611" s="305"/>
      <c r="F611" s="308"/>
      <c r="G611" s="305"/>
      <c r="H611" s="305"/>
      <c r="I611" s="305"/>
      <c r="J611" s="305"/>
      <c r="K611" s="305"/>
      <c r="L611" s="305"/>
      <c r="M611" s="305"/>
      <c r="N611" s="309"/>
      <c r="O611" s="305"/>
      <c r="P611" s="310"/>
      <c r="Q611" s="311"/>
      <c r="R611" s="311"/>
      <c r="S611" s="310"/>
      <c r="T611" s="310"/>
      <c r="U611" s="310"/>
      <c r="V611" s="310"/>
      <c r="W611" s="310"/>
      <c r="X611" s="305"/>
      <c r="Y611" s="305"/>
      <c r="Z611" s="305"/>
      <c r="AA611" s="305"/>
      <c r="AB611" s="305"/>
      <c r="AC611" s="305"/>
      <c r="AD611" s="306"/>
      <c r="AE611" s="307"/>
    </row>
    <row r="612" spans="1:31" ht="15" customHeight="1" x14ac:dyDescent="0.25">
      <c r="A612" s="305"/>
      <c r="B612" s="305"/>
      <c r="C612" s="305"/>
      <c r="D612" s="305"/>
      <c r="E612" s="305"/>
      <c r="F612" s="308"/>
      <c r="G612" s="305"/>
      <c r="H612" s="305"/>
      <c r="I612" s="305"/>
      <c r="J612" s="305"/>
      <c r="K612" s="305"/>
      <c r="L612" s="305"/>
      <c r="M612" s="305"/>
      <c r="N612" s="309"/>
      <c r="O612" s="305"/>
      <c r="P612" s="310"/>
      <c r="Q612" s="311"/>
      <c r="R612" s="311"/>
      <c r="S612" s="310"/>
      <c r="T612" s="310"/>
      <c r="U612" s="310"/>
      <c r="V612" s="310"/>
      <c r="W612" s="310"/>
      <c r="X612" s="305"/>
      <c r="Y612" s="305"/>
      <c r="Z612" s="305"/>
      <c r="AA612" s="305"/>
      <c r="AB612" s="305"/>
      <c r="AC612" s="305"/>
      <c r="AD612" s="306"/>
      <c r="AE612" s="307"/>
    </row>
    <row r="613" spans="1:31" ht="15" customHeight="1" x14ac:dyDescent="0.25">
      <c r="A613" s="305"/>
      <c r="B613" s="305"/>
      <c r="C613" s="305"/>
      <c r="D613" s="305"/>
      <c r="E613" s="305"/>
      <c r="F613" s="308"/>
      <c r="G613" s="305"/>
      <c r="H613" s="305"/>
      <c r="I613" s="305"/>
      <c r="J613" s="305"/>
      <c r="K613" s="305"/>
      <c r="L613" s="305"/>
      <c r="M613" s="305"/>
      <c r="N613" s="309"/>
      <c r="O613" s="305"/>
      <c r="P613" s="310"/>
      <c r="Q613" s="311"/>
      <c r="R613" s="311"/>
      <c r="S613" s="310"/>
      <c r="T613" s="310"/>
      <c r="U613" s="310"/>
      <c r="V613" s="310"/>
      <c r="W613" s="310"/>
      <c r="X613" s="305"/>
      <c r="Y613" s="305"/>
      <c r="Z613" s="305"/>
      <c r="AA613" s="305"/>
      <c r="AB613" s="305"/>
      <c r="AC613" s="305"/>
      <c r="AD613" s="306"/>
      <c r="AE613" s="307"/>
    </row>
    <row r="614" spans="1:31" ht="15" customHeight="1" x14ac:dyDescent="0.25">
      <c r="A614" s="305"/>
      <c r="B614" s="305"/>
      <c r="C614" s="305"/>
      <c r="D614" s="305"/>
      <c r="E614" s="305"/>
      <c r="F614" s="308"/>
      <c r="G614" s="305"/>
      <c r="H614" s="305"/>
      <c r="I614" s="305"/>
      <c r="J614" s="305"/>
      <c r="K614" s="305"/>
      <c r="L614" s="305"/>
      <c r="M614" s="305"/>
      <c r="N614" s="309"/>
      <c r="O614" s="305"/>
      <c r="P614" s="310"/>
      <c r="Q614" s="311"/>
      <c r="R614" s="311"/>
      <c r="S614" s="310"/>
      <c r="T614" s="310"/>
      <c r="U614" s="310"/>
      <c r="V614" s="310"/>
      <c r="W614" s="310"/>
      <c r="X614" s="305"/>
      <c r="Y614" s="305"/>
      <c r="Z614" s="305"/>
      <c r="AA614" s="305"/>
      <c r="AB614" s="305"/>
      <c r="AC614" s="305"/>
      <c r="AD614" s="306"/>
      <c r="AE614" s="307"/>
    </row>
    <row r="615" spans="1:31" ht="15" customHeight="1" x14ac:dyDescent="0.25">
      <c r="A615" s="305"/>
      <c r="B615" s="305"/>
      <c r="C615" s="305"/>
      <c r="D615" s="305"/>
      <c r="E615" s="305"/>
      <c r="F615" s="308"/>
      <c r="G615" s="305"/>
      <c r="H615" s="305"/>
      <c r="I615" s="305"/>
      <c r="J615" s="305"/>
      <c r="K615" s="305"/>
      <c r="L615" s="305"/>
      <c r="M615" s="305"/>
      <c r="N615" s="309"/>
      <c r="O615" s="305"/>
      <c r="P615" s="310"/>
      <c r="Q615" s="311"/>
      <c r="R615" s="311"/>
      <c r="S615" s="310"/>
      <c r="T615" s="310"/>
      <c r="U615" s="310"/>
      <c r="V615" s="310"/>
      <c r="W615" s="310"/>
      <c r="X615" s="305"/>
      <c r="Y615" s="305"/>
      <c r="Z615" s="305"/>
      <c r="AA615" s="305"/>
      <c r="AB615" s="305"/>
      <c r="AC615" s="305"/>
      <c r="AD615" s="306"/>
      <c r="AE615" s="307"/>
    </row>
    <row r="616" spans="1:31" ht="15" customHeight="1" x14ac:dyDescent="0.25">
      <c r="A616" s="305"/>
      <c r="B616" s="305"/>
      <c r="C616" s="305"/>
      <c r="D616" s="305"/>
      <c r="E616" s="305"/>
      <c r="F616" s="308"/>
      <c r="G616" s="305"/>
      <c r="H616" s="305"/>
      <c r="I616" s="305"/>
      <c r="J616" s="305"/>
      <c r="K616" s="305"/>
      <c r="L616" s="305"/>
      <c r="M616" s="305"/>
      <c r="N616" s="309"/>
      <c r="O616" s="305"/>
      <c r="P616" s="310"/>
      <c r="Q616" s="311"/>
      <c r="R616" s="311"/>
      <c r="S616" s="310"/>
      <c r="T616" s="310"/>
      <c r="U616" s="310"/>
      <c r="V616" s="310"/>
      <c r="W616" s="310"/>
      <c r="X616" s="305"/>
      <c r="Y616" s="305"/>
      <c r="Z616" s="305"/>
      <c r="AA616" s="305"/>
      <c r="AB616" s="305"/>
      <c r="AC616" s="305"/>
      <c r="AD616" s="306"/>
      <c r="AE616" s="307"/>
    </row>
    <row r="617" spans="1:31" ht="15" customHeight="1" x14ac:dyDescent="0.25">
      <c r="A617" s="305"/>
      <c r="B617" s="305"/>
      <c r="C617" s="305"/>
      <c r="D617" s="305"/>
      <c r="E617" s="305"/>
      <c r="F617" s="308"/>
      <c r="G617" s="305"/>
      <c r="H617" s="305"/>
      <c r="I617" s="305"/>
      <c r="J617" s="305"/>
      <c r="K617" s="305"/>
      <c r="L617" s="305"/>
      <c r="M617" s="305"/>
      <c r="N617" s="309"/>
      <c r="O617" s="305"/>
      <c r="P617" s="310"/>
      <c r="Q617" s="311"/>
      <c r="R617" s="311"/>
      <c r="S617" s="310"/>
      <c r="T617" s="310"/>
      <c r="U617" s="310"/>
      <c r="V617" s="310"/>
      <c r="W617" s="310"/>
      <c r="X617" s="305"/>
      <c r="Y617" s="305"/>
      <c r="Z617" s="305"/>
      <c r="AA617" s="305"/>
      <c r="AB617" s="305"/>
      <c r="AC617" s="305"/>
      <c r="AD617" s="306"/>
      <c r="AE617" s="307"/>
    </row>
    <row r="618" spans="1:31" ht="15" customHeight="1" x14ac:dyDescent="0.25">
      <c r="A618" s="305"/>
      <c r="B618" s="305"/>
      <c r="C618" s="305"/>
      <c r="D618" s="305"/>
      <c r="E618" s="305"/>
      <c r="F618" s="308"/>
      <c r="G618" s="305"/>
      <c r="H618" s="305"/>
      <c r="I618" s="305"/>
      <c r="J618" s="305"/>
      <c r="K618" s="305"/>
      <c r="L618" s="305"/>
      <c r="M618" s="305"/>
      <c r="N618" s="309"/>
      <c r="O618" s="305"/>
      <c r="P618" s="310"/>
      <c r="Q618" s="311"/>
      <c r="R618" s="311"/>
      <c r="S618" s="310"/>
      <c r="T618" s="310"/>
      <c r="U618" s="310"/>
      <c r="V618" s="310"/>
      <c r="W618" s="310"/>
      <c r="X618" s="305"/>
      <c r="Y618" s="305"/>
      <c r="Z618" s="305"/>
      <c r="AA618" s="305"/>
      <c r="AB618" s="305"/>
      <c r="AC618" s="305"/>
      <c r="AD618" s="306"/>
      <c r="AE618" s="307"/>
    </row>
    <row r="619" spans="1:31" ht="15" customHeight="1" x14ac:dyDescent="0.25">
      <c r="A619" s="305"/>
      <c r="B619" s="305"/>
      <c r="C619" s="305"/>
      <c r="D619" s="305"/>
      <c r="E619" s="305"/>
      <c r="F619" s="308"/>
      <c r="G619" s="305"/>
      <c r="H619" s="305"/>
      <c r="I619" s="305"/>
      <c r="J619" s="305"/>
      <c r="K619" s="305"/>
      <c r="L619" s="305"/>
      <c r="M619" s="305"/>
      <c r="N619" s="309"/>
      <c r="O619" s="305"/>
      <c r="P619" s="310"/>
      <c r="Q619" s="311"/>
      <c r="R619" s="311"/>
      <c r="S619" s="310"/>
      <c r="T619" s="310"/>
      <c r="U619" s="310"/>
      <c r="V619" s="310"/>
      <c r="W619" s="310"/>
      <c r="X619" s="305"/>
      <c r="Y619" s="305"/>
      <c r="Z619" s="305"/>
      <c r="AA619" s="305"/>
      <c r="AB619" s="305"/>
      <c r="AC619" s="305"/>
      <c r="AD619" s="306"/>
      <c r="AE619" s="307"/>
    </row>
    <row r="620" spans="1:31" ht="15" customHeight="1" x14ac:dyDescent="0.25">
      <c r="A620" s="305"/>
      <c r="B620" s="305"/>
      <c r="C620" s="305"/>
      <c r="D620" s="305"/>
      <c r="E620" s="305"/>
      <c r="F620" s="308"/>
      <c r="G620" s="305"/>
      <c r="H620" s="305"/>
      <c r="I620" s="305"/>
      <c r="J620" s="305"/>
      <c r="K620" s="305"/>
      <c r="L620" s="305"/>
      <c r="M620" s="305"/>
      <c r="N620" s="309"/>
      <c r="O620" s="305"/>
      <c r="P620" s="310"/>
      <c r="Q620" s="311"/>
      <c r="R620" s="311"/>
      <c r="S620" s="310"/>
      <c r="T620" s="310"/>
      <c r="U620" s="310"/>
      <c r="V620" s="310"/>
      <c r="W620" s="310"/>
      <c r="X620" s="305"/>
      <c r="Y620" s="305"/>
      <c r="Z620" s="305"/>
      <c r="AA620" s="305"/>
      <c r="AB620" s="305"/>
      <c r="AC620" s="305"/>
      <c r="AD620" s="306"/>
      <c r="AE620" s="307"/>
    </row>
    <row r="621" spans="1:31" ht="15" customHeight="1" x14ac:dyDescent="0.25">
      <c r="A621" s="305"/>
      <c r="B621" s="305"/>
      <c r="C621" s="305"/>
      <c r="D621" s="305"/>
      <c r="E621" s="305"/>
      <c r="F621" s="308"/>
      <c r="G621" s="305"/>
      <c r="H621" s="305"/>
      <c r="I621" s="305"/>
      <c r="J621" s="305"/>
      <c r="K621" s="305"/>
      <c r="L621" s="305"/>
      <c r="M621" s="305"/>
      <c r="N621" s="309"/>
      <c r="O621" s="305"/>
      <c r="P621" s="310"/>
      <c r="Q621" s="311"/>
      <c r="R621" s="311"/>
      <c r="S621" s="310"/>
      <c r="T621" s="310"/>
      <c r="U621" s="310"/>
      <c r="V621" s="310"/>
      <c r="W621" s="310"/>
      <c r="X621" s="305"/>
      <c r="Y621" s="305"/>
      <c r="Z621" s="305"/>
      <c r="AA621" s="305"/>
      <c r="AB621" s="305"/>
      <c r="AC621" s="305"/>
      <c r="AD621" s="306"/>
      <c r="AE621" s="307"/>
    </row>
    <row r="622" spans="1:31" ht="15" customHeight="1" x14ac:dyDescent="0.25">
      <c r="A622" s="305"/>
      <c r="B622" s="305"/>
      <c r="C622" s="305"/>
      <c r="D622" s="305"/>
      <c r="E622" s="305"/>
      <c r="F622" s="308"/>
      <c r="G622" s="305"/>
      <c r="H622" s="305"/>
      <c r="I622" s="305"/>
      <c r="J622" s="305"/>
      <c r="K622" s="305"/>
      <c r="L622" s="305"/>
      <c r="M622" s="305"/>
      <c r="N622" s="309"/>
      <c r="O622" s="305"/>
      <c r="P622" s="310"/>
      <c r="Q622" s="311"/>
      <c r="R622" s="311"/>
      <c r="S622" s="310"/>
      <c r="T622" s="310"/>
      <c r="U622" s="310"/>
      <c r="V622" s="310"/>
      <c r="W622" s="310"/>
      <c r="X622" s="305"/>
      <c r="Y622" s="305"/>
      <c r="Z622" s="305"/>
      <c r="AA622" s="305"/>
      <c r="AB622" s="305"/>
      <c r="AC622" s="305"/>
      <c r="AD622" s="306"/>
      <c r="AE622" s="307"/>
    </row>
    <row r="623" spans="1:31" ht="15" customHeight="1" x14ac:dyDescent="0.25">
      <c r="A623" s="305"/>
      <c r="B623" s="305"/>
      <c r="C623" s="305"/>
      <c r="D623" s="305"/>
      <c r="E623" s="305"/>
      <c r="F623" s="308"/>
      <c r="G623" s="305"/>
      <c r="H623" s="305"/>
      <c r="I623" s="305"/>
      <c r="J623" s="305"/>
      <c r="K623" s="305"/>
      <c r="L623" s="305"/>
      <c r="M623" s="305"/>
      <c r="N623" s="309"/>
      <c r="O623" s="305"/>
      <c r="P623" s="310"/>
      <c r="Q623" s="311"/>
      <c r="R623" s="311"/>
      <c r="S623" s="310"/>
      <c r="T623" s="310"/>
      <c r="U623" s="310"/>
      <c r="V623" s="310"/>
      <c r="W623" s="310"/>
      <c r="X623" s="305"/>
      <c r="Y623" s="305"/>
      <c r="Z623" s="305"/>
      <c r="AA623" s="305"/>
      <c r="AB623" s="305"/>
      <c r="AC623" s="305"/>
      <c r="AD623" s="306"/>
      <c r="AE623" s="307"/>
    </row>
    <row r="624" spans="1:31" ht="15" customHeight="1" x14ac:dyDescent="0.25">
      <c r="A624" s="305"/>
      <c r="B624" s="305"/>
      <c r="C624" s="305"/>
      <c r="D624" s="305"/>
      <c r="E624" s="305"/>
      <c r="F624" s="308"/>
      <c r="G624" s="305"/>
      <c r="H624" s="305"/>
      <c r="I624" s="305"/>
      <c r="J624" s="305"/>
      <c r="K624" s="305"/>
      <c r="L624" s="305"/>
      <c r="M624" s="305"/>
      <c r="N624" s="309"/>
      <c r="O624" s="305"/>
      <c r="P624" s="310"/>
      <c r="Q624" s="311"/>
      <c r="R624" s="311"/>
      <c r="S624" s="310"/>
      <c r="T624" s="310"/>
      <c r="U624" s="310"/>
      <c r="V624" s="310"/>
      <c r="W624" s="310"/>
      <c r="X624" s="305"/>
      <c r="Y624" s="305"/>
      <c r="Z624" s="305"/>
      <c r="AA624" s="305"/>
      <c r="AB624" s="305"/>
      <c r="AC624" s="305"/>
      <c r="AD624" s="306"/>
      <c r="AE624" s="307"/>
    </row>
    <row r="625" spans="1:31" ht="15" customHeight="1" x14ac:dyDescent="0.25">
      <c r="A625" s="305"/>
      <c r="B625" s="305"/>
      <c r="C625" s="305"/>
      <c r="D625" s="305"/>
      <c r="E625" s="305"/>
      <c r="F625" s="308"/>
      <c r="G625" s="305"/>
      <c r="H625" s="305"/>
      <c r="I625" s="305"/>
      <c r="J625" s="305"/>
      <c r="K625" s="305"/>
      <c r="L625" s="305"/>
      <c r="M625" s="305"/>
      <c r="N625" s="309"/>
      <c r="O625" s="305"/>
      <c r="P625" s="310"/>
      <c r="Q625" s="311"/>
      <c r="R625" s="311"/>
      <c r="S625" s="310"/>
      <c r="T625" s="310"/>
      <c r="U625" s="310"/>
      <c r="V625" s="310"/>
      <c r="W625" s="310"/>
      <c r="X625" s="305"/>
      <c r="Y625" s="305"/>
      <c r="Z625" s="305"/>
      <c r="AA625" s="305"/>
      <c r="AB625" s="305"/>
      <c r="AC625" s="305"/>
      <c r="AD625" s="306"/>
      <c r="AE625" s="307"/>
    </row>
    <row r="626" spans="1:31" ht="15" customHeight="1" x14ac:dyDescent="0.25">
      <c r="A626" s="305"/>
      <c r="B626" s="305"/>
      <c r="C626" s="305"/>
      <c r="D626" s="305"/>
      <c r="E626" s="305"/>
      <c r="F626" s="308"/>
      <c r="G626" s="305"/>
      <c r="H626" s="305"/>
      <c r="I626" s="305"/>
      <c r="J626" s="305"/>
      <c r="K626" s="305"/>
      <c r="L626" s="305"/>
      <c r="M626" s="305"/>
      <c r="N626" s="309"/>
      <c r="O626" s="305"/>
      <c r="P626" s="310"/>
      <c r="Q626" s="311"/>
      <c r="R626" s="311"/>
      <c r="S626" s="310"/>
      <c r="T626" s="310"/>
      <c r="U626" s="310"/>
      <c r="V626" s="310"/>
      <c r="W626" s="310"/>
      <c r="X626" s="305"/>
      <c r="Y626" s="305"/>
      <c r="Z626" s="305"/>
      <c r="AA626" s="305"/>
      <c r="AB626" s="305"/>
      <c r="AC626" s="305"/>
      <c r="AD626" s="306"/>
      <c r="AE626" s="307"/>
    </row>
    <row r="627" spans="1:31" ht="15" customHeight="1" x14ac:dyDescent="0.25">
      <c r="A627" s="305"/>
      <c r="B627" s="305"/>
      <c r="C627" s="305"/>
      <c r="D627" s="305"/>
      <c r="E627" s="305"/>
      <c r="F627" s="308"/>
      <c r="G627" s="305"/>
      <c r="H627" s="305"/>
      <c r="I627" s="305"/>
      <c r="J627" s="305"/>
      <c r="K627" s="305"/>
      <c r="L627" s="305"/>
      <c r="M627" s="305"/>
      <c r="N627" s="309"/>
      <c r="O627" s="305"/>
      <c r="P627" s="310"/>
      <c r="Q627" s="311"/>
      <c r="R627" s="311"/>
      <c r="S627" s="310"/>
      <c r="T627" s="310"/>
      <c r="U627" s="310"/>
      <c r="V627" s="310"/>
      <c r="W627" s="310"/>
      <c r="X627" s="305"/>
      <c r="Y627" s="305"/>
      <c r="Z627" s="305"/>
      <c r="AA627" s="305"/>
      <c r="AB627" s="305"/>
      <c r="AC627" s="305"/>
      <c r="AD627" s="306"/>
      <c r="AE627" s="307"/>
    </row>
    <row r="628" spans="1:31" ht="15" customHeight="1" x14ac:dyDescent="0.25">
      <c r="A628" s="305"/>
      <c r="B628" s="305"/>
      <c r="C628" s="305"/>
      <c r="D628" s="305"/>
      <c r="E628" s="305"/>
      <c r="F628" s="308"/>
      <c r="G628" s="305"/>
      <c r="H628" s="305"/>
      <c r="I628" s="305"/>
      <c r="J628" s="305"/>
      <c r="K628" s="305"/>
      <c r="L628" s="305"/>
      <c r="M628" s="305"/>
      <c r="N628" s="309"/>
      <c r="O628" s="305"/>
      <c r="P628" s="310"/>
      <c r="Q628" s="311"/>
      <c r="R628" s="311"/>
      <c r="S628" s="310"/>
      <c r="T628" s="310"/>
      <c r="U628" s="310"/>
      <c r="V628" s="310"/>
      <c r="W628" s="310"/>
      <c r="X628" s="305"/>
      <c r="Y628" s="305"/>
      <c r="Z628" s="305"/>
      <c r="AA628" s="305"/>
      <c r="AB628" s="305"/>
      <c r="AC628" s="305"/>
      <c r="AD628" s="306"/>
      <c r="AE628" s="307"/>
    </row>
    <row r="629" spans="1:31" ht="15" customHeight="1" x14ac:dyDescent="0.25">
      <c r="A629" s="305"/>
      <c r="B629" s="305"/>
      <c r="C629" s="305"/>
      <c r="D629" s="305"/>
      <c r="E629" s="305"/>
      <c r="F629" s="308"/>
      <c r="G629" s="305"/>
      <c r="H629" s="305"/>
      <c r="I629" s="305"/>
      <c r="J629" s="305"/>
      <c r="K629" s="305"/>
      <c r="L629" s="305"/>
      <c r="M629" s="305"/>
      <c r="N629" s="309"/>
      <c r="O629" s="305"/>
      <c r="P629" s="310"/>
      <c r="Q629" s="311"/>
      <c r="R629" s="311"/>
      <c r="S629" s="310"/>
      <c r="T629" s="310"/>
      <c r="U629" s="310"/>
      <c r="V629" s="310"/>
      <c r="W629" s="310"/>
      <c r="X629" s="305"/>
      <c r="Y629" s="305"/>
      <c r="Z629" s="305"/>
      <c r="AA629" s="305"/>
      <c r="AB629" s="305"/>
      <c r="AC629" s="305"/>
      <c r="AD629" s="306"/>
      <c r="AE629" s="307"/>
    </row>
    <row r="630" spans="1:31" ht="15" customHeight="1" x14ac:dyDescent="0.25">
      <c r="A630" s="305"/>
      <c r="B630" s="305"/>
      <c r="C630" s="305"/>
      <c r="D630" s="305"/>
      <c r="E630" s="305"/>
      <c r="F630" s="308"/>
      <c r="G630" s="305"/>
      <c r="H630" s="305"/>
      <c r="I630" s="305"/>
      <c r="J630" s="305"/>
      <c r="K630" s="305"/>
      <c r="L630" s="305"/>
      <c r="M630" s="305"/>
      <c r="N630" s="309"/>
      <c r="O630" s="305"/>
      <c r="P630" s="310"/>
      <c r="Q630" s="311"/>
      <c r="R630" s="311"/>
      <c r="S630" s="310"/>
      <c r="T630" s="310"/>
      <c r="U630" s="310"/>
      <c r="V630" s="310"/>
      <c r="W630" s="310"/>
      <c r="X630" s="305"/>
      <c r="Y630" s="305"/>
      <c r="Z630" s="305"/>
      <c r="AA630" s="305"/>
      <c r="AB630" s="305"/>
      <c r="AC630" s="305"/>
      <c r="AD630" s="306"/>
      <c r="AE630" s="307"/>
    </row>
    <row r="631" spans="1:31" ht="15" customHeight="1" x14ac:dyDescent="0.25">
      <c r="A631" s="305"/>
      <c r="B631" s="305"/>
      <c r="C631" s="305"/>
      <c r="D631" s="305"/>
      <c r="E631" s="305"/>
      <c r="F631" s="308"/>
      <c r="G631" s="305"/>
      <c r="H631" s="305"/>
      <c r="I631" s="305"/>
      <c r="J631" s="305"/>
      <c r="K631" s="305"/>
      <c r="L631" s="305"/>
      <c r="M631" s="305"/>
      <c r="N631" s="309"/>
      <c r="O631" s="305"/>
      <c r="P631" s="310"/>
      <c r="Q631" s="311"/>
      <c r="R631" s="311"/>
      <c r="S631" s="310"/>
      <c r="T631" s="310"/>
      <c r="U631" s="310"/>
      <c r="V631" s="310"/>
      <c r="W631" s="310"/>
      <c r="X631" s="305"/>
      <c r="Y631" s="305"/>
      <c r="Z631" s="305"/>
      <c r="AA631" s="305"/>
      <c r="AB631" s="305"/>
      <c r="AC631" s="305"/>
      <c r="AD631" s="306"/>
      <c r="AE631" s="307"/>
    </row>
    <row r="632" spans="1:31" ht="15" customHeight="1" x14ac:dyDescent="0.25">
      <c r="A632" s="305"/>
      <c r="B632" s="305"/>
      <c r="C632" s="305"/>
      <c r="D632" s="305"/>
      <c r="E632" s="305"/>
      <c r="F632" s="308"/>
      <c r="G632" s="305"/>
      <c r="H632" s="305"/>
      <c r="I632" s="305"/>
      <c r="J632" s="305"/>
      <c r="K632" s="305"/>
      <c r="L632" s="305"/>
      <c r="M632" s="305"/>
      <c r="N632" s="309"/>
      <c r="O632" s="305"/>
      <c r="P632" s="310"/>
      <c r="Q632" s="311"/>
      <c r="R632" s="311"/>
      <c r="S632" s="310"/>
      <c r="T632" s="310"/>
      <c r="U632" s="310"/>
      <c r="V632" s="310"/>
      <c r="W632" s="310"/>
      <c r="X632" s="305"/>
      <c r="Y632" s="305"/>
      <c r="Z632" s="305"/>
      <c r="AA632" s="305"/>
      <c r="AB632" s="305"/>
      <c r="AC632" s="305"/>
      <c r="AD632" s="306"/>
      <c r="AE632" s="307"/>
    </row>
    <row r="633" spans="1:31" ht="15" customHeight="1" x14ac:dyDescent="0.25">
      <c r="A633" s="305"/>
      <c r="B633" s="305"/>
      <c r="C633" s="305"/>
      <c r="D633" s="305"/>
      <c r="E633" s="305"/>
      <c r="F633" s="308"/>
      <c r="G633" s="305"/>
      <c r="H633" s="305"/>
      <c r="I633" s="305"/>
      <c r="J633" s="305"/>
      <c r="K633" s="305"/>
      <c r="L633" s="305"/>
      <c r="M633" s="305"/>
      <c r="N633" s="309"/>
      <c r="O633" s="305"/>
      <c r="P633" s="310"/>
      <c r="Q633" s="311"/>
      <c r="R633" s="311"/>
      <c r="S633" s="310"/>
      <c r="T633" s="310"/>
      <c r="U633" s="310"/>
      <c r="V633" s="310"/>
      <c r="W633" s="310"/>
      <c r="X633" s="305"/>
      <c r="Y633" s="305"/>
      <c r="Z633" s="305"/>
      <c r="AA633" s="305"/>
      <c r="AB633" s="305"/>
      <c r="AC633" s="305"/>
      <c r="AD633" s="306"/>
      <c r="AE633" s="307"/>
    </row>
    <row r="634" spans="1:31" ht="15" customHeight="1" x14ac:dyDescent="0.25">
      <c r="A634" s="305"/>
      <c r="B634" s="305"/>
      <c r="C634" s="305"/>
      <c r="D634" s="305"/>
      <c r="E634" s="305"/>
      <c r="F634" s="308"/>
      <c r="G634" s="305"/>
      <c r="H634" s="305"/>
      <c r="I634" s="305"/>
      <c r="J634" s="305"/>
      <c r="K634" s="305"/>
      <c r="L634" s="305"/>
      <c r="M634" s="305"/>
      <c r="N634" s="309"/>
      <c r="O634" s="305"/>
      <c r="P634" s="310"/>
      <c r="Q634" s="311"/>
      <c r="R634" s="311"/>
      <c r="S634" s="310"/>
      <c r="T634" s="310"/>
      <c r="U634" s="310"/>
      <c r="V634" s="310"/>
      <c r="W634" s="310"/>
      <c r="X634" s="305"/>
      <c r="Y634" s="305"/>
      <c r="Z634" s="305"/>
      <c r="AA634" s="305"/>
      <c r="AB634" s="305"/>
      <c r="AC634" s="305"/>
      <c r="AD634" s="306"/>
      <c r="AE634" s="307"/>
    </row>
    <row r="635" spans="1:31" ht="15" customHeight="1" x14ac:dyDescent="0.25">
      <c r="A635" s="305"/>
      <c r="B635" s="305"/>
      <c r="C635" s="305"/>
      <c r="D635" s="305"/>
      <c r="E635" s="305"/>
      <c r="F635" s="308"/>
      <c r="G635" s="305"/>
      <c r="H635" s="305"/>
      <c r="I635" s="305"/>
      <c r="J635" s="305"/>
      <c r="K635" s="305"/>
      <c r="L635" s="305"/>
      <c r="M635" s="305"/>
      <c r="N635" s="309"/>
      <c r="O635" s="305"/>
      <c r="P635" s="310"/>
      <c r="Q635" s="311"/>
      <c r="R635" s="311"/>
      <c r="S635" s="310"/>
      <c r="T635" s="310"/>
      <c r="U635" s="310"/>
      <c r="V635" s="310"/>
      <c r="W635" s="310"/>
      <c r="X635" s="305"/>
      <c r="Y635" s="305"/>
      <c r="Z635" s="305"/>
      <c r="AA635" s="305"/>
      <c r="AB635" s="305"/>
      <c r="AC635" s="305"/>
      <c r="AD635" s="306"/>
      <c r="AE635" s="307"/>
    </row>
    <row r="636" spans="1:31" ht="15" customHeight="1" x14ac:dyDescent="0.25">
      <c r="A636" s="305"/>
      <c r="B636" s="305"/>
      <c r="C636" s="305"/>
      <c r="D636" s="305"/>
      <c r="E636" s="305"/>
      <c r="F636" s="308"/>
      <c r="G636" s="305"/>
      <c r="H636" s="305"/>
      <c r="I636" s="305"/>
      <c r="J636" s="305"/>
      <c r="K636" s="305"/>
      <c r="L636" s="305"/>
      <c r="M636" s="305"/>
      <c r="N636" s="309"/>
      <c r="O636" s="305"/>
      <c r="P636" s="310"/>
      <c r="Q636" s="311"/>
      <c r="R636" s="311"/>
      <c r="S636" s="310"/>
      <c r="T636" s="310"/>
      <c r="U636" s="310"/>
      <c r="V636" s="310"/>
      <c r="W636" s="310"/>
      <c r="X636" s="305"/>
      <c r="Y636" s="305"/>
      <c r="Z636" s="305"/>
      <c r="AA636" s="305"/>
      <c r="AB636" s="305"/>
      <c r="AC636" s="305"/>
      <c r="AD636" s="306"/>
      <c r="AE636" s="307"/>
    </row>
    <row r="637" spans="1:31" ht="15" customHeight="1" x14ac:dyDescent="0.25">
      <c r="A637" s="305"/>
      <c r="B637" s="305"/>
      <c r="C637" s="305"/>
      <c r="D637" s="305"/>
      <c r="E637" s="305"/>
      <c r="F637" s="308"/>
      <c r="G637" s="305"/>
      <c r="H637" s="305"/>
      <c r="I637" s="305"/>
      <c r="J637" s="305"/>
      <c r="K637" s="305"/>
      <c r="L637" s="305"/>
      <c r="M637" s="305"/>
      <c r="N637" s="309"/>
      <c r="O637" s="305"/>
      <c r="P637" s="310"/>
      <c r="Q637" s="311"/>
      <c r="R637" s="311"/>
      <c r="S637" s="310"/>
      <c r="T637" s="310"/>
      <c r="U637" s="310"/>
      <c r="V637" s="310"/>
      <c r="W637" s="310"/>
      <c r="X637" s="305"/>
      <c r="Y637" s="305"/>
      <c r="Z637" s="305"/>
      <c r="AA637" s="305"/>
      <c r="AB637" s="305"/>
      <c r="AC637" s="305"/>
      <c r="AD637" s="306"/>
      <c r="AE637" s="307"/>
    </row>
    <row r="638" spans="1:31" ht="15" customHeight="1" x14ac:dyDescent="0.25">
      <c r="A638" s="305"/>
      <c r="B638" s="305"/>
      <c r="C638" s="305"/>
      <c r="D638" s="305"/>
      <c r="E638" s="305"/>
      <c r="F638" s="308"/>
      <c r="G638" s="305"/>
      <c r="H638" s="305"/>
      <c r="I638" s="305"/>
      <c r="J638" s="305"/>
      <c r="K638" s="305"/>
      <c r="L638" s="305"/>
      <c r="M638" s="305"/>
      <c r="N638" s="309"/>
      <c r="O638" s="305"/>
      <c r="P638" s="310"/>
      <c r="Q638" s="311"/>
      <c r="R638" s="311"/>
      <c r="S638" s="310"/>
      <c r="T638" s="310"/>
      <c r="U638" s="310"/>
      <c r="V638" s="310"/>
      <c r="W638" s="310"/>
      <c r="X638" s="305"/>
      <c r="Y638" s="305"/>
      <c r="Z638" s="305"/>
      <c r="AA638" s="305"/>
      <c r="AB638" s="305"/>
      <c r="AC638" s="305"/>
      <c r="AD638" s="306"/>
      <c r="AE638" s="307"/>
    </row>
    <row r="639" spans="1:31" ht="15" customHeight="1" x14ac:dyDescent="0.25">
      <c r="A639" s="305"/>
      <c r="B639" s="305"/>
      <c r="C639" s="305"/>
      <c r="D639" s="305"/>
      <c r="E639" s="305"/>
      <c r="F639" s="308"/>
      <c r="G639" s="305"/>
      <c r="H639" s="305"/>
      <c r="I639" s="305"/>
      <c r="J639" s="305"/>
      <c r="K639" s="305"/>
      <c r="L639" s="305"/>
      <c r="M639" s="305"/>
      <c r="N639" s="309"/>
      <c r="O639" s="305"/>
      <c r="P639" s="310"/>
      <c r="Q639" s="311"/>
      <c r="R639" s="311"/>
      <c r="S639" s="310"/>
      <c r="T639" s="310"/>
      <c r="U639" s="310"/>
      <c r="V639" s="310"/>
      <c r="W639" s="310"/>
      <c r="X639" s="305"/>
      <c r="Y639" s="305"/>
      <c r="Z639" s="305"/>
      <c r="AA639" s="305"/>
      <c r="AB639" s="305"/>
      <c r="AC639" s="305"/>
      <c r="AD639" s="306"/>
      <c r="AE639" s="307"/>
    </row>
    <row r="640" spans="1:31" ht="15" customHeight="1" x14ac:dyDescent="0.25">
      <c r="A640" s="305"/>
      <c r="B640" s="305"/>
      <c r="C640" s="305"/>
      <c r="D640" s="305"/>
      <c r="E640" s="305"/>
      <c r="F640" s="308"/>
      <c r="G640" s="305"/>
      <c r="H640" s="305"/>
      <c r="I640" s="305"/>
      <c r="J640" s="305"/>
      <c r="K640" s="305"/>
      <c r="L640" s="305"/>
      <c r="M640" s="305"/>
      <c r="N640" s="309"/>
      <c r="O640" s="305"/>
      <c r="P640" s="310"/>
      <c r="Q640" s="311"/>
      <c r="R640" s="311"/>
      <c r="S640" s="310"/>
      <c r="T640" s="310"/>
      <c r="U640" s="310"/>
      <c r="V640" s="310"/>
      <c r="W640" s="310"/>
      <c r="X640" s="305"/>
      <c r="Y640" s="305"/>
      <c r="Z640" s="305"/>
      <c r="AA640" s="305"/>
      <c r="AB640" s="305"/>
      <c r="AC640" s="305"/>
      <c r="AD640" s="306"/>
      <c r="AE640" s="307"/>
    </row>
    <row r="641" spans="1:31" ht="15" customHeight="1" x14ac:dyDescent="0.25">
      <c r="A641" s="305"/>
      <c r="B641" s="305"/>
      <c r="C641" s="305"/>
      <c r="D641" s="305"/>
      <c r="E641" s="305"/>
      <c r="F641" s="308"/>
      <c r="G641" s="305"/>
      <c r="H641" s="305"/>
      <c r="I641" s="305"/>
      <c r="J641" s="305"/>
      <c r="K641" s="305"/>
      <c r="L641" s="305"/>
      <c r="M641" s="305"/>
      <c r="N641" s="309"/>
      <c r="O641" s="305"/>
      <c r="P641" s="310"/>
      <c r="Q641" s="311"/>
      <c r="R641" s="311"/>
      <c r="S641" s="310"/>
      <c r="T641" s="310"/>
      <c r="U641" s="310"/>
      <c r="V641" s="310"/>
      <c r="W641" s="310"/>
      <c r="X641" s="305"/>
      <c r="Y641" s="305"/>
      <c r="Z641" s="305"/>
      <c r="AA641" s="305"/>
      <c r="AB641" s="305"/>
      <c r="AC641" s="305"/>
      <c r="AD641" s="306"/>
      <c r="AE641" s="307"/>
    </row>
    <row r="642" spans="1:31" ht="15" customHeight="1" x14ac:dyDescent="0.25">
      <c r="A642" s="305"/>
      <c r="B642" s="305"/>
      <c r="C642" s="305"/>
      <c r="D642" s="305"/>
      <c r="E642" s="305"/>
      <c r="F642" s="308"/>
      <c r="G642" s="305"/>
      <c r="H642" s="305"/>
      <c r="I642" s="305"/>
      <c r="J642" s="305"/>
      <c r="K642" s="305"/>
      <c r="L642" s="305"/>
      <c r="M642" s="305"/>
      <c r="N642" s="309"/>
      <c r="O642" s="305"/>
      <c r="P642" s="310"/>
      <c r="Q642" s="311"/>
      <c r="R642" s="311"/>
      <c r="S642" s="310"/>
      <c r="T642" s="310"/>
      <c r="U642" s="310"/>
      <c r="V642" s="310"/>
      <c r="W642" s="310"/>
      <c r="X642" s="305"/>
      <c r="Y642" s="305"/>
      <c r="Z642" s="305"/>
      <c r="AA642" s="305"/>
      <c r="AB642" s="305"/>
      <c r="AC642" s="305"/>
      <c r="AD642" s="306"/>
      <c r="AE642" s="307"/>
    </row>
    <row r="643" spans="1:31" ht="15" customHeight="1" x14ac:dyDescent="0.25">
      <c r="A643" s="305"/>
      <c r="B643" s="305"/>
      <c r="C643" s="305"/>
      <c r="D643" s="305"/>
      <c r="E643" s="305"/>
      <c r="F643" s="308"/>
      <c r="G643" s="305"/>
      <c r="H643" s="305"/>
      <c r="I643" s="305"/>
      <c r="J643" s="305"/>
      <c r="K643" s="305"/>
      <c r="L643" s="305"/>
      <c r="M643" s="305"/>
      <c r="N643" s="309"/>
      <c r="O643" s="305"/>
      <c r="P643" s="310"/>
      <c r="Q643" s="311"/>
      <c r="R643" s="311"/>
      <c r="S643" s="310"/>
      <c r="T643" s="310"/>
      <c r="U643" s="310"/>
      <c r="V643" s="310"/>
      <c r="W643" s="310"/>
      <c r="X643" s="305"/>
      <c r="Y643" s="305"/>
      <c r="Z643" s="305"/>
      <c r="AA643" s="305"/>
      <c r="AB643" s="305"/>
      <c r="AC643" s="305"/>
      <c r="AD643" s="306"/>
      <c r="AE643" s="307"/>
    </row>
    <row r="644" spans="1:31" ht="15" customHeight="1" x14ac:dyDescent="0.25">
      <c r="A644" s="305"/>
      <c r="B644" s="305"/>
      <c r="C644" s="305"/>
      <c r="D644" s="305"/>
      <c r="E644" s="305"/>
      <c r="F644" s="308"/>
      <c r="G644" s="305"/>
      <c r="H644" s="305"/>
      <c r="I644" s="305"/>
      <c r="J644" s="305"/>
      <c r="K644" s="305"/>
      <c r="L644" s="305"/>
      <c r="M644" s="305"/>
      <c r="N644" s="309"/>
      <c r="O644" s="305"/>
      <c r="P644" s="310"/>
      <c r="Q644" s="311"/>
      <c r="R644" s="311"/>
      <c r="S644" s="310"/>
      <c r="T644" s="310"/>
      <c r="U644" s="310"/>
      <c r="V644" s="310"/>
      <c r="W644" s="310"/>
      <c r="X644" s="305"/>
      <c r="Y644" s="305"/>
      <c r="Z644" s="305"/>
      <c r="AA644" s="305"/>
      <c r="AB644" s="305"/>
      <c r="AC644" s="305"/>
      <c r="AD644" s="306"/>
      <c r="AE644" s="307"/>
    </row>
    <row r="645" spans="1:31" ht="15" customHeight="1" x14ac:dyDescent="0.25">
      <c r="A645" s="305"/>
      <c r="B645" s="305"/>
      <c r="C645" s="305"/>
      <c r="D645" s="305"/>
      <c r="E645" s="305"/>
      <c r="F645" s="308"/>
      <c r="G645" s="305"/>
      <c r="H645" s="305"/>
      <c r="I645" s="305"/>
      <c r="J645" s="305"/>
      <c r="K645" s="305"/>
      <c r="L645" s="305"/>
      <c r="M645" s="305"/>
      <c r="N645" s="309"/>
      <c r="O645" s="305"/>
      <c r="P645" s="310"/>
      <c r="Q645" s="311"/>
      <c r="R645" s="311"/>
      <c r="S645" s="310"/>
      <c r="T645" s="310"/>
      <c r="U645" s="310"/>
      <c r="V645" s="310"/>
      <c r="W645" s="310"/>
      <c r="X645" s="305"/>
      <c r="Y645" s="305"/>
      <c r="Z645" s="305"/>
      <c r="AA645" s="305"/>
      <c r="AB645" s="305"/>
      <c r="AC645" s="305"/>
      <c r="AD645" s="306"/>
      <c r="AE645" s="307"/>
    </row>
    <row r="646" spans="1:31" ht="15" customHeight="1" x14ac:dyDescent="0.25">
      <c r="A646" s="305"/>
      <c r="B646" s="305"/>
      <c r="C646" s="305"/>
      <c r="D646" s="305"/>
      <c r="E646" s="305"/>
      <c r="F646" s="308"/>
      <c r="G646" s="305"/>
      <c r="H646" s="305"/>
      <c r="I646" s="305"/>
      <c r="J646" s="305"/>
      <c r="K646" s="305"/>
      <c r="L646" s="305"/>
      <c r="M646" s="305"/>
      <c r="N646" s="309"/>
      <c r="O646" s="305"/>
      <c r="P646" s="310"/>
      <c r="Q646" s="311"/>
      <c r="R646" s="311"/>
      <c r="S646" s="310"/>
      <c r="T646" s="310"/>
      <c r="U646" s="310"/>
      <c r="V646" s="310"/>
      <c r="W646" s="310"/>
      <c r="X646" s="305"/>
      <c r="Y646" s="305"/>
      <c r="Z646" s="305"/>
      <c r="AA646" s="305"/>
      <c r="AB646" s="305"/>
      <c r="AC646" s="305"/>
      <c r="AD646" s="306"/>
      <c r="AE646" s="307"/>
    </row>
    <row r="647" spans="1:31" ht="15" customHeight="1" x14ac:dyDescent="0.25">
      <c r="A647" s="305"/>
      <c r="B647" s="305"/>
      <c r="C647" s="305"/>
      <c r="D647" s="305"/>
      <c r="E647" s="305"/>
      <c r="F647" s="308"/>
      <c r="G647" s="305"/>
      <c r="H647" s="305"/>
      <c r="I647" s="305"/>
      <c r="J647" s="305"/>
      <c r="K647" s="305"/>
      <c r="L647" s="305"/>
      <c r="M647" s="305"/>
      <c r="N647" s="309"/>
      <c r="O647" s="305"/>
      <c r="P647" s="310"/>
      <c r="Q647" s="311"/>
      <c r="R647" s="311"/>
      <c r="S647" s="310"/>
      <c r="T647" s="310"/>
      <c r="U647" s="310"/>
      <c r="V647" s="310"/>
      <c r="W647" s="310"/>
      <c r="X647" s="305"/>
      <c r="Y647" s="305"/>
      <c r="Z647" s="305"/>
      <c r="AA647" s="305"/>
      <c r="AB647" s="305"/>
      <c r="AC647" s="305"/>
      <c r="AD647" s="306"/>
      <c r="AE647" s="307"/>
    </row>
    <row r="648" spans="1:31" ht="15" customHeight="1" x14ac:dyDescent="0.25">
      <c r="A648" s="305"/>
      <c r="B648" s="305"/>
      <c r="C648" s="305"/>
      <c r="D648" s="305"/>
      <c r="E648" s="305"/>
      <c r="F648" s="308"/>
      <c r="G648" s="305"/>
      <c r="H648" s="305"/>
      <c r="I648" s="305"/>
      <c r="J648" s="305"/>
      <c r="K648" s="305"/>
      <c r="L648" s="305"/>
      <c r="M648" s="305"/>
      <c r="N648" s="309"/>
      <c r="O648" s="305"/>
      <c r="P648" s="310"/>
      <c r="Q648" s="311"/>
      <c r="R648" s="311"/>
      <c r="S648" s="310"/>
      <c r="T648" s="310"/>
      <c r="U648" s="310"/>
      <c r="V648" s="310"/>
      <c r="W648" s="310"/>
      <c r="X648" s="305"/>
      <c r="Y648" s="305"/>
      <c r="Z648" s="305"/>
      <c r="AA648" s="305"/>
      <c r="AB648" s="305"/>
      <c r="AC648" s="305"/>
      <c r="AD648" s="306"/>
      <c r="AE648" s="307"/>
    </row>
    <row r="649" spans="1:31" ht="15" customHeight="1" x14ac:dyDescent="0.25">
      <c r="A649" s="305"/>
      <c r="B649" s="305"/>
      <c r="C649" s="305"/>
      <c r="D649" s="305"/>
      <c r="E649" s="305"/>
      <c r="F649" s="308"/>
      <c r="G649" s="305"/>
      <c r="H649" s="305"/>
      <c r="I649" s="305"/>
      <c r="J649" s="305"/>
      <c r="K649" s="305"/>
      <c r="L649" s="305"/>
      <c r="M649" s="305"/>
      <c r="N649" s="309"/>
      <c r="O649" s="305"/>
      <c r="P649" s="310"/>
      <c r="Q649" s="311"/>
      <c r="R649" s="311"/>
      <c r="S649" s="310"/>
      <c r="T649" s="310"/>
      <c r="U649" s="310"/>
      <c r="V649" s="310"/>
      <c r="W649" s="310"/>
      <c r="X649" s="305"/>
      <c r="Y649" s="305"/>
      <c r="Z649" s="305"/>
      <c r="AA649" s="305"/>
      <c r="AB649" s="305"/>
      <c r="AC649" s="305"/>
      <c r="AD649" s="306"/>
      <c r="AE649" s="307"/>
    </row>
    <row r="650" spans="1:31" ht="15" customHeight="1" x14ac:dyDescent="0.25">
      <c r="A650" s="305"/>
      <c r="B650" s="305"/>
      <c r="C650" s="305"/>
      <c r="D650" s="305"/>
      <c r="E650" s="305"/>
      <c r="F650" s="308"/>
      <c r="G650" s="305"/>
      <c r="H650" s="305"/>
      <c r="I650" s="305"/>
      <c r="J650" s="305"/>
      <c r="K650" s="305"/>
      <c r="L650" s="305"/>
      <c r="M650" s="305"/>
      <c r="N650" s="309"/>
      <c r="O650" s="305"/>
      <c r="P650" s="310"/>
      <c r="Q650" s="311"/>
      <c r="R650" s="311"/>
      <c r="S650" s="310"/>
      <c r="T650" s="310"/>
      <c r="U650" s="310"/>
      <c r="V650" s="310"/>
      <c r="W650" s="310"/>
      <c r="X650" s="305"/>
      <c r="Y650" s="305"/>
      <c r="Z650" s="305"/>
      <c r="AA650" s="305"/>
      <c r="AB650" s="305"/>
      <c r="AC650" s="305"/>
      <c r="AD650" s="306"/>
      <c r="AE650" s="307"/>
    </row>
    <row r="651" spans="1:31" ht="15" customHeight="1" x14ac:dyDescent="0.25">
      <c r="A651" s="305"/>
      <c r="B651" s="305"/>
      <c r="C651" s="305"/>
      <c r="D651" s="305"/>
      <c r="E651" s="305"/>
      <c r="F651" s="308"/>
      <c r="G651" s="305"/>
      <c r="H651" s="305"/>
      <c r="I651" s="305"/>
      <c r="J651" s="305"/>
      <c r="K651" s="305"/>
      <c r="L651" s="305"/>
      <c r="M651" s="305"/>
      <c r="N651" s="309"/>
      <c r="O651" s="305"/>
      <c r="P651" s="310"/>
      <c r="Q651" s="311"/>
      <c r="R651" s="311"/>
      <c r="S651" s="310"/>
      <c r="T651" s="310"/>
      <c r="U651" s="310"/>
      <c r="V651" s="310"/>
      <c r="W651" s="310"/>
      <c r="X651" s="305"/>
      <c r="Y651" s="305"/>
      <c r="Z651" s="305"/>
      <c r="AA651" s="305"/>
      <c r="AB651" s="305"/>
      <c r="AC651" s="305"/>
      <c r="AD651" s="306"/>
      <c r="AE651" s="307"/>
    </row>
    <row r="652" spans="1:31" ht="15" customHeight="1" x14ac:dyDescent="0.25">
      <c r="A652" s="305"/>
      <c r="B652" s="305"/>
      <c r="C652" s="305"/>
      <c r="D652" s="305"/>
      <c r="E652" s="305"/>
      <c r="F652" s="308"/>
      <c r="G652" s="305"/>
      <c r="H652" s="305"/>
      <c r="I652" s="305"/>
      <c r="J652" s="305"/>
      <c r="K652" s="305"/>
      <c r="L652" s="305"/>
      <c r="M652" s="305"/>
      <c r="N652" s="309"/>
      <c r="O652" s="305"/>
      <c r="P652" s="310"/>
      <c r="Q652" s="311"/>
      <c r="R652" s="311"/>
      <c r="S652" s="310"/>
      <c r="T652" s="310"/>
      <c r="U652" s="310"/>
      <c r="V652" s="310"/>
      <c r="W652" s="310"/>
      <c r="X652" s="305"/>
      <c r="Y652" s="305"/>
      <c r="Z652" s="305"/>
      <c r="AA652" s="305"/>
      <c r="AB652" s="305"/>
      <c r="AC652" s="305"/>
      <c r="AD652" s="306"/>
      <c r="AE652" s="307"/>
    </row>
    <row r="653" spans="1:31" ht="15" customHeight="1" x14ac:dyDescent="0.25">
      <c r="A653" s="305"/>
      <c r="B653" s="305"/>
      <c r="C653" s="305"/>
      <c r="D653" s="305"/>
      <c r="E653" s="305"/>
      <c r="F653" s="308"/>
      <c r="G653" s="305"/>
      <c r="H653" s="305"/>
      <c r="I653" s="305"/>
      <c r="J653" s="305"/>
      <c r="K653" s="305"/>
      <c r="L653" s="305"/>
      <c r="M653" s="305"/>
      <c r="N653" s="309"/>
      <c r="O653" s="305"/>
      <c r="P653" s="310"/>
      <c r="Q653" s="311"/>
      <c r="R653" s="311"/>
      <c r="S653" s="310"/>
      <c r="T653" s="310"/>
      <c r="U653" s="310"/>
      <c r="V653" s="310"/>
      <c r="W653" s="310"/>
      <c r="X653" s="305"/>
      <c r="Y653" s="305"/>
      <c r="Z653" s="305"/>
      <c r="AA653" s="305"/>
      <c r="AB653" s="305"/>
      <c r="AC653" s="305"/>
      <c r="AD653" s="306"/>
      <c r="AE653" s="307"/>
    </row>
    <row r="654" spans="1:31" ht="15" customHeight="1" x14ac:dyDescent="0.25">
      <c r="A654" s="305"/>
      <c r="B654" s="305"/>
      <c r="C654" s="305"/>
      <c r="D654" s="305"/>
      <c r="E654" s="305"/>
      <c r="F654" s="308"/>
      <c r="G654" s="305"/>
      <c r="H654" s="305"/>
      <c r="I654" s="305"/>
      <c r="J654" s="305"/>
      <c r="K654" s="305"/>
      <c r="L654" s="305"/>
      <c r="M654" s="305"/>
      <c r="N654" s="309"/>
      <c r="O654" s="305"/>
      <c r="P654" s="310"/>
      <c r="Q654" s="311"/>
      <c r="R654" s="311"/>
      <c r="S654" s="310"/>
      <c r="T654" s="310"/>
      <c r="U654" s="310"/>
      <c r="V654" s="310"/>
      <c r="W654" s="310"/>
      <c r="X654" s="305"/>
      <c r="Y654" s="305"/>
      <c r="Z654" s="305"/>
      <c r="AA654" s="305"/>
      <c r="AB654" s="305"/>
      <c r="AC654" s="305"/>
      <c r="AD654" s="306"/>
      <c r="AE654" s="307"/>
    </row>
    <row r="655" spans="1:31" ht="15" customHeight="1" x14ac:dyDescent="0.25">
      <c r="A655" s="305"/>
      <c r="B655" s="305"/>
      <c r="C655" s="305"/>
      <c r="D655" s="305"/>
      <c r="E655" s="305"/>
      <c r="F655" s="308"/>
      <c r="G655" s="305"/>
      <c r="H655" s="305"/>
      <c r="I655" s="305"/>
      <c r="J655" s="305"/>
      <c r="K655" s="305"/>
      <c r="L655" s="305"/>
      <c r="M655" s="305"/>
      <c r="N655" s="309"/>
      <c r="O655" s="305"/>
      <c r="P655" s="310"/>
      <c r="Q655" s="311"/>
      <c r="R655" s="311"/>
      <c r="S655" s="310"/>
      <c r="T655" s="310"/>
      <c r="U655" s="310"/>
      <c r="V655" s="310"/>
      <c r="W655" s="310"/>
      <c r="X655" s="305"/>
      <c r="Y655" s="305"/>
      <c r="Z655" s="305"/>
      <c r="AA655" s="305"/>
      <c r="AB655" s="305"/>
      <c r="AC655" s="305"/>
      <c r="AD655" s="306"/>
      <c r="AE655" s="307"/>
    </row>
    <row r="656" spans="1:31" ht="15" customHeight="1" x14ac:dyDescent="0.25">
      <c r="A656" s="305"/>
      <c r="B656" s="305"/>
      <c r="C656" s="305"/>
      <c r="D656" s="305"/>
      <c r="E656" s="305"/>
      <c r="F656" s="308"/>
      <c r="G656" s="305"/>
      <c r="H656" s="305"/>
      <c r="I656" s="305"/>
      <c r="J656" s="305"/>
      <c r="K656" s="305"/>
      <c r="L656" s="305"/>
      <c r="M656" s="305"/>
      <c r="N656" s="309"/>
      <c r="O656" s="305"/>
      <c r="P656" s="310"/>
      <c r="Q656" s="311"/>
      <c r="R656" s="311"/>
      <c r="S656" s="310"/>
      <c r="T656" s="310"/>
      <c r="U656" s="310"/>
      <c r="V656" s="310"/>
      <c r="W656" s="310"/>
      <c r="X656" s="305"/>
      <c r="Y656" s="305"/>
      <c r="Z656" s="305"/>
      <c r="AA656" s="305"/>
      <c r="AB656" s="305"/>
      <c r="AC656" s="305"/>
      <c r="AD656" s="306"/>
      <c r="AE656" s="307"/>
    </row>
    <row r="657" spans="1:31" ht="15" customHeight="1" x14ac:dyDescent="0.25">
      <c r="A657" s="305"/>
      <c r="B657" s="305"/>
      <c r="C657" s="305"/>
      <c r="D657" s="305"/>
      <c r="E657" s="305"/>
      <c r="F657" s="308"/>
      <c r="G657" s="305"/>
      <c r="H657" s="305"/>
      <c r="I657" s="305"/>
      <c r="J657" s="305"/>
      <c r="K657" s="305"/>
      <c r="L657" s="305"/>
      <c r="M657" s="305"/>
      <c r="N657" s="309"/>
      <c r="O657" s="305"/>
      <c r="P657" s="310"/>
      <c r="Q657" s="311"/>
      <c r="R657" s="311"/>
      <c r="S657" s="310"/>
      <c r="T657" s="310"/>
      <c r="U657" s="310"/>
      <c r="V657" s="310"/>
      <c r="W657" s="310"/>
      <c r="X657" s="305"/>
      <c r="Y657" s="305"/>
      <c r="Z657" s="305"/>
      <c r="AA657" s="305"/>
      <c r="AB657" s="305"/>
      <c r="AC657" s="305"/>
      <c r="AD657" s="306"/>
      <c r="AE657" s="307"/>
    </row>
    <row r="658" spans="1:31" ht="15" customHeight="1" x14ac:dyDescent="0.25">
      <c r="A658" s="305"/>
      <c r="B658" s="305"/>
      <c r="C658" s="305"/>
      <c r="D658" s="305"/>
      <c r="E658" s="305"/>
      <c r="F658" s="308"/>
      <c r="G658" s="305"/>
      <c r="H658" s="305"/>
      <c r="I658" s="305"/>
      <c r="J658" s="305"/>
      <c r="K658" s="305"/>
      <c r="L658" s="305"/>
      <c r="M658" s="305"/>
      <c r="N658" s="309"/>
      <c r="O658" s="305"/>
      <c r="P658" s="310"/>
      <c r="Q658" s="311"/>
      <c r="R658" s="311"/>
      <c r="S658" s="310"/>
      <c r="T658" s="310"/>
      <c r="U658" s="310"/>
      <c r="V658" s="310"/>
      <c r="W658" s="310"/>
      <c r="X658" s="305"/>
      <c r="Y658" s="305"/>
      <c r="Z658" s="305"/>
      <c r="AA658" s="305"/>
      <c r="AB658" s="305"/>
      <c r="AC658" s="305"/>
      <c r="AD658" s="306"/>
      <c r="AE658" s="307"/>
    </row>
    <row r="659" spans="1:31" ht="15" customHeight="1" x14ac:dyDescent="0.25">
      <c r="A659" s="305"/>
      <c r="B659" s="305"/>
      <c r="C659" s="305"/>
      <c r="D659" s="305"/>
      <c r="E659" s="305"/>
      <c r="F659" s="308"/>
      <c r="G659" s="305"/>
      <c r="H659" s="305"/>
      <c r="I659" s="305"/>
      <c r="J659" s="305"/>
      <c r="K659" s="305"/>
      <c r="L659" s="305"/>
      <c r="M659" s="305"/>
      <c r="N659" s="309"/>
      <c r="O659" s="305"/>
      <c r="P659" s="310"/>
      <c r="Q659" s="311"/>
      <c r="R659" s="311"/>
      <c r="S659" s="310"/>
      <c r="T659" s="310"/>
      <c r="U659" s="310"/>
      <c r="V659" s="310"/>
      <c r="W659" s="310"/>
      <c r="X659" s="305"/>
      <c r="Y659" s="305"/>
      <c r="Z659" s="305"/>
      <c r="AA659" s="305"/>
      <c r="AB659" s="305"/>
      <c r="AC659" s="305"/>
      <c r="AD659" s="306"/>
      <c r="AE659" s="307"/>
    </row>
    <row r="660" spans="1:31" ht="15" customHeight="1" x14ac:dyDescent="0.25">
      <c r="A660" s="305"/>
      <c r="B660" s="305"/>
      <c r="C660" s="305"/>
      <c r="D660" s="305"/>
      <c r="E660" s="305"/>
      <c r="F660" s="308"/>
      <c r="G660" s="305"/>
      <c r="H660" s="305"/>
      <c r="I660" s="305"/>
      <c r="J660" s="305"/>
      <c r="K660" s="305"/>
      <c r="L660" s="305"/>
      <c r="M660" s="305"/>
      <c r="N660" s="309"/>
      <c r="O660" s="305"/>
      <c r="P660" s="310"/>
      <c r="Q660" s="311"/>
      <c r="R660" s="311"/>
      <c r="S660" s="310"/>
      <c r="T660" s="310"/>
      <c r="U660" s="310"/>
      <c r="V660" s="310"/>
      <c r="W660" s="310"/>
      <c r="X660" s="305"/>
      <c r="Y660" s="305"/>
      <c r="Z660" s="305"/>
      <c r="AA660" s="305"/>
      <c r="AB660" s="305"/>
      <c r="AC660" s="305"/>
      <c r="AD660" s="306"/>
      <c r="AE660" s="307"/>
    </row>
    <row r="661" spans="1:31" ht="15" customHeight="1" x14ac:dyDescent="0.25">
      <c r="A661" s="305"/>
      <c r="B661" s="305"/>
      <c r="C661" s="305"/>
      <c r="D661" s="305"/>
      <c r="E661" s="305"/>
      <c r="F661" s="308"/>
      <c r="G661" s="305"/>
      <c r="H661" s="305"/>
      <c r="I661" s="305"/>
      <c r="J661" s="305"/>
      <c r="K661" s="305"/>
      <c r="L661" s="305"/>
      <c r="M661" s="305"/>
      <c r="N661" s="309"/>
      <c r="O661" s="305"/>
      <c r="P661" s="310"/>
      <c r="Q661" s="311"/>
      <c r="R661" s="311"/>
      <c r="S661" s="310"/>
      <c r="T661" s="310"/>
      <c r="U661" s="310"/>
      <c r="V661" s="310"/>
      <c r="W661" s="310"/>
      <c r="X661" s="305"/>
      <c r="Y661" s="305"/>
      <c r="Z661" s="305"/>
      <c r="AA661" s="305"/>
      <c r="AB661" s="305"/>
      <c r="AC661" s="305"/>
      <c r="AD661" s="306"/>
      <c r="AE661" s="307"/>
    </row>
    <row r="662" spans="1:31" ht="15" customHeight="1" x14ac:dyDescent="0.25">
      <c r="A662" s="305"/>
      <c r="B662" s="305"/>
      <c r="C662" s="305"/>
      <c r="D662" s="305"/>
      <c r="E662" s="305"/>
      <c r="F662" s="308"/>
      <c r="G662" s="305"/>
      <c r="H662" s="305"/>
      <c r="I662" s="305"/>
      <c r="J662" s="305"/>
      <c r="K662" s="305"/>
      <c r="L662" s="305"/>
      <c r="M662" s="305"/>
      <c r="N662" s="309"/>
      <c r="O662" s="305"/>
      <c r="P662" s="310"/>
      <c r="Q662" s="311"/>
      <c r="R662" s="311"/>
      <c r="S662" s="310"/>
      <c r="T662" s="310"/>
      <c r="U662" s="310"/>
      <c r="V662" s="310"/>
      <c r="W662" s="310"/>
      <c r="X662" s="305"/>
      <c r="Y662" s="305"/>
      <c r="Z662" s="305"/>
      <c r="AA662" s="305"/>
      <c r="AB662" s="305"/>
      <c r="AC662" s="305"/>
      <c r="AD662" s="306"/>
      <c r="AE662" s="307"/>
    </row>
    <row r="663" spans="1:31" ht="15" customHeight="1" x14ac:dyDescent="0.25">
      <c r="A663" s="305"/>
      <c r="B663" s="305"/>
      <c r="C663" s="305"/>
      <c r="D663" s="305"/>
      <c r="E663" s="305"/>
      <c r="F663" s="308"/>
      <c r="G663" s="305"/>
      <c r="H663" s="305"/>
      <c r="I663" s="305"/>
      <c r="J663" s="305"/>
      <c r="K663" s="305"/>
      <c r="L663" s="305"/>
      <c r="M663" s="305"/>
      <c r="N663" s="309"/>
      <c r="O663" s="305"/>
      <c r="P663" s="310"/>
      <c r="Q663" s="311"/>
      <c r="R663" s="311"/>
      <c r="S663" s="310"/>
      <c r="T663" s="310"/>
      <c r="U663" s="310"/>
      <c r="V663" s="310"/>
      <c r="W663" s="310"/>
      <c r="X663" s="305"/>
      <c r="Y663" s="305"/>
      <c r="Z663" s="305"/>
      <c r="AA663" s="305"/>
      <c r="AB663" s="305"/>
      <c r="AC663" s="305"/>
      <c r="AD663" s="306"/>
      <c r="AE663" s="307"/>
    </row>
    <row r="664" spans="1:31" ht="15" customHeight="1" x14ac:dyDescent="0.25">
      <c r="A664" s="305"/>
      <c r="B664" s="305"/>
      <c r="C664" s="305"/>
      <c r="D664" s="305"/>
      <c r="E664" s="305"/>
      <c r="F664" s="308"/>
      <c r="G664" s="305"/>
      <c r="H664" s="305"/>
      <c r="I664" s="305"/>
      <c r="J664" s="305"/>
      <c r="K664" s="305"/>
      <c r="L664" s="305"/>
      <c r="M664" s="305"/>
      <c r="N664" s="309"/>
      <c r="O664" s="305"/>
      <c r="P664" s="310"/>
      <c r="Q664" s="311"/>
      <c r="R664" s="311"/>
      <c r="S664" s="310"/>
      <c r="T664" s="310"/>
      <c r="U664" s="310"/>
      <c r="V664" s="310"/>
      <c r="W664" s="310"/>
      <c r="X664" s="305"/>
      <c r="Y664" s="305"/>
      <c r="Z664" s="305"/>
      <c r="AA664" s="305"/>
      <c r="AB664" s="305"/>
      <c r="AC664" s="305"/>
      <c r="AD664" s="306"/>
      <c r="AE664" s="307"/>
    </row>
    <row r="665" spans="1:31" ht="15" customHeight="1" x14ac:dyDescent="0.25">
      <c r="A665" s="305"/>
      <c r="B665" s="305"/>
      <c r="C665" s="305"/>
      <c r="D665" s="305"/>
      <c r="E665" s="305"/>
      <c r="F665" s="308"/>
      <c r="G665" s="305"/>
      <c r="H665" s="305"/>
      <c r="I665" s="305"/>
      <c r="J665" s="305"/>
      <c r="K665" s="305"/>
      <c r="L665" s="305"/>
      <c r="M665" s="305"/>
      <c r="N665" s="309"/>
      <c r="O665" s="305"/>
      <c r="P665" s="310"/>
      <c r="Q665" s="311"/>
      <c r="R665" s="311"/>
      <c r="S665" s="310"/>
      <c r="T665" s="310"/>
      <c r="U665" s="310"/>
      <c r="V665" s="310"/>
      <c r="W665" s="310"/>
      <c r="X665" s="305"/>
      <c r="Y665" s="305"/>
      <c r="Z665" s="305"/>
      <c r="AA665" s="305"/>
      <c r="AB665" s="305"/>
      <c r="AC665" s="305"/>
      <c r="AD665" s="306"/>
      <c r="AE665" s="307"/>
    </row>
    <row r="666" spans="1:31" ht="15" customHeight="1" x14ac:dyDescent="0.25">
      <c r="A666" s="305"/>
      <c r="B666" s="305"/>
      <c r="C666" s="305"/>
      <c r="D666" s="305"/>
      <c r="E666" s="305"/>
      <c r="F666" s="308"/>
      <c r="G666" s="305"/>
      <c r="H666" s="305"/>
      <c r="I666" s="305"/>
      <c r="J666" s="305"/>
      <c r="K666" s="305"/>
      <c r="L666" s="305"/>
      <c r="M666" s="305"/>
      <c r="N666" s="309"/>
      <c r="O666" s="305"/>
      <c r="P666" s="310"/>
      <c r="Q666" s="311"/>
      <c r="R666" s="311"/>
      <c r="S666" s="310"/>
      <c r="T666" s="310"/>
      <c r="U666" s="310"/>
      <c r="V666" s="310"/>
      <c r="W666" s="310"/>
      <c r="X666" s="305"/>
      <c r="Y666" s="305"/>
      <c r="Z666" s="305"/>
      <c r="AA666" s="305"/>
      <c r="AB666" s="305"/>
      <c r="AC666" s="305"/>
      <c r="AD666" s="306"/>
      <c r="AE666" s="307"/>
    </row>
    <row r="667" spans="1:31" ht="15" customHeight="1" x14ac:dyDescent="0.25">
      <c r="A667" s="305"/>
      <c r="B667" s="305"/>
      <c r="C667" s="305"/>
      <c r="D667" s="305"/>
      <c r="E667" s="305"/>
      <c r="F667" s="308"/>
      <c r="G667" s="305"/>
      <c r="H667" s="305"/>
      <c r="I667" s="305"/>
      <c r="J667" s="305"/>
      <c r="K667" s="305"/>
      <c r="L667" s="305"/>
      <c r="M667" s="305"/>
      <c r="N667" s="309"/>
      <c r="O667" s="305"/>
      <c r="P667" s="310"/>
      <c r="Q667" s="169"/>
      <c r="R667" s="169"/>
      <c r="S667" s="310"/>
      <c r="T667" s="310"/>
      <c r="U667" s="310"/>
      <c r="V667" s="310"/>
      <c r="W667" s="310"/>
      <c r="X667" s="305"/>
      <c r="Y667" s="305"/>
      <c r="Z667" s="305"/>
      <c r="AA667" s="305"/>
      <c r="AB667" s="305"/>
      <c r="AC667" s="305"/>
      <c r="AD667" s="306"/>
      <c r="AE667" s="307"/>
    </row>
    <row r="668" spans="1:31" ht="15" customHeight="1" x14ac:dyDescent="0.25">
      <c r="A668" s="305"/>
      <c r="B668" s="305"/>
      <c r="C668" s="305"/>
      <c r="D668" s="305"/>
      <c r="E668" s="305"/>
      <c r="F668" s="308"/>
      <c r="G668" s="305"/>
      <c r="H668" s="305"/>
      <c r="I668" s="305"/>
      <c r="J668" s="305"/>
      <c r="K668" s="305"/>
      <c r="L668" s="305"/>
      <c r="M668" s="305"/>
      <c r="N668" s="309"/>
      <c r="O668" s="305"/>
      <c r="P668" s="310"/>
      <c r="Q668" s="169"/>
      <c r="R668" s="169"/>
      <c r="S668" s="310"/>
      <c r="T668" s="310"/>
      <c r="U668" s="310"/>
      <c r="V668" s="310"/>
      <c r="W668" s="310"/>
      <c r="X668" s="305"/>
      <c r="Y668" s="305"/>
      <c r="Z668" s="305"/>
      <c r="AA668" s="305"/>
      <c r="AB668" s="305"/>
      <c r="AC668" s="305"/>
      <c r="AD668" s="306"/>
      <c r="AE668" s="307"/>
    </row>
    <row r="669" spans="1:31" ht="15" customHeight="1" x14ac:dyDescent="0.25">
      <c r="A669" s="305"/>
      <c r="B669" s="305"/>
      <c r="C669" s="305"/>
      <c r="D669" s="305"/>
      <c r="E669" s="305"/>
      <c r="F669" s="308"/>
      <c r="G669" s="305"/>
      <c r="H669" s="305"/>
      <c r="I669" s="305"/>
      <c r="J669" s="305"/>
      <c r="K669" s="305"/>
      <c r="L669" s="305"/>
      <c r="M669" s="305"/>
      <c r="N669" s="309"/>
      <c r="O669" s="305"/>
      <c r="P669" s="310"/>
      <c r="Q669" s="169"/>
      <c r="R669" s="169"/>
      <c r="S669" s="310"/>
      <c r="T669" s="310"/>
      <c r="U669" s="310"/>
      <c r="V669" s="310"/>
      <c r="W669" s="310"/>
      <c r="X669" s="305"/>
      <c r="Y669" s="305"/>
      <c r="Z669" s="305"/>
      <c r="AA669" s="305"/>
      <c r="AB669" s="305"/>
      <c r="AC669" s="305"/>
      <c r="AD669" s="306"/>
      <c r="AE669" s="307"/>
    </row>
    <row r="670" spans="1:31" ht="15" customHeight="1" x14ac:dyDescent="0.25">
      <c r="A670" s="305"/>
      <c r="B670" s="305"/>
      <c r="C670" s="305"/>
      <c r="D670" s="305"/>
      <c r="E670" s="305"/>
      <c r="F670" s="308"/>
      <c r="G670" s="305"/>
      <c r="H670" s="305"/>
      <c r="I670" s="305"/>
      <c r="J670" s="305"/>
      <c r="K670" s="305"/>
      <c r="L670" s="305"/>
      <c r="M670" s="305"/>
      <c r="N670" s="309"/>
      <c r="O670" s="305"/>
      <c r="P670" s="310"/>
      <c r="Q670" s="169"/>
      <c r="R670" s="169"/>
      <c r="S670" s="310"/>
      <c r="T670" s="310"/>
      <c r="U670" s="310"/>
      <c r="V670" s="310"/>
      <c r="W670" s="310"/>
      <c r="X670" s="305"/>
      <c r="Y670" s="305"/>
      <c r="Z670" s="305"/>
      <c r="AA670" s="305"/>
      <c r="AB670" s="305"/>
      <c r="AC670" s="305"/>
      <c r="AD670" s="306"/>
      <c r="AE670" s="307"/>
    </row>
    <row r="671" spans="1:31" ht="15" customHeight="1" x14ac:dyDescent="0.25">
      <c r="A671" s="305"/>
      <c r="B671" s="305"/>
      <c r="C671" s="305"/>
      <c r="D671" s="305"/>
      <c r="E671" s="305"/>
      <c r="F671" s="308"/>
      <c r="G671" s="305"/>
      <c r="H671" s="305"/>
      <c r="I671" s="305"/>
      <c r="J671" s="305"/>
      <c r="K671" s="305"/>
      <c r="L671" s="305"/>
      <c r="M671" s="305"/>
      <c r="N671" s="309"/>
      <c r="O671" s="305"/>
      <c r="P671" s="310"/>
      <c r="Q671" s="169"/>
      <c r="R671" s="169"/>
      <c r="S671" s="310"/>
      <c r="T671" s="310"/>
      <c r="U671" s="310"/>
      <c r="V671" s="310"/>
      <c r="W671" s="310"/>
      <c r="X671" s="305"/>
      <c r="Y671" s="305"/>
      <c r="Z671" s="305"/>
      <c r="AA671" s="305"/>
      <c r="AB671" s="305"/>
      <c r="AC671" s="305"/>
      <c r="AD671" s="306"/>
      <c r="AE671" s="307"/>
    </row>
    <row r="672" spans="1:31" ht="15" customHeight="1" x14ac:dyDescent="0.25">
      <c r="A672" s="305"/>
      <c r="B672" s="305"/>
      <c r="C672" s="305"/>
      <c r="D672" s="305"/>
      <c r="E672" s="305"/>
      <c r="F672" s="308"/>
      <c r="G672" s="305"/>
      <c r="H672" s="305"/>
      <c r="I672" s="305"/>
      <c r="J672" s="305"/>
      <c r="K672" s="305"/>
      <c r="L672" s="305"/>
      <c r="M672" s="305"/>
      <c r="N672" s="309"/>
      <c r="O672" s="305"/>
      <c r="P672" s="310"/>
      <c r="Q672" s="169"/>
      <c r="R672" s="169"/>
      <c r="S672" s="310"/>
      <c r="T672" s="310"/>
      <c r="U672" s="310"/>
      <c r="V672" s="310"/>
      <c r="W672" s="310"/>
      <c r="X672" s="305"/>
      <c r="Y672" s="305"/>
      <c r="Z672" s="305"/>
      <c r="AA672" s="305"/>
      <c r="AB672" s="305"/>
      <c r="AC672" s="305"/>
      <c r="AD672" s="306"/>
      <c r="AE672" s="307"/>
    </row>
    <row r="673" spans="1:31" ht="15" customHeight="1" x14ac:dyDescent="0.25">
      <c r="A673" s="305"/>
      <c r="B673" s="305"/>
      <c r="C673" s="305"/>
      <c r="D673" s="305"/>
      <c r="E673" s="305"/>
      <c r="F673" s="308"/>
      <c r="G673" s="305"/>
      <c r="H673" s="305"/>
      <c r="I673" s="305"/>
      <c r="J673" s="305"/>
      <c r="K673" s="305"/>
      <c r="L673" s="305"/>
      <c r="M673" s="305"/>
      <c r="N673" s="309"/>
      <c r="O673" s="305"/>
      <c r="P673" s="310"/>
      <c r="Q673" s="169"/>
      <c r="R673" s="169"/>
      <c r="S673" s="310"/>
      <c r="T673" s="310"/>
      <c r="U673" s="310"/>
      <c r="V673" s="310"/>
      <c r="W673" s="310"/>
      <c r="X673" s="305"/>
      <c r="Y673" s="305"/>
      <c r="Z673" s="305"/>
      <c r="AA673" s="305"/>
      <c r="AB673" s="305"/>
      <c r="AC673" s="305"/>
      <c r="AD673" s="306"/>
      <c r="AE673" s="307"/>
    </row>
    <row r="674" spans="1:31" ht="15" customHeight="1" x14ac:dyDescent="0.25">
      <c r="A674" s="305"/>
      <c r="B674" s="305"/>
      <c r="C674" s="305"/>
      <c r="D674" s="305"/>
      <c r="E674" s="305"/>
      <c r="F674" s="308"/>
      <c r="G674" s="305"/>
      <c r="H674" s="305"/>
      <c r="I674" s="305"/>
      <c r="J674" s="305"/>
      <c r="K674" s="305"/>
      <c r="L674" s="305"/>
      <c r="M674" s="305"/>
      <c r="N674" s="309"/>
      <c r="O674" s="305"/>
      <c r="P674" s="310"/>
      <c r="Q674" s="169"/>
      <c r="R674" s="169"/>
      <c r="S674" s="310"/>
      <c r="T674" s="310"/>
      <c r="U674" s="310"/>
      <c r="V674" s="310"/>
      <c r="W674" s="310"/>
      <c r="X674" s="305"/>
      <c r="Y674" s="305"/>
      <c r="Z674" s="305"/>
      <c r="AA674" s="305"/>
      <c r="AB674" s="305"/>
      <c r="AC674" s="305"/>
      <c r="AD674" s="306"/>
      <c r="AE674" s="307"/>
    </row>
    <row r="675" spans="1:31" ht="15" customHeight="1" x14ac:dyDescent="0.25">
      <c r="A675" s="305"/>
      <c r="B675" s="305"/>
      <c r="C675" s="305"/>
      <c r="D675" s="305"/>
      <c r="E675" s="305"/>
      <c r="F675" s="308"/>
      <c r="G675" s="305"/>
      <c r="H675" s="305"/>
      <c r="I675" s="305"/>
      <c r="J675" s="305"/>
      <c r="K675" s="305"/>
      <c r="L675" s="305"/>
      <c r="M675" s="305"/>
      <c r="N675" s="309"/>
      <c r="O675" s="305"/>
      <c r="P675" s="310"/>
      <c r="Q675" s="169"/>
      <c r="R675" s="169"/>
      <c r="S675" s="310"/>
      <c r="T675" s="310"/>
      <c r="U675" s="310"/>
      <c r="V675" s="310"/>
      <c r="W675" s="310"/>
      <c r="X675" s="305"/>
      <c r="Y675" s="305"/>
      <c r="Z675" s="305"/>
      <c r="AA675" s="305"/>
      <c r="AB675" s="305"/>
      <c r="AC675" s="305"/>
      <c r="AD675" s="306"/>
      <c r="AE675" s="307"/>
    </row>
    <row r="676" spans="1:31" ht="15" customHeight="1" x14ac:dyDescent="0.25">
      <c r="A676" s="305"/>
      <c r="B676" s="305"/>
      <c r="C676" s="305"/>
      <c r="D676" s="305"/>
      <c r="E676" s="305"/>
      <c r="F676" s="308"/>
      <c r="G676" s="305"/>
      <c r="H676" s="305"/>
      <c r="I676" s="305"/>
      <c r="J676" s="305"/>
      <c r="K676" s="305"/>
      <c r="L676" s="305"/>
      <c r="M676" s="305"/>
      <c r="N676" s="309"/>
      <c r="O676" s="305"/>
      <c r="P676" s="310"/>
      <c r="Q676" s="169"/>
      <c r="R676" s="169"/>
      <c r="S676" s="310"/>
      <c r="T676" s="310"/>
      <c r="U676" s="310"/>
      <c r="V676" s="310"/>
      <c r="W676" s="310"/>
      <c r="X676" s="305"/>
      <c r="Y676" s="305"/>
      <c r="Z676" s="305"/>
      <c r="AA676" s="305"/>
      <c r="AB676" s="305"/>
      <c r="AC676" s="305"/>
      <c r="AD676" s="306"/>
      <c r="AE676" s="307"/>
    </row>
    <row r="677" spans="1:31" ht="15" customHeight="1" x14ac:dyDescent="0.25">
      <c r="A677" s="305"/>
      <c r="B677" s="305"/>
      <c r="C677" s="305"/>
      <c r="D677" s="305"/>
      <c r="E677" s="305"/>
      <c r="F677" s="308"/>
      <c r="G677" s="305"/>
      <c r="H677" s="305"/>
      <c r="I677" s="305"/>
      <c r="J677" s="305"/>
      <c r="K677" s="305"/>
      <c r="L677" s="305"/>
      <c r="M677" s="305"/>
      <c r="N677" s="309"/>
      <c r="O677" s="305"/>
      <c r="P677" s="310"/>
      <c r="Q677" s="311"/>
      <c r="R677" s="311"/>
      <c r="S677" s="310"/>
      <c r="T677" s="310"/>
      <c r="U677" s="310"/>
      <c r="V677" s="310"/>
      <c r="W677" s="310"/>
      <c r="X677" s="305"/>
      <c r="Y677" s="305"/>
      <c r="Z677" s="305"/>
      <c r="AA677" s="305"/>
      <c r="AB677" s="305"/>
      <c r="AC677" s="305"/>
      <c r="AD677" s="306"/>
      <c r="AE677" s="307"/>
    </row>
    <row r="678" spans="1:31" ht="15" customHeight="1" x14ac:dyDescent="0.25">
      <c r="A678" s="305"/>
      <c r="B678" s="305"/>
      <c r="C678" s="305"/>
      <c r="D678" s="305"/>
      <c r="E678" s="305"/>
      <c r="F678" s="308"/>
      <c r="G678" s="305"/>
      <c r="H678" s="305"/>
      <c r="I678" s="305"/>
      <c r="J678" s="305"/>
      <c r="K678" s="305"/>
      <c r="L678" s="305"/>
      <c r="M678" s="305"/>
      <c r="N678" s="309"/>
      <c r="O678" s="305"/>
      <c r="P678" s="310"/>
      <c r="Q678" s="311"/>
      <c r="R678" s="311"/>
      <c r="S678" s="310"/>
      <c r="T678" s="310"/>
      <c r="U678" s="310"/>
      <c r="V678" s="310"/>
      <c r="W678" s="310"/>
      <c r="X678" s="305"/>
      <c r="Y678" s="305"/>
      <c r="Z678" s="305"/>
      <c r="AA678" s="305"/>
      <c r="AB678" s="305"/>
      <c r="AC678" s="305"/>
      <c r="AD678" s="306"/>
      <c r="AE678" s="307"/>
    </row>
    <row r="679" spans="1:31" ht="15" customHeight="1" x14ac:dyDescent="0.25">
      <c r="A679" s="305"/>
      <c r="B679" s="305"/>
      <c r="C679" s="305"/>
      <c r="D679" s="305"/>
      <c r="E679" s="305"/>
      <c r="F679" s="308"/>
      <c r="G679" s="305"/>
      <c r="H679" s="305"/>
      <c r="I679" s="305"/>
      <c r="J679" s="305"/>
      <c r="K679" s="305"/>
      <c r="L679" s="305"/>
      <c r="M679" s="305"/>
      <c r="N679" s="309"/>
      <c r="O679" s="305"/>
      <c r="P679" s="310"/>
      <c r="Q679" s="311"/>
      <c r="R679" s="311"/>
      <c r="S679" s="310"/>
      <c r="T679" s="310"/>
      <c r="U679" s="310"/>
      <c r="V679" s="310"/>
      <c r="W679" s="310"/>
      <c r="X679" s="305"/>
      <c r="Y679" s="305"/>
      <c r="Z679" s="305"/>
      <c r="AA679" s="305"/>
      <c r="AB679" s="305"/>
      <c r="AC679" s="305"/>
      <c r="AD679" s="306"/>
      <c r="AE679" s="307"/>
    </row>
    <row r="680" spans="1:31" ht="15" customHeight="1" x14ac:dyDescent="0.25">
      <c r="A680" s="305"/>
      <c r="B680" s="305"/>
      <c r="C680" s="305"/>
      <c r="D680" s="305"/>
      <c r="E680" s="305"/>
      <c r="F680" s="308"/>
      <c r="G680" s="305"/>
      <c r="H680" s="305"/>
      <c r="I680" s="305"/>
      <c r="J680" s="305"/>
      <c r="K680" s="305"/>
      <c r="L680" s="305"/>
      <c r="M680" s="305"/>
      <c r="N680" s="309"/>
      <c r="O680" s="305"/>
      <c r="P680" s="310"/>
      <c r="Q680" s="311"/>
      <c r="R680" s="311"/>
      <c r="S680" s="310"/>
      <c r="T680" s="310"/>
      <c r="U680" s="310"/>
      <c r="V680" s="310"/>
      <c r="W680" s="310"/>
      <c r="X680" s="305"/>
      <c r="Y680" s="305"/>
      <c r="Z680" s="305"/>
      <c r="AA680" s="305"/>
      <c r="AB680" s="305"/>
      <c r="AC680" s="305"/>
      <c r="AD680" s="306"/>
      <c r="AE680" s="307"/>
    </row>
    <row r="681" spans="1:31" ht="15" customHeight="1" x14ac:dyDescent="0.25">
      <c r="A681" s="305"/>
      <c r="B681" s="305"/>
      <c r="C681" s="305"/>
      <c r="D681" s="305"/>
      <c r="E681" s="305"/>
      <c r="F681" s="308"/>
      <c r="G681" s="305"/>
      <c r="H681" s="305"/>
      <c r="I681" s="305"/>
      <c r="J681" s="305"/>
      <c r="K681" s="305"/>
      <c r="L681" s="305"/>
      <c r="M681" s="305"/>
      <c r="N681" s="309"/>
      <c r="O681" s="305"/>
      <c r="P681" s="310"/>
      <c r="Q681" s="311"/>
      <c r="R681" s="311"/>
      <c r="S681" s="310"/>
      <c r="T681" s="310"/>
      <c r="U681" s="310"/>
      <c r="V681" s="310"/>
      <c r="W681" s="310"/>
      <c r="X681" s="305"/>
      <c r="Y681" s="305"/>
      <c r="Z681" s="305"/>
      <c r="AA681" s="305"/>
      <c r="AB681" s="305"/>
      <c r="AC681" s="305"/>
      <c r="AD681" s="306"/>
      <c r="AE681" s="307"/>
    </row>
    <row r="682" spans="1:31" ht="15" customHeight="1" x14ac:dyDescent="0.25">
      <c r="A682" s="305"/>
      <c r="B682" s="305"/>
      <c r="C682" s="305"/>
      <c r="D682" s="305"/>
      <c r="E682" s="305"/>
      <c r="F682" s="308"/>
      <c r="G682" s="305"/>
      <c r="H682" s="305"/>
      <c r="I682" s="305"/>
      <c r="J682" s="305"/>
      <c r="K682" s="305"/>
      <c r="L682" s="305"/>
      <c r="M682" s="305"/>
      <c r="N682" s="309"/>
      <c r="O682" s="305"/>
      <c r="P682" s="310"/>
      <c r="Q682" s="311"/>
      <c r="R682" s="311"/>
      <c r="S682" s="310"/>
      <c r="T682" s="310"/>
      <c r="U682" s="310"/>
      <c r="V682" s="310"/>
      <c r="W682" s="310"/>
      <c r="X682" s="305"/>
      <c r="Y682" s="305"/>
      <c r="Z682" s="305"/>
      <c r="AA682" s="305"/>
      <c r="AB682" s="305"/>
      <c r="AC682" s="305"/>
      <c r="AD682" s="306"/>
      <c r="AE682" s="307"/>
    </row>
    <row r="683" spans="1:31" ht="15" customHeight="1" x14ac:dyDescent="0.25">
      <c r="A683" s="305"/>
      <c r="B683" s="305"/>
      <c r="C683" s="305"/>
      <c r="D683" s="305"/>
      <c r="E683" s="305"/>
      <c r="F683" s="308"/>
      <c r="G683" s="305"/>
      <c r="H683" s="305"/>
      <c r="I683" s="305"/>
      <c r="J683" s="305"/>
      <c r="K683" s="305"/>
      <c r="L683" s="305"/>
      <c r="M683" s="305"/>
      <c r="N683" s="309"/>
      <c r="O683" s="305"/>
      <c r="P683" s="310"/>
      <c r="Q683" s="311"/>
      <c r="R683" s="311"/>
      <c r="S683" s="310"/>
      <c r="T683" s="310"/>
      <c r="U683" s="310"/>
      <c r="V683" s="310"/>
      <c r="W683" s="310"/>
      <c r="X683" s="305"/>
      <c r="Y683" s="305"/>
      <c r="Z683" s="305"/>
      <c r="AA683" s="305"/>
      <c r="AB683" s="305"/>
      <c r="AC683" s="305"/>
      <c r="AD683" s="306"/>
      <c r="AE683" s="307"/>
    </row>
    <row r="684" spans="1:31" ht="15" customHeight="1" x14ac:dyDescent="0.25">
      <c r="A684" s="305"/>
      <c r="B684" s="305"/>
      <c r="C684" s="305"/>
      <c r="D684" s="305"/>
      <c r="E684" s="305"/>
      <c r="F684" s="308"/>
      <c r="G684" s="305"/>
      <c r="H684" s="305"/>
      <c r="I684" s="305"/>
      <c r="J684" s="305"/>
      <c r="K684" s="305"/>
      <c r="L684" s="305"/>
      <c r="M684" s="305"/>
      <c r="N684" s="309"/>
      <c r="O684" s="305"/>
      <c r="P684" s="310"/>
      <c r="Q684" s="311"/>
      <c r="R684" s="311"/>
      <c r="S684" s="310"/>
      <c r="T684" s="310"/>
      <c r="U684" s="310"/>
      <c r="V684" s="310"/>
      <c r="W684" s="310"/>
      <c r="X684" s="305"/>
      <c r="Y684" s="305"/>
      <c r="Z684" s="305"/>
      <c r="AA684" s="305"/>
      <c r="AB684" s="305"/>
      <c r="AC684" s="305"/>
      <c r="AD684" s="306"/>
      <c r="AE684" s="307"/>
    </row>
    <row r="685" spans="1:31" ht="15" customHeight="1" x14ac:dyDescent="0.25">
      <c r="A685" s="305"/>
      <c r="B685" s="305"/>
      <c r="C685" s="305"/>
      <c r="D685" s="305"/>
      <c r="E685" s="305"/>
      <c r="F685" s="308"/>
      <c r="G685" s="305"/>
      <c r="H685" s="305"/>
      <c r="I685" s="305"/>
      <c r="J685" s="305"/>
      <c r="K685" s="305"/>
      <c r="L685" s="305"/>
      <c r="M685" s="305"/>
      <c r="N685" s="309"/>
      <c r="O685" s="305"/>
      <c r="P685" s="310"/>
      <c r="Q685" s="311"/>
      <c r="R685" s="311"/>
      <c r="S685" s="310"/>
      <c r="T685" s="310"/>
      <c r="U685" s="310"/>
      <c r="V685" s="310"/>
      <c r="W685" s="310"/>
      <c r="X685" s="305"/>
      <c r="Y685" s="305"/>
      <c r="Z685" s="305"/>
      <c r="AA685" s="305"/>
      <c r="AB685" s="305"/>
      <c r="AC685" s="305"/>
      <c r="AD685" s="306"/>
      <c r="AE685" s="307"/>
    </row>
    <row r="686" spans="1:31" ht="15" customHeight="1" x14ac:dyDescent="0.25">
      <c r="A686" s="305"/>
      <c r="B686" s="305"/>
      <c r="C686" s="305"/>
      <c r="D686" s="305"/>
      <c r="E686" s="305"/>
      <c r="F686" s="308"/>
      <c r="G686" s="305"/>
      <c r="H686" s="305"/>
      <c r="I686" s="305"/>
      <c r="J686" s="305"/>
      <c r="K686" s="305"/>
      <c r="L686" s="305"/>
      <c r="M686" s="305"/>
      <c r="N686" s="309"/>
      <c r="O686" s="305"/>
      <c r="P686" s="310"/>
      <c r="Q686" s="311"/>
      <c r="R686" s="311"/>
      <c r="S686" s="310"/>
      <c r="T686" s="310"/>
      <c r="U686" s="310"/>
      <c r="V686" s="310"/>
      <c r="W686" s="310"/>
      <c r="X686" s="305"/>
      <c r="Y686" s="305"/>
      <c r="Z686" s="305"/>
      <c r="AA686" s="305"/>
      <c r="AB686" s="305"/>
      <c r="AC686" s="305"/>
      <c r="AD686" s="306"/>
      <c r="AE686" s="307"/>
    </row>
    <row r="687" spans="1:31" ht="15" customHeight="1" x14ac:dyDescent="0.25">
      <c r="A687" s="305"/>
      <c r="B687" s="305"/>
      <c r="C687" s="305"/>
      <c r="D687" s="305"/>
      <c r="E687" s="305"/>
      <c r="F687" s="308"/>
      <c r="G687" s="305"/>
      <c r="H687" s="305"/>
      <c r="I687" s="305"/>
      <c r="J687" s="305"/>
      <c r="K687" s="305"/>
      <c r="L687" s="305"/>
      <c r="M687" s="305"/>
      <c r="N687" s="309"/>
      <c r="O687" s="305"/>
      <c r="P687" s="310"/>
      <c r="Q687" s="311"/>
      <c r="R687" s="311"/>
      <c r="S687" s="310"/>
      <c r="T687" s="310"/>
      <c r="U687" s="310"/>
      <c r="V687" s="310"/>
      <c r="W687" s="310"/>
      <c r="X687" s="305"/>
      <c r="Y687" s="305"/>
      <c r="Z687" s="305"/>
      <c r="AA687" s="305"/>
      <c r="AB687" s="305"/>
      <c r="AC687" s="305"/>
      <c r="AD687" s="306"/>
      <c r="AE687" s="307"/>
    </row>
    <row r="688" spans="1:31" ht="15" customHeight="1" x14ac:dyDescent="0.25">
      <c r="A688" s="305"/>
      <c r="B688" s="305"/>
      <c r="C688" s="305"/>
      <c r="D688" s="305"/>
      <c r="E688" s="305"/>
      <c r="F688" s="308"/>
      <c r="G688" s="305"/>
      <c r="H688" s="305"/>
      <c r="I688" s="305"/>
      <c r="J688" s="305"/>
      <c r="K688" s="305"/>
      <c r="L688" s="305"/>
      <c r="M688" s="305"/>
      <c r="N688" s="309"/>
      <c r="O688" s="305"/>
      <c r="P688" s="310"/>
      <c r="Q688" s="311"/>
      <c r="R688" s="311"/>
      <c r="S688" s="310"/>
      <c r="T688" s="310"/>
      <c r="U688" s="310"/>
      <c r="V688" s="310"/>
      <c r="W688" s="310"/>
      <c r="X688" s="305"/>
      <c r="Y688" s="305"/>
      <c r="Z688" s="305"/>
      <c r="AA688" s="305"/>
      <c r="AB688" s="305"/>
      <c r="AC688" s="305"/>
      <c r="AD688" s="306"/>
      <c r="AE688" s="307"/>
    </row>
    <row r="689" spans="1:31" ht="15" customHeight="1" x14ac:dyDescent="0.25">
      <c r="A689" s="305"/>
      <c r="B689" s="305"/>
      <c r="C689" s="305"/>
      <c r="D689" s="305"/>
      <c r="E689" s="305"/>
      <c r="F689" s="308"/>
      <c r="G689" s="305"/>
      <c r="H689" s="305"/>
      <c r="I689" s="305"/>
      <c r="J689" s="305"/>
      <c r="K689" s="305"/>
      <c r="L689" s="305"/>
      <c r="M689" s="305"/>
      <c r="N689" s="309"/>
      <c r="O689" s="305"/>
      <c r="P689" s="310"/>
      <c r="Q689" s="311"/>
      <c r="R689" s="311"/>
      <c r="S689" s="310"/>
      <c r="T689" s="310"/>
      <c r="U689" s="310"/>
      <c r="V689" s="310"/>
      <c r="W689" s="310"/>
      <c r="X689" s="305"/>
      <c r="Y689" s="305"/>
      <c r="Z689" s="305"/>
      <c r="AA689" s="305"/>
      <c r="AB689" s="305"/>
      <c r="AC689" s="305"/>
      <c r="AD689" s="306"/>
      <c r="AE689" s="307"/>
    </row>
    <row r="690" spans="1:31" ht="15" customHeight="1" x14ac:dyDescent="0.25">
      <c r="A690" s="305"/>
      <c r="B690" s="305"/>
      <c r="C690" s="305"/>
      <c r="D690" s="305"/>
      <c r="E690" s="305"/>
      <c r="F690" s="308"/>
      <c r="G690" s="305"/>
      <c r="H690" s="305"/>
      <c r="I690" s="305"/>
      <c r="J690" s="305"/>
      <c r="K690" s="305"/>
      <c r="L690" s="305"/>
      <c r="M690" s="305"/>
      <c r="N690" s="309"/>
      <c r="O690" s="305"/>
      <c r="P690" s="310"/>
      <c r="Q690" s="311"/>
      <c r="R690" s="311"/>
      <c r="S690" s="310"/>
      <c r="T690" s="310"/>
      <c r="U690" s="310"/>
      <c r="V690" s="310"/>
      <c r="W690" s="310"/>
      <c r="X690" s="305"/>
      <c r="Y690" s="305"/>
      <c r="Z690" s="305"/>
      <c r="AA690" s="305"/>
      <c r="AB690" s="305"/>
      <c r="AC690" s="305"/>
      <c r="AD690" s="306"/>
      <c r="AE690" s="307"/>
    </row>
    <row r="691" spans="1:31" ht="15" customHeight="1" x14ac:dyDescent="0.25">
      <c r="A691" s="305"/>
      <c r="B691" s="305"/>
      <c r="C691" s="305"/>
      <c r="D691" s="305"/>
      <c r="E691" s="305"/>
      <c r="F691" s="308"/>
      <c r="G691" s="305"/>
      <c r="H691" s="305"/>
      <c r="I691" s="305"/>
      <c r="J691" s="305"/>
      <c r="K691" s="305"/>
      <c r="L691" s="305"/>
      <c r="M691" s="305"/>
      <c r="N691" s="309"/>
      <c r="O691" s="305"/>
      <c r="P691" s="310"/>
      <c r="Q691" s="311"/>
      <c r="R691" s="311"/>
      <c r="S691" s="310"/>
      <c r="T691" s="310"/>
      <c r="U691" s="310"/>
      <c r="V691" s="310"/>
      <c r="W691" s="310"/>
      <c r="X691" s="305"/>
      <c r="Y691" s="305"/>
      <c r="Z691" s="305"/>
      <c r="AA691" s="305"/>
      <c r="AB691" s="305"/>
      <c r="AC691" s="305"/>
      <c r="AD691" s="306"/>
      <c r="AE691" s="307"/>
    </row>
    <row r="692" spans="1:31" ht="15" customHeight="1" x14ac:dyDescent="0.25">
      <c r="A692" s="305"/>
      <c r="B692" s="305"/>
      <c r="C692" s="305"/>
      <c r="D692" s="305"/>
      <c r="E692" s="305"/>
      <c r="F692" s="308"/>
      <c r="G692" s="305"/>
      <c r="H692" s="305"/>
      <c r="I692" s="305"/>
      <c r="J692" s="305"/>
      <c r="K692" s="305"/>
      <c r="L692" s="305"/>
      <c r="M692" s="305"/>
      <c r="N692" s="309"/>
      <c r="O692" s="305"/>
      <c r="P692" s="310"/>
      <c r="Q692" s="311"/>
      <c r="R692" s="311"/>
      <c r="S692" s="310"/>
      <c r="T692" s="310"/>
      <c r="U692" s="310"/>
      <c r="V692" s="310"/>
      <c r="W692" s="310"/>
      <c r="X692" s="305"/>
      <c r="Y692" s="305"/>
      <c r="Z692" s="305"/>
      <c r="AA692" s="305"/>
      <c r="AB692" s="305"/>
      <c r="AC692" s="305"/>
      <c r="AD692" s="306"/>
      <c r="AE692" s="307"/>
    </row>
    <row r="693" spans="1:31" ht="15" customHeight="1" x14ac:dyDescent="0.25">
      <c r="A693" s="305"/>
      <c r="B693" s="305"/>
      <c r="C693" s="305"/>
      <c r="D693" s="305"/>
      <c r="E693" s="305"/>
      <c r="F693" s="308"/>
      <c r="G693" s="305"/>
      <c r="H693" s="305"/>
      <c r="I693" s="305"/>
      <c r="J693" s="305"/>
      <c r="K693" s="305"/>
      <c r="L693" s="305"/>
      <c r="M693" s="305"/>
      <c r="N693" s="309"/>
      <c r="O693" s="305"/>
      <c r="P693" s="310"/>
      <c r="Q693" s="311"/>
      <c r="R693" s="311"/>
      <c r="S693" s="310"/>
      <c r="T693" s="310"/>
      <c r="U693" s="310"/>
      <c r="V693" s="310"/>
      <c r="W693" s="310"/>
      <c r="X693" s="305"/>
      <c r="Y693" s="305"/>
      <c r="Z693" s="305"/>
      <c r="AA693" s="305"/>
      <c r="AB693" s="305"/>
      <c r="AC693" s="305"/>
      <c r="AD693" s="306"/>
      <c r="AE693" s="307"/>
    </row>
    <row r="694" spans="1:31" ht="15" customHeight="1" x14ac:dyDescent="0.25">
      <c r="A694" s="305"/>
      <c r="B694" s="305"/>
      <c r="C694" s="305"/>
      <c r="D694" s="305"/>
      <c r="E694" s="305"/>
      <c r="F694" s="308"/>
      <c r="G694" s="305"/>
      <c r="H694" s="305"/>
      <c r="I694" s="305"/>
      <c r="J694" s="305"/>
      <c r="K694" s="305"/>
      <c r="L694" s="305"/>
      <c r="M694" s="305"/>
      <c r="N694" s="309"/>
      <c r="O694" s="305"/>
      <c r="P694" s="310"/>
      <c r="Q694" s="311"/>
      <c r="R694" s="311"/>
      <c r="S694" s="310"/>
      <c r="T694" s="310"/>
      <c r="U694" s="310"/>
      <c r="V694" s="310"/>
      <c r="W694" s="310"/>
      <c r="X694" s="305"/>
      <c r="Y694" s="305"/>
      <c r="Z694" s="305"/>
      <c r="AA694" s="305"/>
      <c r="AB694" s="305"/>
      <c r="AC694" s="305"/>
      <c r="AD694" s="306"/>
      <c r="AE694" s="307"/>
    </row>
    <row r="695" spans="1:31" ht="15" customHeight="1" x14ac:dyDescent="0.25">
      <c r="A695" s="305"/>
      <c r="B695" s="305"/>
      <c r="C695" s="305"/>
      <c r="D695" s="305"/>
      <c r="E695" s="305"/>
      <c r="F695" s="308"/>
      <c r="G695" s="305"/>
      <c r="H695" s="305"/>
      <c r="I695" s="305"/>
      <c r="J695" s="305"/>
      <c r="K695" s="305"/>
      <c r="L695" s="305"/>
      <c r="M695" s="305"/>
      <c r="N695" s="309"/>
      <c r="O695" s="305"/>
      <c r="P695" s="310"/>
      <c r="Q695" s="311"/>
      <c r="R695" s="311"/>
      <c r="S695" s="310"/>
      <c r="T695" s="310"/>
      <c r="U695" s="310"/>
      <c r="V695" s="310"/>
      <c r="W695" s="310"/>
      <c r="X695" s="305"/>
      <c r="Y695" s="305"/>
      <c r="Z695" s="305"/>
      <c r="AA695" s="305"/>
      <c r="AB695" s="305"/>
      <c r="AC695" s="305"/>
      <c r="AD695" s="306"/>
      <c r="AE695" s="307"/>
    </row>
    <row r="696" spans="1:31" ht="15" customHeight="1" x14ac:dyDescent="0.25">
      <c r="A696" s="305"/>
      <c r="B696" s="305"/>
      <c r="C696" s="305"/>
      <c r="D696" s="305"/>
      <c r="E696" s="305"/>
      <c r="F696" s="308"/>
      <c r="G696" s="305"/>
      <c r="H696" s="305"/>
      <c r="I696" s="305"/>
      <c r="J696" s="305"/>
      <c r="K696" s="305"/>
      <c r="L696" s="305"/>
      <c r="M696" s="305"/>
      <c r="N696" s="309"/>
      <c r="O696" s="305"/>
      <c r="P696" s="310"/>
      <c r="Q696" s="311"/>
      <c r="R696" s="311"/>
      <c r="S696" s="310"/>
      <c r="T696" s="310"/>
      <c r="U696" s="310"/>
      <c r="V696" s="310"/>
      <c r="W696" s="310"/>
      <c r="X696" s="305"/>
      <c r="Y696" s="305"/>
      <c r="Z696" s="305"/>
      <c r="AA696" s="305"/>
      <c r="AB696" s="305"/>
      <c r="AC696" s="305"/>
      <c r="AD696" s="306"/>
      <c r="AE696" s="307"/>
    </row>
    <row r="697" spans="1:31" ht="15" customHeight="1" x14ac:dyDescent="0.25">
      <c r="A697" s="305"/>
      <c r="B697" s="305"/>
      <c r="C697" s="305"/>
      <c r="D697" s="305"/>
      <c r="E697" s="305"/>
      <c r="F697" s="308"/>
      <c r="G697" s="305"/>
      <c r="H697" s="305"/>
      <c r="I697" s="305"/>
      <c r="J697" s="305"/>
      <c r="K697" s="305"/>
      <c r="L697" s="305"/>
      <c r="M697" s="305"/>
      <c r="N697" s="309"/>
      <c r="O697" s="305"/>
      <c r="P697" s="310"/>
      <c r="Q697" s="311"/>
      <c r="R697" s="311"/>
      <c r="S697" s="310"/>
      <c r="T697" s="310"/>
      <c r="U697" s="310"/>
      <c r="V697" s="310"/>
      <c r="W697" s="310"/>
      <c r="X697" s="305"/>
      <c r="Y697" s="305"/>
      <c r="Z697" s="305"/>
      <c r="AA697" s="305"/>
      <c r="AB697" s="305"/>
      <c r="AC697" s="305"/>
      <c r="AD697" s="306"/>
      <c r="AE697" s="307"/>
    </row>
    <row r="698" spans="1:31" ht="15" customHeight="1" x14ac:dyDescent="0.25">
      <c r="A698" s="305"/>
      <c r="B698" s="305"/>
      <c r="C698" s="305"/>
      <c r="D698" s="305"/>
      <c r="E698" s="305"/>
      <c r="F698" s="308"/>
      <c r="G698" s="305"/>
      <c r="H698" s="305"/>
      <c r="I698" s="305"/>
      <c r="J698" s="305"/>
      <c r="K698" s="305"/>
      <c r="L698" s="305"/>
      <c r="M698" s="305"/>
      <c r="N698" s="309"/>
      <c r="O698" s="305"/>
      <c r="P698" s="310"/>
      <c r="Q698" s="311"/>
      <c r="R698" s="311"/>
      <c r="S698" s="310"/>
      <c r="T698" s="310"/>
      <c r="U698" s="310"/>
      <c r="V698" s="310"/>
      <c r="W698" s="310"/>
      <c r="X698" s="305"/>
      <c r="Y698" s="305"/>
      <c r="Z698" s="305"/>
      <c r="AA698" s="305"/>
      <c r="AB698" s="305"/>
      <c r="AC698" s="305"/>
      <c r="AD698" s="306"/>
      <c r="AE698" s="307"/>
    </row>
    <row r="699" spans="1:31" ht="15" customHeight="1" x14ac:dyDescent="0.25">
      <c r="A699" s="305"/>
      <c r="B699" s="305"/>
      <c r="C699" s="305"/>
      <c r="D699" s="305"/>
      <c r="E699" s="305"/>
      <c r="F699" s="308"/>
      <c r="G699" s="305"/>
      <c r="H699" s="305"/>
      <c r="I699" s="305"/>
      <c r="J699" s="305"/>
      <c r="K699" s="305"/>
      <c r="L699" s="305"/>
      <c r="M699" s="305"/>
      <c r="N699" s="309"/>
      <c r="O699" s="305"/>
      <c r="P699" s="310"/>
      <c r="Q699" s="311"/>
      <c r="R699" s="311"/>
      <c r="S699" s="310"/>
      <c r="T699" s="310"/>
      <c r="U699" s="310"/>
      <c r="V699" s="310"/>
      <c r="W699" s="310"/>
      <c r="X699" s="305"/>
      <c r="Y699" s="305"/>
      <c r="Z699" s="305"/>
      <c r="AA699" s="305"/>
      <c r="AB699" s="305"/>
      <c r="AC699" s="305"/>
      <c r="AD699" s="306"/>
      <c r="AE699" s="307"/>
    </row>
    <row r="700" spans="1:31" ht="15" customHeight="1" x14ac:dyDescent="0.25">
      <c r="A700" s="305"/>
      <c r="B700" s="305"/>
      <c r="C700" s="305"/>
      <c r="D700" s="305"/>
      <c r="E700" s="305"/>
      <c r="F700" s="308"/>
      <c r="G700" s="305"/>
      <c r="H700" s="305"/>
      <c r="I700" s="305"/>
      <c r="J700" s="305"/>
      <c r="K700" s="305"/>
      <c r="L700" s="305"/>
      <c r="M700" s="305"/>
      <c r="N700" s="309"/>
      <c r="O700" s="305"/>
      <c r="P700" s="310"/>
      <c r="Q700" s="311"/>
      <c r="R700" s="311"/>
      <c r="S700" s="310"/>
      <c r="T700" s="310"/>
      <c r="U700" s="310"/>
      <c r="V700" s="310"/>
      <c r="W700" s="310"/>
      <c r="X700" s="305"/>
      <c r="Y700" s="305"/>
      <c r="Z700" s="305"/>
      <c r="AA700" s="305"/>
      <c r="AB700" s="305"/>
      <c r="AC700" s="305"/>
      <c r="AD700" s="306"/>
      <c r="AE700" s="307"/>
    </row>
    <row r="701" spans="1:31" ht="15" customHeight="1" x14ac:dyDescent="0.25">
      <c r="A701" s="305"/>
      <c r="B701" s="305"/>
      <c r="C701" s="305"/>
      <c r="D701" s="305"/>
      <c r="E701" s="305"/>
      <c r="F701" s="308"/>
      <c r="G701" s="305"/>
      <c r="H701" s="305"/>
      <c r="I701" s="305"/>
      <c r="J701" s="305"/>
      <c r="K701" s="305"/>
      <c r="L701" s="305"/>
      <c r="M701" s="305"/>
      <c r="N701" s="309"/>
      <c r="O701" s="305"/>
      <c r="P701" s="310"/>
      <c r="Q701" s="311"/>
      <c r="R701" s="311"/>
      <c r="S701" s="310"/>
      <c r="T701" s="310"/>
      <c r="U701" s="310"/>
      <c r="V701" s="310"/>
      <c r="W701" s="310"/>
      <c r="X701" s="305"/>
      <c r="Y701" s="305"/>
      <c r="Z701" s="305"/>
      <c r="AA701" s="305"/>
      <c r="AB701" s="305"/>
      <c r="AC701" s="305"/>
      <c r="AD701" s="306"/>
      <c r="AE701" s="307"/>
    </row>
    <row r="702" spans="1:31" ht="15" customHeight="1" x14ac:dyDescent="0.25">
      <c r="A702" s="305"/>
      <c r="B702" s="305"/>
      <c r="C702" s="305"/>
      <c r="D702" s="305"/>
      <c r="E702" s="305"/>
      <c r="F702" s="308"/>
      <c r="G702" s="305"/>
      <c r="H702" s="305"/>
      <c r="I702" s="305"/>
      <c r="J702" s="305"/>
      <c r="K702" s="305"/>
      <c r="L702" s="305"/>
      <c r="M702" s="305"/>
      <c r="N702" s="309"/>
      <c r="O702" s="305"/>
      <c r="P702" s="310"/>
      <c r="Q702" s="311"/>
      <c r="R702" s="311"/>
      <c r="S702" s="310"/>
      <c r="T702" s="310"/>
      <c r="U702" s="310"/>
      <c r="V702" s="310"/>
      <c r="W702" s="310"/>
      <c r="X702" s="305"/>
      <c r="Y702" s="305"/>
      <c r="Z702" s="305"/>
      <c r="AA702" s="305"/>
      <c r="AB702" s="305"/>
      <c r="AC702" s="305"/>
      <c r="AD702" s="306"/>
      <c r="AE702" s="307"/>
    </row>
    <row r="703" spans="1:31" ht="15" customHeight="1" x14ac:dyDescent="0.25">
      <c r="A703" s="305"/>
      <c r="B703" s="305"/>
      <c r="C703" s="305"/>
      <c r="D703" s="305"/>
      <c r="E703" s="305"/>
      <c r="F703" s="308"/>
      <c r="G703" s="305"/>
      <c r="H703" s="305"/>
      <c r="I703" s="305"/>
      <c r="J703" s="305"/>
      <c r="K703" s="305"/>
      <c r="L703" s="305"/>
      <c r="M703" s="305"/>
      <c r="N703" s="309"/>
      <c r="O703" s="305"/>
      <c r="P703" s="310"/>
      <c r="Q703" s="311"/>
      <c r="R703" s="311"/>
      <c r="S703" s="310"/>
      <c r="T703" s="310"/>
      <c r="U703" s="310"/>
      <c r="V703" s="310"/>
      <c r="W703" s="310"/>
      <c r="X703" s="305"/>
      <c r="Y703" s="305"/>
      <c r="Z703" s="305"/>
      <c r="AA703" s="305"/>
      <c r="AB703" s="305"/>
      <c r="AC703" s="305"/>
      <c r="AD703" s="306"/>
      <c r="AE703" s="307"/>
    </row>
    <row r="704" spans="1:31" ht="15" customHeight="1" x14ac:dyDescent="0.25">
      <c r="A704" s="305"/>
      <c r="B704" s="305"/>
      <c r="C704" s="305"/>
      <c r="D704" s="305"/>
      <c r="E704" s="305"/>
      <c r="F704" s="308"/>
      <c r="G704" s="305"/>
      <c r="H704" s="305"/>
      <c r="I704" s="305"/>
      <c r="J704" s="305"/>
      <c r="K704" s="305"/>
      <c r="L704" s="305"/>
      <c r="M704" s="305"/>
      <c r="N704" s="309"/>
      <c r="O704" s="305"/>
      <c r="P704" s="310"/>
      <c r="Q704" s="311"/>
      <c r="R704" s="311"/>
      <c r="S704" s="310"/>
      <c r="T704" s="310"/>
      <c r="U704" s="310"/>
      <c r="V704" s="310"/>
      <c r="W704" s="310"/>
      <c r="X704" s="305"/>
      <c r="Y704" s="305"/>
      <c r="Z704" s="305"/>
      <c r="AA704" s="305"/>
      <c r="AB704" s="305"/>
      <c r="AC704" s="305"/>
      <c r="AD704" s="306"/>
      <c r="AE704" s="307"/>
    </row>
    <row r="705" spans="1:31" ht="15" customHeight="1" x14ac:dyDescent="0.25">
      <c r="A705" s="305"/>
      <c r="B705" s="305"/>
      <c r="C705" s="305"/>
      <c r="D705" s="305"/>
      <c r="E705" s="305"/>
      <c r="F705" s="308"/>
      <c r="G705" s="305"/>
      <c r="H705" s="305"/>
      <c r="I705" s="305"/>
      <c r="J705" s="305"/>
      <c r="K705" s="305"/>
      <c r="L705" s="305"/>
      <c r="M705" s="305"/>
      <c r="N705" s="309"/>
      <c r="O705" s="305"/>
      <c r="P705" s="310"/>
      <c r="Q705" s="311"/>
      <c r="R705" s="311"/>
      <c r="S705" s="310"/>
      <c r="T705" s="310"/>
      <c r="U705" s="310"/>
      <c r="V705" s="310"/>
      <c r="W705" s="310"/>
      <c r="X705" s="305"/>
      <c r="Y705" s="305"/>
      <c r="Z705" s="305"/>
      <c r="AA705" s="305"/>
      <c r="AB705" s="305"/>
      <c r="AC705" s="305"/>
      <c r="AD705" s="306"/>
      <c r="AE705" s="307"/>
    </row>
    <row r="706" spans="1:31" ht="15" customHeight="1" x14ac:dyDescent="0.25">
      <c r="A706" s="305"/>
      <c r="B706" s="305"/>
      <c r="C706" s="305"/>
      <c r="D706" s="305"/>
      <c r="E706" s="305"/>
      <c r="F706" s="308"/>
      <c r="G706" s="305"/>
      <c r="H706" s="305"/>
      <c r="I706" s="305"/>
      <c r="J706" s="305"/>
      <c r="K706" s="305"/>
      <c r="L706" s="305"/>
      <c r="M706" s="305"/>
      <c r="N706" s="309"/>
      <c r="O706" s="305"/>
      <c r="P706" s="310"/>
      <c r="Q706" s="311"/>
      <c r="R706" s="311"/>
      <c r="S706" s="310"/>
      <c r="T706" s="310"/>
      <c r="U706" s="310"/>
      <c r="V706" s="310"/>
      <c r="W706" s="310"/>
      <c r="X706" s="305"/>
      <c r="Y706" s="305"/>
      <c r="Z706" s="305"/>
      <c r="AA706" s="305"/>
      <c r="AB706" s="305"/>
      <c r="AC706" s="305"/>
      <c r="AD706" s="306"/>
      <c r="AE706" s="307"/>
    </row>
    <row r="707" spans="1:31" ht="15" customHeight="1" x14ac:dyDescent="0.25">
      <c r="A707" s="305"/>
      <c r="B707" s="305"/>
      <c r="C707" s="305"/>
      <c r="D707" s="305"/>
      <c r="E707" s="305"/>
      <c r="F707" s="308"/>
      <c r="G707" s="305"/>
      <c r="H707" s="305"/>
      <c r="I707" s="305"/>
      <c r="J707" s="305"/>
      <c r="K707" s="305"/>
      <c r="L707" s="305"/>
      <c r="M707" s="305"/>
      <c r="N707" s="309"/>
      <c r="O707" s="305"/>
      <c r="P707" s="310"/>
      <c r="Q707" s="311"/>
      <c r="R707" s="311"/>
      <c r="S707" s="310"/>
      <c r="T707" s="310"/>
      <c r="U707" s="310"/>
      <c r="V707" s="310"/>
      <c r="W707" s="310"/>
      <c r="X707" s="305"/>
      <c r="Y707" s="305"/>
      <c r="Z707" s="305"/>
      <c r="AA707" s="305"/>
      <c r="AB707" s="305"/>
      <c r="AC707" s="305"/>
      <c r="AD707" s="306"/>
      <c r="AE707" s="307"/>
    </row>
    <row r="708" spans="1:31" ht="15" customHeight="1" x14ac:dyDescent="0.25">
      <c r="A708" s="305"/>
      <c r="B708" s="305"/>
      <c r="C708" s="305"/>
      <c r="D708" s="305"/>
      <c r="E708" s="305"/>
      <c r="F708" s="308"/>
      <c r="G708" s="305"/>
      <c r="H708" s="305"/>
      <c r="I708" s="305"/>
      <c r="J708" s="305"/>
      <c r="K708" s="305"/>
      <c r="L708" s="305"/>
      <c r="M708" s="305"/>
      <c r="N708" s="309"/>
      <c r="O708" s="305"/>
      <c r="P708" s="310"/>
      <c r="Q708" s="311"/>
      <c r="R708" s="311"/>
      <c r="S708" s="310"/>
      <c r="T708" s="310"/>
      <c r="U708" s="310"/>
      <c r="V708" s="310"/>
      <c r="W708" s="310"/>
      <c r="X708" s="305"/>
      <c r="Y708" s="305"/>
      <c r="Z708" s="305"/>
      <c r="AA708" s="305"/>
      <c r="AB708" s="305"/>
      <c r="AC708" s="305"/>
      <c r="AD708" s="306"/>
      <c r="AE708" s="307"/>
    </row>
    <row r="709" spans="1:31" ht="15" customHeight="1" x14ac:dyDescent="0.25">
      <c r="A709" s="305"/>
      <c r="B709" s="305"/>
      <c r="C709" s="305"/>
      <c r="D709" s="305"/>
      <c r="E709" s="305"/>
      <c r="F709" s="308"/>
      <c r="G709" s="305"/>
      <c r="H709" s="305"/>
      <c r="I709" s="305"/>
      <c r="J709" s="305"/>
      <c r="K709" s="305"/>
      <c r="L709" s="305"/>
      <c r="M709" s="305"/>
      <c r="N709" s="309"/>
      <c r="O709" s="305"/>
      <c r="P709" s="310"/>
      <c r="Q709" s="311"/>
      <c r="R709" s="311"/>
      <c r="S709" s="310"/>
      <c r="T709" s="310"/>
      <c r="U709" s="310"/>
      <c r="V709" s="310"/>
      <c r="W709" s="310"/>
      <c r="X709" s="305"/>
      <c r="Y709" s="305"/>
      <c r="Z709" s="305"/>
      <c r="AA709" s="305"/>
      <c r="AB709" s="305"/>
      <c r="AC709" s="305"/>
      <c r="AD709" s="306"/>
      <c r="AE709" s="307"/>
    </row>
    <row r="710" spans="1:31" ht="15" customHeight="1" x14ac:dyDescent="0.25">
      <c r="A710" s="305"/>
      <c r="B710" s="305"/>
      <c r="C710" s="305"/>
      <c r="D710" s="305"/>
      <c r="E710" s="305"/>
      <c r="F710" s="308"/>
      <c r="G710" s="305"/>
      <c r="H710" s="305"/>
      <c r="I710" s="305"/>
      <c r="J710" s="305"/>
      <c r="K710" s="305"/>
      <c r="L710" s="305"/>
      <c r="M710" s="305"/>
      <c r="N710" s="309"/>
      <c r="O710" s="305"/>
      <c r="P710" s="310"/>
      <c r="Q710" s="311"/>
      <c r="R710" s="311"/>
      <c r="S710" s="310"/>
      <c r="T710" s="310"/>
      <c r="U710" s="310"/>
      <c r="V710" s="310"/>
      <c r="W710" s="310"/>
      <c r="X710" s="305"/>
      <c r="Y710" s="305"/>
      <c r="Z710" s="305"/>
      <c r="AA710" s="305"/>
      <c r="AB710" s="305"/>
      <c r="AC710" s="305"/>
      <c r="AD710" s="306"/>
      <c r="AE710" s="307"/>
    </row>
    <row r="711" spans="1:31" ht="15" customHeight="1" x14ac:dyDescent="0.25">
      <c r="A711" s="305"/>
      <c r="B711" s="305"/>
      <c r="C711" s="305"/>
      <c r="D711" s="305"/>
      <c r="E711" s="305"/>
      <c r="F711" s="308"/>
      <c r="G711" s="305"/>
      <c r="H711" s="305"/>
      <c r="I711" s="305"/>
      <c r="J711" s="305"/>
      <c r="K711" s="305"/>
      <c r="L711" s="305"/>
      <c r="M711" s="305"/>
      <c r="N711" s="309"/>
      <c r="O711" s="305"/>
      <c r="P711" s="310"/>
      <c r="Q711" s="311"/>
      <c r="R711" s="311"/>
      <c r="S711" s="310"/>
      <c r="T711" s="310"/>
      <c r="U711" s="310"/>
      <c r="V711" s="310"/>
      <c r="W711" s="310"/>
      <c r="X711" s="305"/>
      <c r="Y711" s="305"/>
      <c r="Z711" s="305"/>
      <c r="AA711" s="305"/>
      <c r="AB711" s="305"/>
      <c r="AC711" s="305"/>
      <c r="AD711" s="306"/>
      <c r="AE711" s="307"/>
    </row>
    <row r="712" spans="1:31" ht="15" customHeight="1" x14ac:dyDescent="0.25">
      <c r="A712" s="305"/>
      <c r="B712" s="305"/>
      <c r="C712" s="305"/>
      <c r="D712" s="305"/>
      <c r="E712" s="305"/>
      <c r="F712" s="308"/>
      <c r="G712" s="305"/>
      <c r="H712" s="305"/>
      <c r="I712" s="305"/>
      <c r="J712" s="305"/>
      <c r="K712" s="305"/>
      <c r="L712" s="305"/>
      <c r="M712" s="305"/>
      <c r="N712" s="309"/>
      <c r="O712" s="305"/>
      <c r="P712" s="310"/>
      <c r="Q712" s="311"/>
      <c r="R712" s="311"/>
      <c r="S712" s="310"/>
      <c r="T712" s="310"/>
      <c r="U712" s="310"/>
      <c r="V712" s="310"/>
      <c r="W712" s="310"/>
      <c r="X712" s="305"/>
      <c r="Y712" s="305"/>
      <c r="Z712" s="305"/>
      <c r="AA712" s="305"/>
      <c r="AB712" s="305"/>
      <c r="AC712" s="305"/>
      <c r="AD712" s="306"/>
      <c r="AE712" s="307"/>
    </row>
    <row r="713" spans="1:31" ht="15" customHeight="1" x14ac:dyDescent="0.25">
      <c r="A713" s="305"/>
      <c r="B713" s="305"/>
      <c r="C713" s="305"/>
      <c r="D713" s="305"/>
      <c r="E713" s="305"/>
      <c r="F713" s="308"/>
      <c r="G713" s="305"/>
      <c r="H713" s="305"/>
      <c r="I713" s="305"/>
      <c r="J713" s="305"/>
      <c r="K713" s="305"/>
      <c r="L713" s="305"/>
      <c r="M713" s="305"/>
      <c r="N713" s="309"/>
      <c r="O713" s="305"/>
      <c r="P713" s="310"/>
      <c r="Q713" s="311"/>
      <c r="R713" s="311"/>
      <c r="S713" s="310"/>
      <c r="T713" s="310"/>
      <c r="U713" s="310"/>
      <c r="V713" s="310"/>
      <c r="W713" s="310"/>
      <c r="X713" s="305"/>
      <c r="Y713" s="305"/>
      <c r="Z713" s="305"/>
      <c r="AA713" s="305"/>
      <c r="AB713" s="305"/>
      <c r="AC713" s="305"/>
      <c r="AD713" s="306"/>
      <c r="AE713" s="307"/>
    </row>
    <row r="714" spans="1:31" ht="15" customHeight="1" x14ac:dyDescent="0.25">
      <c r="A714" s="305"/>
      <c r="B714" s="305"/>
      <c r="C714" s="305"/>
      <c r="D714" s="305"/>
      <c r="E714" s="305"/>
      <c r="F714" s="308"/>
      <c r="G714" s="305"/>
      <c r="H714" s="305"/>
      <c r="I714" s="305"/>
      <c r="J714" s="305"/>
      <c r="K714" s="305"/>
      <c r="L714" s="305"/>
      <c r="M714" s="305"/>
      <c r="N714" s="309"/>
      <c r="O714" s="305"/>
      <c r="P714" s="310"/>
      <c r="Q714" s="311"/>
      <c r="R714" s="311"/>
      <c r="S714" s="310"/>
      <c r="T714" s="310"/>
      <c r="U714" s="310"/>
      <c r="V714" s="310"/>
      <c r="W714" s="310"/>
      <c r="X714" s="305"/>
      <c r="Y714" s="305"/>
      <c r="Z714" s="305"/>
      <c r="AA714" s="305"/>
      <c r="AB714" s="305"/>
      <c r="AC714" s="305"/>
      <c r="AD714" s="306"/>
      <c r="AE714" s="307"/>
    </row>
    <row r="715" spans="1:31" ht="15" customHeight="1" x14ac:dyDescent="0.25">
      <c r="A715" s="305"/>
      <c r="B715" s="305"/>
      <c r="C715" s="305"/>
      <c r="D715" s="305"/>
      <c r="E715" s="305"/>
      <c r="F715" s="308"/>
      <c r="G715" s="305"/>
      <c r="H715" s="305"/>
      <c r="I715" s="305"/>
      <c r="J715" s="305"/>
      <c r="K715" s="305"/>
      <c r="L715" s="305"/>
      <c r="M715" s="305"/>
      <c r="N715" s="309"/>
      <c r="O715" s="305"/>
      <c r="P715" s="310"/>
      <c r="Q715" s="311"/>
      <c r="R715" s="311"/>
      <c r="S715" s="310"/>
      <c r="T715" s="310"/>
      <c r="U715" s="310"/>
      <c r="V715" s="310"/>
      <c r="W715" s="310"/>
      <c r="X715" s="305"/>
      <c r="Y715" s="305"/>
      <c r="Z715" s="305"/>
      <c r="AA715" s="305"/>
      <c r="AB715" s="305"/>
      <c r="AC715" s="305"/>
      <c r="AD715" s="306"/>
      <c r="AE715" s="307"/>
    </row>
    <row r="716" spans="1:31" ht="15" customHeight="1" x14ac:dyDescent="0.25">
      <c r="A716" s="305"/>
      <c r="B716" s="305"/>
      <c r="C716" s="305"/>
      <c r="D716" s="305"/>
      <c r="E716" s="305"/>
      <c r="F716" s="308"/>
      <c r="G716" s="305"/>
      <c r="H716" s="305"/>
      <c r="I716" s="305"/>
      <c r="J716" s="305"/>
      <c r="K716" s="305"/>
      <c r="L716" s="305"/>
      <c r="M716" s="305"/>
      <c r="N716" s="309"/>
      <c r="O716" s="305"/>
      <c r="P716" s="310"/>
      <c r="Q716" s="311"/>
      <c r="R716" s="311"/>
      <c r="S716" s="310"/>
      <c r="T716" s="310"/>
      <c r="U716" s="310"/>
      <c r="V716" s="310"/>
      <c r="W716" s="310"/>
      <c r="X716" s="305"/>
      <c r="Y716" s="305"/>
      <c r="Z716" s="305"/>
      <c r="AA716" s="305"/>
      <c r="AB716" s="305"/>
      <c r="AC716" s="305"/>
      <c r="AD716" s="306"/>
      <c r="AE716" s="307"/>
    </row>
    <row r="717" spans="1:31" ht="15" customHeight="1" x14ac:dyDescent="0.25">
      <c r="A717" s="305"/>
      <c r="B717" s="305"/>
      <c r="C717" s="305"/>
      <c r="D717" s="305"/>
      <c r="E717" s="305"/>
      <c r="F717" s="308"/>
      <c r="G717" s="305"/>
      <c r="H717" s="305"/>
      <c r="I717" s="305"/>
      <c r="J717" s="305"/>
      <c r="K717" s="305"/>
      <c r="L717" s="305"/>
      <c r="M717" s="305"/>
      <c r="N717" s="309"/>
      <c r="O717" s="305"/>
      <c r="P717" s="310"/>
      <c r="Q717" s="311"/>
      <c r="R717" s="311"/>
      <c r="S717" s="310"/>
      <c r="T717" s="310"/>
      <c r="U717" s="310"/>
      <c r="V717" s="310"/>
      <c r="W717" s="310"/>
      <c r="X717" s="305"/>
      <c r="Y717" s="305"/>
      <c r="Z717" s="305"/>
      <c r="AA717" s="305"/>
      <c r="AB717" s="305"/>
      <c r="AC717" s="305"/>
      <c r="AD717" s="306"/>
      <c r="AE717" s="307"/>
    </row>
    <row r="718" spans="1:31" ht="15" customHeight="1" x14ac:dyDescent="0.25">
      <c r="A718" s="305"/>
      <c r="B718" s="305"/>
      <c r="C718" s="305"/>
      <c r="D718" s="305"/>
      <c r="E718" s="305"/>
      <c r="F718" s="308"/>
      <c r="G718" s="305"/>
      <c r="H718" s="305"/>
      <c r="I718" s="305"/>
      <c r="J718" s="305"/>
      <c r="K718" s="305"/>
      <c r="L718" s="305"/>
      <c r="M718" s="305"/>
      <c r="N718" s="309"/>
      <c r="O718" s="305"/>
      <c r="P718" s="310"/>
      <c r="Q718" s="311"/>
      <c r="R718" s="311"/>
      <c r="S718" s="310"/>
      <c r="T718" s="310"/>
      <c r="U718" s="310"/>
      <c r="V718" s="310"/>
      <c r="W718" s="310"/>
      <c r="X718" s="305"/>
      <c r="Y718" s="305"/>
      <c r="Z718" s="305"/>
      <c r="AA718" s="305"/>
      <c r="AB718" s="305"/>
      <c r="AC718" s="305"/>
      <c r="AD718" s="306"/>
      <c r="AE718" s="307"/>
    </row>
    <row r="719" spans="1:31" ht="15" customHeight="1" x14ac:dyDescent="0.25">
      <c r="A719" s="305"/>
      <c r="B719" s="305"/>
      <c r="C719" s="305"/>
      <c r="D719" s="305"/>
      <c r="E719" s="305"/>
      <c r="F719" s="308"/>
      <c r="G719" s="305"/>
      <c r="H719" s="305"/>
      <c r="I719" s="305"/>
      <c r="J719" s="305"/>
      <c r="K719" s="305"/>
      <c r="L719" s="305"/>
      <c r="M719" s="305"/>
      <c r="N719" s="309"/>
      <c r="O719" s="305"/>
      <c r="P719" s="310"/>
      <c r="Q719" s="311"/>
      <c r="R719" s="311"/>
      <c r="S719" s="310"/>
      <c r="T719" s="310"/>
      <c r="U719" s="310"/>
      <c r="V719" s="310"/>
      <c r="W719" s="310"/>
      <c r="X719" s="305"/>
      <c r="Y719" s="305"/>
      <c r="Z719" s="305"/>
      <c r="AA719" s="305"/>
      <c r="AB719" s="305"/>
      <c r="AC719" s="305"/>
      <c r="AD719" s="306"/>
      <c r="AE719" s="307"/>
    </row>
    <row r="720" spans="1:31" ht="15" customHeight="1" x14ac:dyDescent="0.25">
      <c r="A720" s="305"/>
      <c r="B720" s="305"/>
      <c r="C720" s="305"/>
      <c r="D720" s="305"/>
      <c r="E720" s="305"/>
      <c r="F720" s="308"/>
      <c r="G720" s="305"/>
      <c r="H720" s="305"/>
      <c r="I720" s="305"/>
      <c r="J720" s="305"/>
      <c r="K720" s="305"/>
      <c r="L720" s="305"/>
      <c r="M720" s="305"/>
      <c r="N720" s="309"/>
      <c r="O720" s="305"/>
      <c r="P720" s="310"/>
      <c r="Q720" s="311"/>
      <c r="R720" s="311"/>
      <c r="S720" s="310"/>
      <c r="T720" s="310"/>
      <c r="U720" s="310"/>
      <c r="V720" s="310"/>
      <c r="W720" s="310"/>
      <c r="X720" s="305"/>
      <c r="Y720" s="305"/>
      <c r="Z720" s="305"/>
      <c r="AA720" s="305"/>
      <c r="AB720" s="305"/>
      <c r="AC720" s="305"/>
      <c r="AD720" s="306"/>
      <c r="AE720" s="307"/>
    </row>
    <row r="721" spans="1:31" ht="15" customHeight="1" x14ac:dyDescent="0.25">
      <c r="A721" s="305"/>
      <c r="B721" s="305"/>
      <c r="C721" s="305"/>
      <c r="D721" s="305"/>
      <c r="E721" s="305"/>
      <c r="F721" s="308"/>
      <c r="G721" s="305"/>
      <c r="H721" s="305"/>
      <c r="I721" s="305"/>
      <c r="J721" s="305"/>
      <c r="K721" s="305"/>
      <c r="L721" s="305"/>
      <c r="M721" s="305"/>
      <c r="N721" s="309"/>
      <c r="O721" s="305"/>
      <c r="P721" s="310"/>
      <c r="Q721" s="311"/>
      <c r="R721" s="311"/>
      <c r="S721" s="310"/>
      <c r="T721" s="310"/>
      <c r="U721" s="310"/>
      <c r="V721" s="310"/>
      <c r="W721" s="310"/>
      <c r="X721" s="305"/>
      <c r="Y721" s="305"/>
      <c r="Z721" s="305"/>
      <c r="AA721" s="305"/>
      <c r="AB721" s="305"/>
      <c r="AC721" s="305"/>
      <c r="AD721" s="306"/>
      <c r="AE721" s="307"/>
    </row>
    <row r="722" spans="1:31" ht="15" customHeight="1" x14ac:dyDescent="0.25">
      <c r="A722" s="305"/>
      <c r="B722" s="305"/>
      <c r="C722" s="305"/>
      <c r="D722" s="305"/>
      <c r="E722" s="305"/>
      <c r="F722" s="308"/>
      <c r="G722" s="305"/>
      <c r="H722" s="305"/>
      <c r="I722" s="305"/>
      <c r="J722" s="305"/>
      <c r="K722" s="305"/>
      <c r="L722" s="305"/>
      <c r="M722" s="305"/>
      <c r="N722" s="309"/>
      <c r="O722" s="305"/>
      <c r="P722" s="310"/>
      <c r="Q722" s="311"/>
      <c r="R722" s="311"/>
      <c r="S722" s="310"/>
      <c r="T722" s="310"/>
      <c r="U722" s="310"/>
      <c r="V722" s="310"/>
      <c r="W722" s="310"/>
      <c r="X722" s="305"/>
      <c r="Y722" s="305"/>
      <c r="Z722" s="305"/>
      <c r="AA722" s="305"/>
      <c r="AB722" s="305"/>
      <c r="AC722" s="305"/>
      <c r="AD722" s="306"/>
      <c r="AE722" s="307"/>
    </row>
    <row r="723" spans="1:31" ht="15" customHeight="1" x14ac:dyDescent="0.25">
      <c r="A723" s="305"/>
      <c r="B723" s="305"/>
      <c r="C723" s="305"/>
      <c r="D723" s="305"/>
      <c r="E723" s="305"/>
      <c r="F723" s="308"/>
      <c r="G723" s="305"/>
      <c r="H723" s="305"/>
      <c r="I723" s="305"/>
      <c r="J723" s="305"/>
      <c r="K723" s="305"/>
      <c r="L723" s="305"/>
      <c r="M723" s="305"/>
      <c r="N723" s="309"/>
      <c r="O723" s="305"/>
      <c r="P723" s="310"/>
      <c r="Q723" s="311"/>
      <c r="R723" s="311"/>
      <c r="S723" s="310"/>
      <c r="T723" s="310"/>
      <c r="U723" s="310"/>
      <c r="V723" s="310"/>
      <c r="W723" s="310"/>
      <c r="X723" s="305"/>
      <c r="Y723" s="305"/>
      <c r="Z723" s="305"/>
      <c r="AA723" s="305"/>
      <c r="AB723" s="305"/>
      <c r="AC723" s="305"/>
      <c r="AD723" s="306"/>
      <c r="AE723" s="307"/>
    </row>
    <row r="724" spans="1:31" ht="15" customHeight="1" x14ac:dyDescent="0.25">
      <c r="A724" s="305"/>
      <c r="B724" s="305"/>
      <c r="C724" s="305"/>
      <c r="D724" s="305"/>
      <c r="E724" s="305"/>
      <c r="F724" s="308"/>
      <c r="G724" s="305"/>
      <c r="H724" s="305"/>
      <c r="I724" s="305"/>
      <c r="J724" s="305"/>
      <c r="K724" s="305"/>
      <c r="L724" s="305"/>
      <c r="M724" s="305"/>
      <c r="N724" s="309"/>
      <c r="O724" s="305"/>
      <c r="P724" s="310"/>
      <c r="Q724" s="311"/>
      <c r="R724" s="311"/>
      <c r="S724" s="310"/>
      <c r="T724" s="310"/>
      <c r="U724" s="310"/>
      <c r="V724" s="310"/>
      <c r="W724" s="310"/>
      <c r="X724" s="305"/>
      <c r="Y724" s="305"/>
      <c r="Z724" s="305"/>
      <c r="AA724" s="305"/>
      <c r="AB724" s="305"/>
      <c r="AC724" s="305"/>
      <c r="AD724" s="306"/>
      <c r="AE724" s="307"/>
    </row>
    <row r="725" spans="1:31" ht="15" customHeight="1" x14ac:dyDescent="0.25">
      <c r="A725" s="305"/>
      <c r="B725" s="305"/>
      <c r="C725" s="305"/>
      <c r="D725" s="305"/>
      <c r="E725" s="305"/>
      <c r="F725" s="308"/>
      <c r="G725" s="305"/>
      <c r="H725" s="305"/>
      <c r="I725" s="305"/>
      <c r="J725" s="305"/>
      <c r="K725" s="305"/>
      <c r="L725" s="305"/>
      <c r="M725" s="305"/>
      <c r="N725" s="309"/>
      <c r="O725" s="305"/>
      <c r="P725" s="310"/>
      <c r="Q725" s="311"/>
      <c r="R725" s="311"/>
      <c r="S725" s="310"/>
      <c r="T725" s="310"/>
      <c r="U725" s="310"/>
      <c r="V725" s="310"/>
      <c r="W725" s="310"/>
      <c r="X725" s="305"/>
      <c r="Y725" s="305"/>
      <c r="Z725" s="305"/>
      <c r="AA725" s="305"/>
      <c r="AB725" s="305"/>
      <c r="AC725" s="305"/>
      <c r="AD725" s="306"/>
      <c r="AE725" s="307"/>
    </row>
    <row r="726" spans="1:31" ht="15" customHeight="1" x14ac:dyDescent="0.25">
      <c r="A726" s="305"/>
      <c r="B726" s="305"/>
      <c r="C726" s="305"/>
      <c r="D726" s="305"/>
      <c r="E726" s="305"/>
      <c r="F726" s="308"/>
      <c r="G726" s="305"/>
      <c r="H726" s="305"/>
      <c r="I726" s="305"/>
      <c r="J726" s="305"/>
      <c r="K726" s="305"/>
      <c r="L726" s="305"/>
      <c r="M726" s="305"/>
      <c r="N726" s="309"/>
      <c r="O726" s="305"/>
      <c r="P726" s="310"/>
      <c r="Q726" s="311"/>
      <c r="R726" s="311"/>
      <c r="S726" s="310"/>
      <c r="T726" s="310"/>
      <c r="U726" s="310"/>
      <c r="V726" s="310"/>
      <c r="W726" s="310"/>
      <c r="X726" s="305"/>
      <c r="Y726" s="305"/>
      <c r="Z726" s="305"/>
      <c r="AA726" s="305"/>
      <c r="AB726" s="305"/>
      <c r="AC726" s="305"/>
      <c r="AD726" s="306"/>
      <c r="AE726" s="307"/>
    </row>
    <row r="727" spans="1:31" ht="15" customHeight="1" x14ac:dyDescent="0.25">
      <c r="A727" s="305"/>
      <c r="B727" s="305"/>
      <c r="C727" s="305"/>
      <c r="D727" s="305"/>
      <c r="E727" s="305"/>
      <c r="F727" s="308"/>
      <c r="G727" s="305"/>
      <c r="H727" s="305"/>
      <c r="I727" s="305"/>
      <c r="J727" s="305"/>
      <c r="K727" s="305"/>
      <c r="L727" s="305"/>
      <c r="M727" s="305"/>
      <c r="N727" s="309"/>
      <c r="O727" s="305"/>
      <c r="P727" s="310"/>
      <c r="Q727" s="311"/>
      <c r="R727" s="311"/>
      <c r="S727" s="310"/>
      <c r="T727" s="310"/>
      <c r="U727" s="310"/>
      <c r="V727" s="310"/>
      <c r="W727" s="310"/>
      <c r="X727" s="305"/>
      <c r="Y727" s="305"/>
      <c r="Z727" s="305"/>
      <c r="AA727" s="305"/>
      <c r="AB727" s="305"/>
      <c r="AC727" s="305"/>
      <c r="AD727" s="306"/>
      <c r="AE727" s="307"/>
    </row>
    <row r="728" spans="1:31" ht="15" customHeight="1" x14ac:dyDescent="0.25">
      <c r="A728" s="305"/>
      <c r="B728" s="305"/>
      <c r="C728" s="305"/>
      <c r="D728" s="305"/>
      <c r="E728" s="305"/>
      <c r="F728" s="308"/>
      <c r="G728" s="305"/>
      <c r="H728" s="305"/>
      <c r="I728" s="305"/>
      <c r="J728" s="305"/>
      <c r="K728" s="305"/>
      <c r="L728" s="305"/>
      <c r="M728" s="305"/>
      <c r="N728" s="309"/>
      <c r="O728" s="305"/>
      <c r="P728" s="310"/>
      <c r="Q728" s="311"/>
      <c r="R728" s="311"/>
      <c r="S728" s="310"/>
      <c r="T728" s="310"/>
      <c r="U728" s="310"/>
      <c r="V728" s="310"/>
      <c r="W728" s="310"/>
      <c r="X728" s="305"/>
      <c r="Y728" s="305"/>
      <c r="Z728" s="305"/>
      <c r="AA728" s="305"/>
      <c r="AB728" s="305"/>
      <c r="AC728" s="305"/>
      <c r="AD728" s="306"/>
      <c r="AE728" s="307"/>
    </row>
    <row r="729" spans="1:31" ht="15" customHeight="1" x14ac:dyDescent="0.25">
      <c r="A729" s="305"/>
      <c r="B729" s="305"/>
      <c r="C729" s="305"/>
      <c r="D729" s="305"/>
      <c r="E729" s="305"/>
      <c r="F729" s="308"/>
      <c r="G729" s="305"/>
      <c r="H729" s="305"/>
      <c r="I729" s="305"/>
      <c r="J729" s="305"/>
      <c r="K729" s="305"/>
      <c r="L729" s="305"/>
      <c r="M729" s="305"/>
      <c r="N729" s="309"/>
      <c r="O729" s="305"/>
      <c r="P729" s="310"/>
      <c r="Q729" s="311"/>
      <c r="R729" s="311"/>
      <c r="S729" s="310"/>
      <c r="T729" s="310"/>
      <c r="U729" s="310"/>
      <c r="V729" s="310"/>
      <c r="W729" s="310"/>
      <c r="X729" s="305"/>
      <c r="Y729" s="305"/>
      <c r="Z729" s="305"/>
      <c r="AA729" s="305"/>
      <c r="AB729" s="305"/>
      <c r="AC729" s="305"/>
      <c r="AD729" s="306"/>
      <c r="AE729" s="307"/>
    </row>
    <row r="730" spans="1:31" ht="15" customHeight="1" x14ac:dyDescent="0.25">
      <c r="A730" s="305"/>
      <c r="B730" s="305"/>
      <c r="C730" s="305"/>
      <c r="D730" s="305"/>
      <c r="E730" s="305"/>
      <c r="F730" s="308"/>
      <c r="G730" s="305"/>
      <c r="H730" s="305"/>
      <c r="I730" s="305"/>
      <c r="J730" s="305"/>
      <c r="K730" s="305"/>
      <c r="L730" s="305"/>
      <c r="M730" s="305"/>
      <c r="N730" s="309"/>
      <c r="O730" s="305"/>
      <c r="P730" s="310"/>
      <c r="Q730" s="311"/>
      <c r="R730" s="311"/>
      <c r="S730" s="310"/>
      <c r="T730" s="310"/>
      <c r="U730" s="310"/>
      <c r="V730" s="310"/>
      <c r="W730" s="310"/>
      <c r="X730" s="305"/>
      <c r="Y730" s="305"/>
      <c r="Z730" s="305"/>
      <c r="AA730" s="305"/>
      <c r="AB730" s="305"/>
      <c r="AC730" s="305"/>
      <c r="AD730" s="306"/>
      <c r="AE730" s="307"/>
    </row>
    <row r="731" spans="1:31" ht="15" customHeight="1" x14ac:dyDescent="0.25">
      <c r="A731" s="305"/>
      <c r="B731" s="305"/>
      <c r="C731" s="305"/>
      <c r="D731" s="305"/>
      <c r="E731" s="305"/>
      <c r="F731" s="308"/>
      <c r="G731" s="305"/>
      <c r="H731" s="305"/>
      <c r="I731" s="305"/>
      <c r="J731" s="305"/>
      <c r="K731" s="305"/>
      <c r="L731" s="305"/>
      <c r="M731" s="305"/>
      <c r="N731" s="309"/>
      <c r="O731" s="305"/>
      <c r="P731" s="310"/>
      <c r="Q731" s="311"/>
      <c r="R731" s="311"/>
      <c r="S731" s="310"/>
      <c r="T731" s="310"/>
      <c r="U731" s="310"/>
      <c r="V731" s="310"/>
      <c r="W731" s="310"/>
      <c r="X731" s="305"/>
      <c r="Y731" s="305"/>
      <c r="Z731" s="305"/>
      <c r="AA731" s="305"/>
      <c r="AB731" s="305"/>
      <c r="AC731" s="305"/>
      <c r="AD731" s="306"/>
      <c r="AE731" s="307"/>
    </row>
    <row r="732" spans="1:31" ht="15" customHeight="1" x14ac:dyDescent="0.25">
      <c r="A732" s="305"/>
      <c r="B732" s="305"/>
      <c r="C732" s="305"/>
      <c r="D732" s="305"/>
      <c r="E732" s="305"/>
      <c r="F732" s="308"/>
      <c r="G732" s="305"/>
      <c r="H732" s="305"/>
      <c r="I732" s="305"/>
      <c r="J732" s="305"/>
      <c r="K732" s="305"/>
      <c r="L732" s="305"/>
      <c r="M732" s="305"/>
      <c r="N732" s="309"/>
      <c r="O732" s="305"/>
      <c r="P732" s="310"/>
      <c r="Q732" s="311"/>
      <c r="R732" s="311"/>
      <c r="S732" s="310"/>
      <c r="T732" s="310"/>
      <c r="U732" s="310"/>
      <c r="V732" s="310"/>
      <c r="W732" s="310"/>
      <c r="X732" s="305"/>
      <c r="Y732" s="305"/>
      <c r="Z732" s="305"/>
      <c r="AA732" s="305"/>
      <c r="AB732" s="305"/>
      <c r="AC732" s="305"/>
      <c r="AD732" s="306"/>
      <c r="AE732" s="307"/>
    </row>
    <row r="733" spans="1:31" ht="15" customHeight="1" x14ac:dyDescent="0.25">
      <c r="A733" s="305"/>
      <c r="B733" s="305"/>
      <c r="C733" s="305"/>
      <c r="D733" s="305"/>
      <c r="E733" s="305"/>
      <c r="F733" s="308"/>
      <c r="G733" s="305"/>
      <c r="H733" s="305"/>
      <c r="I733" s="305"/>
      <c r="J733" s="305"/>
      <c r="K733" s="305"/>
      <c r="L733" s="305"/>
      <c r="M733" s="305"/>
      <c r="N733" s="309"/>
      <c r="O733" s="305"/>
      <c r="P733" s="310"/>
      <c r="Q733" s="311"/>
      <c r="R733" s="311"/>
      <c r="S733" s="310"/>
      <c r="T733" s="310"/>
      <c r="U733" s="310"/>
      <c r="V733" s="310"/>
      <c r="W733" s="310"/>
      <c r="X733" s="305"/>
      <c r="Y733" s="305"/>
      <c r="Z733" s="305"/>
      <c r="AA733" s="305"/>
      <c r="AB733" s="305"/>
      <c r="AC733" s="305"/>
      <c r="AD733" s="306"/>
      <c r="AE733" s="307"/>
    </row>
    <row r="734" spans="1:31" ht="15" customHeight="1" x14ac:dyDescent="0.25">
      <c r="A734" s="305"/>
      <c r="B734" s="305"/>
      <c r="C734" s="305"/>
      <c r="D734" s="305"/>
      <c r="E734" s="305"/>
      <c r="F734" s="308"/>
      <c r="G734" s="305"/>
      <c r="H734" s="305"/>
      <c r="I734" s="305"/>
      <c r="J734" s="305"/>
      <c r="K734" s="305"/>
      <c r="L734" s="305"/>
      <c r="M734" s="305"/>
      <c r="N734" s="309"/>
      <c r="O734" s="305"/>
      <c r="P734" s="310"/>
      <c r="Q734" s="311"/>
      <c r="R734" s="311"/>
      <c r="S734" s="310"/>
      <c r="T734" s="310"/>
      <c r="U734" s="310"/>
      <c r="V734" s="310"/>
      <c r="W734" s="310"/>
      <c r="X734" s="305"/>
      <c r="Y734" s="305"/>
      <c r="Z734" s="305"/>
      <c r="AA734" s="305"/>
      <c r="AB734" s="305"/>
      <c r="AC734" s="305"/>
      <c r="AD734" s="306"/>
      <c r="AE734" s="307"/>
    </row>
    <row r="735" spans="1:31" ht="15" customHeight="1" x14ac:dyDescent="0.25">
      <c r="A735" s="305"/>
      <c r="B735" s="305"/>
      <c r="C735" s="305"/>
      <c r="D735" s="305"/>
      <c r="E735" s="305"/>
      <c r="F735" s="308"/>
      <c r="G735" s="305"/>
      <c r="H735" s="305"/>
      <c r="I735" s="305"/>
      <c r="J735" s="305"/>
      <c r="K735" s="305"/>
      <c r="L735" s="305"/>
      <c r="M735" s="305"/>
      <c r="N735" s="309"/>
      <c r="O735" s="305"/>
      <c r="P735" s="310"/>
      <c r="Q735" s="311"/>
      <c r="R735" s="311"/>
      <c r="S735" s="310"/>
      <c r="T735" s="310"/>
      <c r="U735" s="310"/>
      <c r="V735" s="310"/>
      <c r="W735" s="310"/>
      <c r="X735" s="305"/>
      <c r="Y735" s="305"/>
      <c r="Z735" s="305"/>
      <c r="AA735" s="305"/>
      <c r="AB735" s="305"/>
      <c r="AC735" s="305"/>
      <c r="AD735" s="306"/>
      <c r="AE735" s="307"/>
    </row>
    <row r="736" spans="1:31" ht="15" customHeight="1" x14ac:dyDescent="0.25">
      <c r="A736" s="305"/>
      <c r="B736" s="305"/>
      <c r="C736" s="305"/>
      <c r="D736" s="305"/>
      <c r="E736" s="305"/>
      <c r="F736" s="308"/>
      <c r="G736" s="305"/>
      <c r="H736" s="305"/>
      <c r="I736" s="305"/>
      <c r="J736" s="305"/>
      <c r="K736" s="305"/>
      <c r="L736" s="305"/>
      <c r="M736" s="305"/>
      <c r="N736" s="309"/>
      <c r="O736" s="305"/>
      <c r="P736" s="310"/>
      <c r="Q736" s="311"/>
      <c r="R736" s="311"/>
      <c r="S736" s="310"/>
      <c r="T736" s="310"/>
      <c r="U736" s="310"/>
      <c r="V736" s="310"/>
      <c r="W736" s="310"/>
      <c r="X736" s="305"/>
      <c r="Y736" s="305"/>
      <c r="Z736" s="305"/>
      <c r="AA736" s="305"/>
      <c r="AB736" s="305"/>
      <c r="AC736" s="305"/>
      <c r="AD736" s="306"/>
      <c r="AE736" s="307"/>
    </row>
    <row r="737" spans="1:31" ht="15" customHeight="1" x14ac:dyDescent="0.25">
      <c r="A737" s="305"/>
      <c r="B737" s="305"/>
      <c r="C737" s="305"/>
      <c r="D737" s="305"/>
      <c r="E737" s="305"/>
      <c r="F737" s="308"/>
      <c r="G737" s="305"/>
      <c r="H737" s="305"/>
      <c r="I737" s="305"/>
      <c r="J737" s="305"/>
      <c r="K737" s="305"/>
      <c r="L737" s="305"/>
      <c r="M737" s="305"/>
      <c r="N737" s="309"/>
      <c r="O737" s="305"/>
      <c r="P737" s="310"/>
      <c r="Q737" s="311"/>
      <c r="R737" s="311"/>
      <c r="S737" s="310"/>
      <c r="T737" s="310"/>
      <c r="U737" s="310"/>
      <c r="V737" s="310"/>
      <c r="W737" s="310"/>
      <c r="X737" s="305"/>
      <c r="Y737" s="305"/>
      <c r="Z737" s="305"/>
      <c r="AA737" s="305"/>
      <c r="AB737" s="305"/>
      <c r="AC737" s="305"/>
      <c r="AD737" s="306"/>
      <c r="AE737" s="307"/>
    </row>
    <row r="738" spans="1:31" ht="15" customHeight="1" x14ac:dyDescent="0.25">
      <c r="A738" s="305"/>
      <c r="B738" s="305"/>
      <c r="C738" s="305"/>
      <c r="D738" s="305"/>
      <c r="E738" s="305"/>
      <c r="F738" s="308"/>
      <c r="G738" s="305"/>
      <c r="H738" s="305"/>
      <c r="I738" s="305"/>
      <c r="J738" s="305"/>
      <c r="K738" s="305"/>
      <c r="L738" s="305"/>
      <c r="M738" s="305"/>
      <c r="N738" s="309"/>
      <c r="O738" s="305"/>
      <c r="P738" s="310"/>
      <c r="Q738" s="311"/>
      <c r="R738" s="311"/>
      <c r="S738" s="310"/>
      <c r="T738" s="310"/>
      <c r="U738" s="310"/>
      <c r="V738" s="310"/>
      <c r="W738" s="310"/>
      <c r="X738" s="305"/>
      <c r="Y738" s="305"/>
      <c r="Z738" s="305"/>
      <c r="AA738" s="305"/>
      <c r="AB738" s="305"/>
      <c r="AC738" s="305"/>
      <c r="AD738" s="306"/>
      <c r="AE738" s="307"/>
    </row>
    <row r="739" spans="1:31" ht="15" customHeight="1" x14ac:dyDescent="0.25">
      <c r="A739" s="305"/>
      <c r="B739" s="305"/>
      <c r="C739" s="305"/>
      <c r="D739" s="305"/>
      <c r="E739" s="305"/>
      <c r="F739" s="308"/>
      <c r="G739" s="305"/>
      <c r="H739" s="305"/>
      <c r="I739" s="305"/>
      <c r="J739" s="305"/>
      <c r="K739" s="305"/>
      <c r="L739" s="305"/>
      <c r="M739" s="305"/>
      <c r="N739" s="309"/>
      <c r="O739" s="305"/>
      <c r="P739" s="310"/>
      <c r="Q739" s="311"/>
      <c r="R739" s="311"/>
      <c r="S739" s="310"/>
      <c r="T739" s="310"/>
      <c r="U739" s="310"/>
      <c r="V739" s="310"/>
      <c r="W739" s="310"/>
      <c r="X739" s="305"/>
      <c r="Y739" s="305"/>
      <c r="Z739" s="305"/>
      <c r="AA739" s="305"/>
      <c r="AB739" s="305"/>
      <c r="AC739" s="305"/>
      <c r="AD739" s="306"/>
      <c r="AE739" s="307"/>
    </row>
    <row r="740" spans="1:31" ht="15" customHeight="1" x14ac:dyDescent="0.25">
      <c r="A740" s="305"/>
      <c r="B740" s="305"/>
      <c r="C740" s="305"/>
      <c r="D740" s="305"/>
      <c r="E740" s="305"/>
      <c r="F740" s="308"/>
      <c r="G740" s="305"/>
      <c r="H740" s="305"/>
      <c r="I740" s="305"/>
      <c r="J740" s="305"/>
      <c r="K740" s="305"/>
      <c r="L740" s="305"/>
      <c r="M740" s="305"/>
      <c r="N740" s="309"/>
      <c r="O740" s="305"/>
      <c r="P740" s="310"/>
      <c r="Q740" s="311"/>
      <c r="R740" s="311"/>
      <c r="S740" s="310"/>
      <c r="T740" s="310"/>
      <c r="U740" s="310"/>
      <c r="V740" s="310"/>
      <c r="W740" s="310"/>
      <c r="X740" s="305"/>
      <c r="Y740" s="305"/>
      <c r="Z740" s="305"/>
      <c r="AA740" s="305"/>
      <c r="AB740" s="305"/>
      <c r="AC740" s="305"/>
      <c r="AD740" s="306"/>
      <c r="AE740" s="307"/>
    </row>
    <row r="741" spans="1:31" ht="15" customHeight="1" x14ac:dyDescent="0.25">
      <c r="A741" s="305"/>
      <c r="B741" s="305"/>
      <c r="C741" s="305"/>
      <c r="D741" s="305"/>
      <c r="E741" s="305"/>
      <c r="F741" s="308"/>
      <c r="G741" s="305"/>
      <c r="H741" s="305"/>
      <c r="I741" s="305"/>
      <c r="J741" s="305"/>
      <c r="K741" s="305"/>
      <c r="L741" s="305"/>
      <c r="M741" s="305"/>
      <c r="N741" s="309"/>
      <c r="O741" s="305"/>
      <c r="P741" s="310"/>
      <c r="Q741" s="311"/>
      <c r="R741" s="311"/>
      <c r="S741" s="310"/>
      <c r="T741" s="310"/>
      <c r="U741" s="310"/>
      <c r="V741" s="310"/>
      <c r="W741" s="310"/>
      <c r="X741" s="305"/>
      <c r="Y741" s="305"/>
      <c r="Z741" s="305"/>
      <c r="AA741" s="305"/>
      <c r="AB741" s="305"/>
      <c r="AC741" s="305"/>
      <c r="AD741" s="306"/>
      <c r="AE741" s="307"/>
    </row>
    <row r="742" spans="1:31" ht="15" customHeight="1" x14ac:dyDescent="0.25">
      <c r="A742" s="305"/>
      <c r="B742" s="305"/>
      <c r="C742" s="305"/>
      <c r="D742" s="305"/>
      <c r="E742" s="305"/>
      <c r="F742" s="308"/>
      <c r="G742" s="305"/>
      <c r="H742" s="305"/>
      <c r="I742" s="305"/>
      <c r="J742" s="305"/>
      <c r="K742" s="305"/>
      <c r="L742" s="305"/>
      <c r="M742" s="305"/>
      <c r="N742" s="309"/>
      <c r="O742" s="305"/>
      <c r="P742" s="310"/>
      <c r="Q742" s="311"/>
      <c r="R742" s="311"/>
      <c r="S742" s="310"/>
      <c r="T742" s="310"/>
      <c r="U742" s="310"/>
      <c r="V742" s="310"/>
      <c r="W742" s="310"/>
      <c r="X742" s="305"/>
      <c r="Y742" s="305"/>
      <c r="Z742" s="305"/>
      <c r="AA742" s="305"/>
      <c r="AB742" s="305"/>
      <c r="AC742" s="305"/>
      <c r="AD742" s="306"/>
      <c r="AE742" s="307"/>
    </row>
    <row r="743" spans="1:31" ht="15" customHeight="1" x14ac:dyDescent="0.25">
      <c r="A743" s="305"/>
      <c r="B743" s="305"/>
      <c r="C743" s="305"/>
      <c r="D743" s="305"/>
      <c r="E743" s="305"/>
      <c r="F743" s="308"/>
      <c r="G743" s="305"/>
      <c r="H743" s="305"/>
      <c r="I743" s="305"/>
      <c r="J743" s="305"/>
      <c r="K743" s="305"/>
      <c r="L743" s="305"/>
      <c r="M743" s="305"/>
      <c r="N743" s="309"/>
      <c r="O743" s="305"/>
      <c r="P743" s="310"/>
      <c r="Q743" s="311"/>
      <c r="R743" s="311"/>
      <c r="S743" s="310"/>
      <c r="T743" s="310"/>
      <c r="U743" s="310"/>
      <c r="V743" s="310"/>
      <c r="W743" s="310"/>
      <c r="X743" s="305"/>
      <c r="Y743" s="305"/>
      <c r="Z743" s="305"/>
      <c r="AA743" s="305"/>
      <c r="AB743" s="305"/>
      <c r="AC743" s="305"/>
      <c r="AD743" s="306"/>
      <c r="AE743" s="307"/>
    </row>
    <row r="744" spans="1:31" ht="15" customHeight="1" x14ac:dyDescent="0.25">
      <c r="A744" s="305"/>
      <c r="B744" s="305"/>
      <c r="C744" s="305"/>
      <c r="D744" s="305"/>
      <c r="E744" s="305"/>
      <c r="F744" s="308"/>
      <c r="G744" s="305"/>
      <c r="H744" s="305"/>
      <c r="I744" s="305"/>
      <c r="J744" s="305"/>
      <c r="K744" s="305"/>
      <c r="L744" s="305"/>
      <c r="M744" s="305"/>
      <c r="N744" s="309"/>
      <c r="O744" s="305"/>
      <c r="P744" s="310"/>
      <c r="Q744" s="311"/>
      <c r="R744" s="311"/>
      <c r="S744" s="310"/>
      <c r="T744" s="310"/>
      <c r="U744" s="310"/>
      <c r="V744" s="310"/>
      <c r="W744" s="310"/>
      <c r="X744" s="305"/>
      <c r="Y744" s="305"/>
      <c r="Z744" s="305"/>
      <c r="AA744" s="305"/>
      <c r="AB744" s="305"/>
      <c r="AC744" s="305"/>
      <c r="AD744" s="306"/>
      <c r="AE744" s="307"/>
    </row>
    <row r="745" spans="1:31" ht="15" customHeight="1" x14ac:dyDescent="0.25">
      <c r="A745" s="305"/>
      <c r="B745" s="305"/>
      <c r="C745" s="305"/>
      <c r="D745" s="305"/>
      <c r="E745" s="305"/>
      <c r="F745" s="308"/>
      <c r="G745" s="305"/>
      <c r="H745" s="305"/>
      <c r="I745" s="305"/>
      <c r="J745" s="305"/>
      <c r="K745" s="305"/>
      <c r="L745" s="305"/>
      <c r="M745" s="305"/>
      <c r="N745" s="309"/>
      <c r="O745" s="305"/>
      <c r="P745" s="310"/>
      <c r="Q745" s="311"/>
      <c r="R745" s="311"/>
      <c r="S745" s="310"/>
      <c r="T745" s="310"/>
      <c r="U745" s="310"/>
      <c r="V745" s="310"/>
      <c r="W745" s="310"/>
      <c r="X745" s="305"/>
      <c r="Y745" s="305"/>
      <c r="Z745" s="305"/>
      <c r="AA745" s="305"/>
      <c r="AB745" s="305"/>
      <c r="AC745" s="305"/>
      <c r="AD745" s="306"/>
      <c r="AE745" s="307"/>
    </row>
    <row r="746" spans="1:31" ht="15" customHeight="1" x14ac:dyDescent="0.25">
      <c r="A746" s="305"/>
      <c r="B746" s="305"/>
      <c r="C746" s="305"/>
      <c r="D746" s="305"/>
      <c r="E746" s="305"/>
      <c r="F746" s="308"/>
      <c r="G746" s="305"/>
      <c r="H746" s="305"/>
      <c r="I746" s="305"/>
      <c r="J746" s="305"/>
      <c r="K746" s="305"/>
      <c r="L746" s="305"/>
      <c r="M746" s="305"/>
      <c r="N746" s="309"/>
      <c r="O746" s="305"/>
      <c r="P746" s="310"/>
      <c r="Q746" s="311"/>
      <c r="R746" s="311"/>
      <c r="S746" s="310"/>
      <c r="T746" s="310"/>
      <c r="U746" s="310"/>
      <c r="V746" s="310"/>
      <c r="W746" s="310"/>
      <c r="X746" s="305"/>
      <c r="Y746" s="305"/>
      <c r="Z746" s="305"/>
      <c r="AA746" s="305"/>
      <c r="AB746" s="305"/>
      <c r="AC746" s="305"/>
      <c r="AD746" s="306"/>
      <c r="AE746" s="307"/>
    </row>
    <row r="747" spans="1:31" ht="15" customHeight="1" x14ac:dyDescent="0.25">
      <c r="A747" s="305"/>
      <c r="B747" s="305"/>
      <c r="C747" s="305"/>
      <c r="D747" s="305"/>
      <c r="E747" s="305"/>
      <c r="F747" s="308"/>
      <c r="G747" s="305"/>
      <c r="H747" s="305"/>
      <c r="I747" s="305"/>
      <c r="J747" s="305"/>
      <c r="K747" s="305"/>
      <c r="L747" s="305"/>
      <c r="M747" s="305"/>
      <c r="N747" s="309"/>
      <c r="O747" s="305"/>
      <c r="P747" s="310"/>
      <c r="Q747" s="311"/>
      <c r="R747" s="311"/>
      <c r="S747" s="310"/>
      <c r="T747" s="310"/>
      <c r="U747" s="310"/>
      <c r="V747" s="310"/>
      <c r="W747" s="310"/>
      <c r="X747" s="305"/>
      <c r="Y747" s="305"/>
      <c r="Z747" s="305"/>
      <c r="AA747" s="305"/>
      <c r="AB747" s="305"/>
      <c r="AC747" s="305"/>
      <c r="AD747" s="306"/>
      <c r="AE747" s="307"/>
    </row>
    <row r="748" spans="1:31" ht="15" customHeight="1" x14ac:dyDescent="0.25">
      <c r="A748" s="305"/>
      <c r="B748" s="305"/>
      <c r="C748" s="305"/>
      <c r="D748" s="305"/>
      <c r="E748" s="305"/>
      <c r="F748" s="308"/>
      <c r="G748" s="305"/>
      <c r="H748" s="305"/>
      <c r="I748" s="305"/>
      <c r="J748" s="305"/>
      <c r="K748" s="305"/>
      <c r="L748" s="305"/>
      <c r="M748" s="305"/>
      <c r="N748" s="309"/>
      <c r="O748" s="305"/>
      <c r="P748" s="310"/>
      <c r="Q748" s="311"/>
      <c r="R748" s="311"/>
      <c r="S748" s="310"/>
      <c r="T748" s="310"/>
      <c r="U748" s="310"/>
      <c r="V748" s="310"/>
      <c r="W748" s="310"/>
      <c r="X748" s="305"/>
      <c r="Y748" s="305"/>
      <c r="Z748" s="305"/>
      <c r="AA748" s="305"/>
      <c r="AB748" s="305"/>
      <c r="AC748" s="305"/>
      <c r="AD748" s="306"/>
      <c r="AE748" s="307"/>
    </row>
    <row r="749" spans="1:31" ht="15" customHeight="1" x14ac:dyDescent="0.25">
      <c r="A749" s="305"/>
      <c r="B749" s="305"/>
      <c r="C749" s="305"/>
      <c r="D749" s="305"/>
      <c r="E749" s="305"/>
      <c r="F749" s="308"/>
      <c r="G749" s="305"/>
      <c r="H749" s="305"/>
      <c r="I749" s="305"/>
      <c r="J749" s="305"/>
      <c r="K749" s="305"/>
      <c r="L749" s="305"/>
      <c r="M749" s="305"/>
      <c r="N749" s="309"/>
      <c r="O749" s="305"/>
      <c r="P749" s="310"/>
      <c r="Q749" s="311"/>
      <c r="R749" s="311"/>
      <c r="S749" s="310"/>
      <c r="T749" s="310"/>
      <c r="U749" s="310"/>
      <c r="V749" s="310"/>
      <c r="W749" s="310"/>
      <c r="X749" s="305"/>
      <c r="Y749" s="305"/>
      <c r="Z749" s="305"/>
      <c r="AA749" s="305"/>
      <c r="AB749" s="305"/>
      <c r="AC749" s="305"/>
      <c r="AD749" s="306"/>
      <c r="AE749" s="307"/>
    </row>
    <row r="750" spans="1:31" ht="15" customHeight="1" x14ac:dyDescent="0.25">
      <c r="A750" s="305"/>
      <c r="B750" s="305"/>
      <c r="C750" s="305"/>
      <c r="D750" s="305"/>
      <c r="E750" s="305"/>
      <c r="F750" s="308"/>
      <c r="G750" s="305"/>
      <c r="H750" s="305"/>
      <c r="I750" s="305"/>
      <c r="J750" s="305"/>
      <c r="K750" s="305"/>
      <c r="L750" s="305"/>
      <c r="M750" s="305"/>
      <c r="N750" s="309"/>
      <c r="O750" s="305"/>
      <c r="P750" s="310"/>
      <c r="Q750" s="311"/>
      <c r="R750" s="311"/>
      <c r="S750" s="310"/>
      <c r="T750" s="310"/>
      <c r="U750" s="310"/>
      <c r="V750" s="310"/>
      <c r="W750" s="310"/>
      <c r="X750" s="305"/>
      <c r="Y750" s="305"/>
      <c r="Z750" s="305"/>
      <c r="AA750" s="305"/>
      <c r="AB750" s="305"/>
      <c r="AC750" s="305"/>
      <c r="AD750" s="306"/>
      <c r="AE750" s="307"/>
    </row>
    <row r="751" spans="1:31" ht="15" customHeight="1" x14ac:dyDescent="0.25">
      <c r="A751" s="305"/>
      <c r="B751" s="305"/>
      <c r="C751" s="305"/>
      <c r="D751" s="305"/>
      <c r="E751" s="305"/>
      <c r="F751" s="308"/>
      <c r="G751" s="305"/>
      <c r="H751" s="305"/>
      <c r="I751" s="305"/>
      <c r="J751" s="305"/>
      <c r="K751" s="305"/>
      <c r="L751" s="305"/>
      <c r="M751" s="305"/>
      <c r="N751" s="309"/>
      <c r="O751" s="305"/>
      <c r="P751" s="310"/>
      <c r="Q751" s="311"/>
      <c r="R751" s="311"/>
      <c r="S751" s="310"/>
      <c r="T751" s="310"/>
      <c r="U751" s="310"/>
      <c r="V751" s="310"/>
      <c r="W751" s="310"/>
      <c r="X751" s="305"/>
      <c r="Y751" s="305"/>
      <c r="Z751" s="305"/>
      <c r="AA751" s="305"/>
      <c r="AB751" s="305"/>
      <c r="AC751" s="305"/>
      <c r="AD751" s="306"/>
      <c r="AE751" s="307"/>
    </row>
    <row r="752" spans="1:31" ht="15" customHeight="1" x14ac:dyDescent="0.25">
      <c r="A752" s="305"/>
      <c r="B752" s="305"/>
      <c r="C752" s="305"/>
      <c r="D752" s="305"/>
      <c r="E752" s="305"/>
      <c r="F752" s="308"/>
      <c r="G752" s="305"/>
      <c r="H752" s="305"/>
      <c r="I752" s="305"/>
      <c r="J752" s="305"/>
      <c r="K752" s="305"/>
      <c r="L752" s="305"/>
      <c r="M752" s="305"/>
      <c r="N752" s="309"/>
      <c r="O752" s="305"/>
      <c r="P752" s="310"/>
      <c r="Q752" s="311"/>
      <c r="R752" s="311"/>
      <c r="S752" s="310"/>
      <c r="T752" s="310"/>
      <c r="U752" s="310"/>
      <c r="V752" s="310"/>
      <c r="W752" s="310"/>
      <c r="X752" s="305"/>
      <c r="Y752" s="305"/>
      <c r="Z752" s="305"/>
      <c r="AA752" s="305"/>
      <c r="AB752" s="305"/>
      <c r="AC752" s="305"/>
      <c r="AD752" s="306"/>
      <c r="AE752" s="307"/>
    </row>
    <row r="753" spans="1:31" ht="15" customHeight="1" x14ac:dyDescent="0.25">
      <c r="A753" s="305"/>
      <c r="B753" s="305"/>
      <c r="C753" s="305"/>
      <c r="D753" s="305"/>
      <c r="E753" s="305"/>
      <c r="F753" s="308"/>
      <c r="G753" s="305"/>
      <c r="H753" s="305"/>
      <c r="I753" s="305"/>
      <c r="J753" s="305"/>
      <c r="K753" s="305"/>
      <c r="L753" s="305"/>
      <c r="M753" s="305"/>
      <c r="N753" s="309"/>
      <c r="O753" s="305"/>
      <c r="P753" s="310"/>
      <c r="Q753" s="311"/>
      <c r="R753" s="311"/>
      <c r="S753" s="310"/>
      <c r="T753" s="310"/>
      <c r="U753" s="310"/>
      <c r="V753" s="310"/>
      <c r="W753" s="310"/>
      <c r="X753" s="305"/>
      <c r="Y753" s="305"/>
      <c r="Z753" s="305"/>
      <c r="AA753" s="305"/>
      <c r="AB753" s="305"/>
      <c r="AC753" s="305"/>
      <c r="AD753" s="306"/>
      <c r="AE753" s="307"/>
    </row>
    <row r="754" spans="1:31" ht="15" customHeight="1" x14ac:dyDescent="0.25">
      <c r="A754" s="305"/>
      <c r="B754" s="305"/>
      <c r="C754" s="305"/>
      <c r="D754" s="305"/>
      <c r="E754" s="305"/>
      <c r="F754" s="308"/>
      <c r="G754" s="305"/>
      <c r="H754" s="305"/>
      <c r="I754" s="305"/>
      <c r="J754" s="305"/>
      <c r="K754" s="305"/>
      <c r="L754" s="305"/>
      <c r="M754" s="305"/>
      <c r="N754" s="309"/>
      <c r="O754" s="305"/>
      <c r="P754" s="310"/>
      <c r="Q754" s="311"/>
      <c r="R754" s="311"/>
      <c r="S754" s="310"/>
      <c r="T754" s="310"/>
      <c r="U754" s="310"/>
      <c r="V754" s="310"/>
      <c r="W754" s="310"/>
      <c r="X754" s="305"/>
      <c r="Y754" s="305"/>
      <c r="Z754" s="305"/>
      <c r="AA754" s="305"/>
      <c r="AB754" s="305"/>
      <c r="AC754" s="305"/>
      <c r="AD754" s="306"/>
      <c r="AE754" s="307"/>
    </row>
    <row r="755" spans="1:31" ht="15" customHeight="1" x14ac:dyDescent="0.25">
      <c r="A755" s="305"/>
      <c r="B755" s="305"/>
      <c r="C755" s="305"/>
      <c r="D755" s="305"/>
      <c r="E755" s="305"/>
      <c r="F755" s="308"/>
      <c r="G755" s="305"/>
      <c r="H755" s="305"/>
      <c r="I755" s="305"/>
      <c r="J755" s="305"/>
      <c r="K755" s="305"/>
      <c r="L755" s="305"/>
      <c r="M755" s="305"/>
      <c r="N755" s="309"/>
      <c r="O755" s="305"/>
      <c r="P755" s="310"/>
      <c r="Q755" s="311"/>
      <c r="R755" s="311"/>
      <c r="S755" s="310"/>
      <c r="T755" s="310"/>
      <c r="U755" s="310"/>
      <c r="V755" s="310"/>
      <c r="W755" s="310"/>
      <c r="X755" s="305"/>
      <c r="Y755" s="305"/>
      <c r="Z755" s="305"/>
      <c r="AA755" s="305"/>
      <c r="AB755" s="305"/>
      <c r="AC755" s="305"/>
      <c r="AD755" s="306"/>
      <c r="AE755" s="307"/>
    </row>
    <row r="756" spans="1:31" ht="15" customHeight="1" x14ac:dyDescent="0.25">
      <c r="A756" s="305"/>
      <c r="B756" s="305"/>
      <c r="C756" s="305"/>
      <c r="D756" s="305"/>
      <c r="E756" s="305"/>
      <c r="F756" s="308"/>
      <c r="G756" s="305"/>
      <c r="H756" s="305"/>
      <c r="I756" s="305"/>
      <c r="J756" s="305"/>
      <c r="K756" s="305"/>
      <c r="L756" s="305"/>
      <c r="M756" s="305"/>
      <c r="N756" s="309"/>
      <c r="O756" s="305"/>
      <c r="P756" s="310"/>
      <c r="Q756" s="311"/>
      <c r="R756" s="311"/>
      <c r="S756" s="310"/>
      <c r="T756" s="310"/>
      <c r="U756" s="310"/>
      <c r="V756" s="310"/>
      <c r="W756" s="310"/>
      <c r="X756" s="305"/>
      <c r="Y756" s="305"/>
      <c r="Z756" s="305"/>
      <c r="AA756" s="305"/>
      <c r="AB756" s="305"/>
      <c r="AC756" s="305"/>
      <c r="AD756" s="306"/>
      <c r="AE756" s="307"/>
    </row>
    <row r="757" spans="1:31" ht="15" customHeight="1" x14ac:dyDescent="0.25">
      <c r="A757" s="305"/>
      <c r="B757" s="305"/>
      <c r="C757" s="305"/>
      <c r="D757" s="305"/>
      <c r="E757" s="305"/>
      <c r="F757" s="308"/>
      <c r="G757" s="305"/>
      <c r="H757" s="305"/>
      <c r="I757" s="305"/>
      <c r="J757" s="305"/>
      <c r="K757" s="305"/>
      <c r="L757" s="305"/>
      <c r="M757" s="305"/>
      <c r="N757" s="309"/>
      <c r="O757" s="305"/>
      <c r="P757" s="310"/>
      <c r="Q757" s="311"/>
      <c r="R757" s="311"/>
      <c r="S757" s="310"/>
      <c r="T757" s="310"/>
      <c r="U757" s="310"/>
      <c r="V757" s="310"/>
      <c r="W757" s="310"/>
      <c r="X757" s="305"/>
      <c r="Y757" s="305"/>
      <c r="Z757" s="305"/>
      <c r="AA757" s="305"/>
      <c r="AB757" s="305"/>
      <c r="AC757" s="305"/>
      <c r="AD757" s="306"/>
      <c r="AE757" s="307"/>
    </row>
    <row r="758" spans="1:31" ht="15" customHeight="1" x14ac:dyDescent="0.25">
      <c r="A758" s="305"/>
      <c r="B758" s="305"/>
      <c r="C758" s="305"/>
      <c r="D758" s="305"/>
      <c r="E758" s="305"/>
      <c r="F758" s="308"/>
      <c r="G758" s="305"/>
      <c r="H758" s="305"/>
      <c r="I758" s="305"/>
      <c r="J758" s="305"/>
      <c r="K758" s="305"/>
      <c r="L758" s="305"/>
      <c r="M758" s="305"/>
      <c r="N758" s="309"/>
      <c r="O758" s="305"/>
      <c r="P758" s="310"/>
      <c r="Q758" s="311"/>
      <c r="R758" s="311"/>
      <c r="S758" s="310"/>
      <c r="T758" s="310"/>
      <c r="U758" s="310"/>
      <c r="V758" s="310"/>
      <c r="W758" s="310"/>
      <c r="X758" s="305"/>
      <c r="Y758" s="305"/>
      <c r="Z758" s="305"/>
      <c r="AA758" s="305"/>
      <c r="AB758" s="305"/>
      <c r="AC758" s="305"/>
      <c r="AD758" s="306"/>
      <c r="AE758" s="307"/>
    </row>
    <row r="759" spans="1:31" ht="15" customHeight="1" x14ac:dyDescent="0.25">
      <c r="A759" s="305"/>
      <c r="B759" s="305"/>
      <c r="C759" s="305"/>
      <c r="D759" s="305"/>
      <c r="E759" s="305"/>
      <c r="F759" s="308"/>
      <c r="G759" s="305"/>
      <c r="H759" s="305"/>
      <c r="I759" s="305"/>
      <c r="J759" s="305"/>
      <c r="K759" s="305"/>
      <c r="L759" s="305"/>
      <c r="M759" s="305"/>
      <c r="N759" s="309"/>
      <c r="O759" s="305"/>
      <c r="P759" s="310"/>
      <c r="Q759" s="311"/>
      <c r="R759" s="311"/>
      <c r="S759" s="310"/>
      <c r="T759" s="310"/>
      <c r="U759" s="310"/>
      <c r="V759" s="310"/>
      <c r="W759" s="310"/>
      <c r="X759" s="305"/>
      <c r="Y759" s="305"/>
      <c r="Z759" s="305"/>
      <c r="AA759" s="305"/>
      <c r="AB759" s="305"/>
      <c r="AC759" s="305"/>
      <c r="AD759" s="306"/>
      <c r="AE759" s="307"/>
    </row>
    <row r="760" spans="1:31" ht="15" customHeight="1" x14ac:dyDescent="0.25">
      <c r="A760" s="305"/>
      <c r="B760" s="305"/>
      <c r="C760" s="305"/>
      <c r="D760" s="305"/>
      <c r="E760" s="305"/>
      <c r="F760" s="308"/>
      <c r="G760" s="305"/>
      <c r="H760" s="305"/>
      <c r="I760" s="305"/>
      <c r="J760" s="305"/>
      <c r="K760" s="305"/>
      <c r="L760" s="305"/>
      <c r="M760" s="305"/>
      <c r="N760" s="309"/>
      <c r="O760" s="305"/>
      <c r="P760" s="310"/>
      <c r="Q760" s="311"/>
      <c r="R760" s="311"/>
      <c r="S760" s="310"/>
      <c r="T760" s="310"/>
      <c r="U760" s="310"/>
      <c r="V760" s="310"/>
      <c r="W760" s="310"/>
      <c r="X760" s="305"/>
      <c r="Y760" s="305"/>
      <c r="Z760" s="305"/>
      <c r="AA760" s="305"/>
      <c r="AB760" s="305"/>
      <c r="AC760" s="305"/>
      <c r="AD760" s="306"/>
      <c r="AE760" s="307"/>
    </row>
    <row r="761" spans="1:31" ht="15" customHeight="1" x14ac:dyDescent="0.25">
      <c r="A761" s="305"/>
      <c r="B761" s="305"/>
      <c r="C761" s="305"/>
      <c r="D761" s="305"/>
      <c r="E761" s="305"/>
      <c r="F761" s="308"/>
      <c r="G761" s="305"/>
      <c r="H761" s="305"/>
      <c r="I761" s="305"/>
      <c r="J761" s="305"/>
      <c r="K761" s="305"/>
      <c r="L761" s="305"/>
      <c r="M761" s="305"/>
      <c r="N761" s="309"/>
      <c r="O761" s="305"/>
      <c r="P761" s="310"/>
      <c r="Q761" s="311"/>
      <c r="R761" s="311"/>
      <c r="S761" s="310"/>
      <c r="T761" s="310"/>
      <c r="U761" s="310"/>
      <c r="V761" s="310"/>
      <c r="W761" s="310"/>
      <c r="X761" s="305"/>
      <c r="Y761" s="305"/>
      <c r="Z761" s="305"/>
      <c r="AA761" s="305"/>
      <c r="AB761" s="305"/>
      <c r="AC761" s="305"/>
      <c r="AD761" s="306"/>
      <c r="AE761" s="307"/>
    </row>
    <row r="762" spans="1:31" ht="15" customHeight="1" x14ac:dyDescent="0.25">
      <c r="A762" s="305"/>
      <c r="B762" s="305"/>
      <c r="C762" s="305"/>
      <c r="D762" s="305"/>
      <c r="E762" s="305"/>
      <c r="F762" s="308"/>
      <c r="G762" s="305"/>
      <c r="H762" s="305"/>
      <c r="I762" s="305"/>
      <c r="J762" s="305"/>
      <c r="K762" s="305"/>
      <c r="L762" s="305"/>
      <c r="M762" s="305"/>
      <c r="N762" s="309"/>
      <c r="O762" s="305"/>
      <c r="P762" s="310"/>
      <c r="Q762" s="311"/>
      <c r="R762" s="311"/>
      <c r="S762" s="310"/>
      <c r="T762" s="310"/>
      <c r="U762" s="310"/>
      <c r="V762" s="310"/>
      <c r="W762" s="310"/>
      <c r="X762" s="305"/>
      <c r="Y762" s="305"/>
      <c r="Z762" s="305"/>
      <c r="AA762" s="305"/>
      <c r="AB762" s="305"/>
      <c r="AC762" s="305"/>
      <c r="AD762" s="306"/>
      <c r="AE762" s="307"/>
    </row>
    <row r="763" spans="1:31" ht="15" customHeight="1" x14ac:dyDescent="0.25">
      <c r="A763" s="305"/>
      <c r="B763" s="305"/>
      <c r="C763" s="305"/>
      <c r="D763" s="305"/>
      <c r="E763" s="305"/>
      <c r="F763" s="308"/>
      <c r="G763" s="305"/>
      <c r="H763" s="305"/>
      <c r="I763" s="305"/>
      <c r="J763" s="305"/>
      <c r="K763" s="305"/>
      <c r="L763" s="305"/>
      <c r="M763" s="305"/>
      <c r="N763" s="309"/>
      <c r="O763" s="305"/>
      <c r="P763" s="310"/>
      <c r="Q763" s="311"/>
      <c r="R763" s="311"/>
      <c r="S763" s="310"/>
      <c r="T763" s="310"/>
      <c r="U763" s="310"/>
      <c r="V763" s="310"/>
      <c r="W763" s="310"/>
      <c r="X763" s="305"/>
      <c r="Y763" s="305"/>
      <c r="Z763" s="305"/>
      <c r="AA763" s="305"/>
      <c r="AB763" s="305"/>
      <c r="AC763" s="305"/>
      <c r="AD763" s="306"/>
      <c r="AE763" s="307"/>
    </row>
    <row r="764" spans="1:31" ht="15" customHeight="1" x14ac:dyDescent="0.25">
      <c r="A764" s="305"/>
      <c r="B764" s="305"/>
      <c r="C764" s="305"/>
      <c r="D764" s="305"/>
      <c r="E764" s="305"/>
      <c r="F764" s="308"/>
      <c r="G764" s="305"/>
      <c r="H764" s="305"/>
      <c r="I764" s="305"/>
      <c r="J764" s="305"/>
      <c r="K764" s="305"/>
      <c r="L764" s="305"/>
      <c r="M764" s="305"/>
      <c r="N764" s="309"/>
      <c r="O764" s="305"/>
      <c r="P764" s="310"/>
      <c r="Q764" s="311"/>
      <c r="R764" s="311"/>
      <c r="S764" s="310"/>
      <c r="T764" s="310"/>
      <c r="U764" s="310"/>
      <c r="V764" s="310"/>
      <c r="W764" s="310"/>
      <c r="X764" s="305"/>
      <c r="Y764" s="305"/>
      <c r="Z764" s="305"/>
      <c r="AA764" s="305"/>
      <c r="AB764" s="305"/>
      <c r="AC764" s="305"/>
      <c r="AD764" s="306"/>
      <c r="AE764" s="307"/>
    </row>
    <row r="765" spans="1:31" ht="15" customHeight="1" x14ac:dyDescent="0.25">
      <c r="A765" s="305"/>
      <c r="B765" s="305"/>
      <c r="C765" s="305"/>
      <c r="D765" s="305"/>
      <c r="E765" s="305"/>
      <c r="F765" s="308"/>
      <c r="G765" s="305"/>
      <c r="H765" s="305"/>
      <c r="I765" s="305"/>
      <c r="J765" s="305"/>
      <c r="K765" s="305"/>
      <c r="L765" s="305"/>
      <c r="M765" s="305"/>
      <c r="N765" s="309"/>
      <c r="O765" s="305"/>
      <c r="P765" s="310"/>
      <c r="Q765" s="311"/>
      <c r="R765" s="311"/>
      <c r="S765" s="310"/>
      <c r="T765" s="310"/>
      <c r="U765" s="310"/>
      <c r="V765" s="310"/>
      <c r="W765" s="310"/>
      <c r="X765" s="305"/>
      <c r="Y765" s="305"/>
      <c r="Z765" s="305"/>
      <c r="AA765" s="305"/>
      <c r="AB765" s="305"/>
      <c r="AC765" s="305"/>
      <c r="AD765" s="306"/>
      <c r="AE765" s="307"/>
    </row>
    <row r="766" spans="1:31" ht="15" customHeight="1" x14ac:dyDescent="0.25">
      <c r="A766" s="305"/>
      <c r="B766" s="305"/>
      <c r="C766" s="305"/>
      <c r="D766" s="305"/>
      <c r="E766" s="305"/>
      <c r="F766" s="308"/>
      <c r="G766" s="305"/>
      <c r="H766" s="305"/>
      <c r="I766" s="305"/>
      <c r="J766" s="305"/>
      <c r="K766" s="305"/>
      <c r="L766" s="305"/>
      <c r="M766" s="305"/>
      <c r="N766" s="309"/>
      <c r="O766" s="305"/>
      <c r="P766" s="310"/>
      <c r="Q766" s="311"/>
      <c r="R766" s="311"/>
      <c r="S766" s="310"/>
      <c r="T766" s="310"/>
      <c r="U766" s="310"/>
      <c r="V766" s="310"/>
      <c r="W766" s="310"/>
      <c r="X766" s="305"/>
      <c r="Y766" s="305"/>
      <c r="Z766" s="305"/>
      <c r="AA766" s="305"/>
      <c r="AB766" s="305"/>
      <c r="AC766" s="305"/>
      <c r="AD766" s="306"/>
      <c r="AE766" s="307"/>
    </row>
    <row r="767" spans="1:31" ht="15" customHeight="1" x14ac:dyDescent="0.25">
      <c r="A767" s="305"/>
      <c r="B767" s="305"/>
      <c r="C767" s="305"/>
      <c r="D767" s="305"/>
      <c r="E767" s="305"/>
      <c r="F767" s="308"/>
      <c r="G767" s="305"/>
      <c r="H767" s="305"/>
      <c r="I767" s="305"/>
      <c r="J767" s="305"/>
      <c r="K767" s="305"/>
      <c r="L767" s="305"/>
      <c r="M767" s="305"/>
      <c r="N767" s="309"/>
      <c r="O767" s="305"/>
      <c r="P767" s="310"/>
      <c r="Q767" s="311"/>
      <c r="R767" s="311"/>
      <c r="S767" s="310"/>
      <c r="T767" s="310"/>
      <c r="U767" s="310"/>
      <c r="V767" s="310"/>
      <c r="W767" s="310"/>
      <c r="X767" s="305"/>
      <c r="Y767" s="305"/>
      <c r="Z767" s="305"/>
      <c r="AA767" s="305"/>
      <c r="AB767" s="305"/>
      <c r="AC767" s="305"/>
      <c r="AD767" s="306"/>
      <c r="AE767" s="307"/>
    </row>
    <row r="768" spans="1:31" ht="15" customHeight="1" x14ac:dyDescent="0.25">
      <c r="A768" s="305"/>
      <c r="B768" s="305"/>
      <c r="C768" s="305"/>
      <c r="D768" s="305"/>
      <c r="E768" s="305"/>
      <c r="F768" s="308"/>
      <c r="G768" s="305"/>
      <c r="H768" s="305"/>
      <c r="I768" s="305"/>
      <c r="J768" s="305"/>
      <c r="K768" s="305"/>
      <c r="L768" s="305"/>
      <c r="M768" s="305"/>
      <c r="N768" s="309"/>
      <c r="O768" s="305"/>
      <c r="P768" s="310"/>
      <c r="Q768" s="311"/>
      <c r="R768" s="311"/>
      <c r="S768" s="310"/>
      <c r="T768" s="310"/>
      <c r="U768" s="310"/>
      <c r="V768" s="310"/>
      <c r="W768" s="310"/>
      <c r="X768" s="305"/>
      <c r="Y768" s="305"/>
      <c r="Z768" s="305"/>
      <c r="AA768" s="305"/>
      <c r="AB768" s="305"/>
      <c r="AC768" s="305"/>
      <c r="AD768" s="306"/>
      <c r="AE768" s="307"/>
    </row>
    <row r="769" spans="1:31" ht="15" customHeight="1" x14ac:dyDescent="0.25">
      <c r="A769" s="305"/>
      <c r="B769" s="305"/>
      <c r="C769" s="305"/>
      <c r="D769" s="305"/>
      <c r="E769" s="305"/>
      <c r="F769" s="308"/>
      <c r="G769" s="305"/>
      <c r="H769" s="305"/>
      <c r="I769" s="305"/>
      <c r="J769" s="305"/>
      <c r="K769" s="305"/>
      <c r="L769" s="305"/>
      <c r="M769" s="305"/>
      <c r="N769" s="309"/>
      <c r="O769" s="305"/>
      <c r="P769" s="310"/>
      <c r="Q769" s="311"/>
      <c r="R769" s="311"/>
      <c r="S769" s="310"/>
      <c r="T769" s="310"/>
      <c r="U769" s="310"/>
      <c r="V769" s="310"/>
      <c r="W769" s="310"/>
      <c r="X769" s="305"/>
      <c r="Y769" s="305"/>
      <c r="Z769" s="305"/>
      <c r="AA769" s="305"/>
      <c r="AB769" s="305"/>
      <c r="AC769" s="305"/>
      <c r="AD769" s="306"/>
      <c r="AE769" s="307"/>
    </row>
    <row r="770" spans="1:31" ht="15" customHeight="1" x14ac:dyDescent="0.25">
      <c r="A770" s="305"/>
      <c r="B770" s="305"/>
      <c r="C770" s="305"/>
      <c r="D770" s="305"/>
      <c r="E770" s="305"/>
      <c r="F770" s="308"/>
      <c r="G770" s="305"/>
      <c r="H770" s="305"/>
      <c r="I770" s="305"/>
      <c r="J770" s="305"/>
      <c r="K770" s="305"/>
      <c r="L770" s="305"/>
      <c r="M770" s="305"/>
      <c r="N770" s="309"/>
      <c r="O770" s="305"/>
      <c r="P770" s="310"/>
      <c r="Q770" s="311"/>
      <c r="R770" s="311"/>
      <c r="S770" s="310"/>
      <c r="T770" s="310"/>
      <c r="U770" s="310"/>
      <c r="V770" s="310"/>
      <c r="W770" s="310"/>
      <c r="X770" s="305"/>
      <c r="Y770" s="305"/>
      <c r="Z770" s="305"/>
      <c r="AA770" s="305"/>
      <c r="AB770" s="305"/>
      <c r="AC770" s="305"/>
      <c r="AD770" s="306"/>
      <c r="AE770" s="307"/>
    </row>
    <row r="771" spans="1:31" ht="15" customHeight="1" x14ac:dyDescent="0.25">
      <c r="A771" s="305"/>
      <c r="B771" s="305"/>
      <c r="C771" s="305"/>
      <c r="D771" s="305"/>
      <c r="E771" s="305"/>
      <c r="F771" s="308"/>
      <c r="G771" s="305"/>
      <c r="H771" s="305"/>
      <c r="I771" s="305"/>
      <c r="J771" s="305"/>
      <c r="K771" s="305"/>
      <c r="L771" s="305"/>
      <c r="M771" s="305"/>
      <c r="N771" s="309"/>
      <c r="O771" s="305"/>
      <c r="P771" s="310"/>
      <c r="Q771" s="311"/>
      <c r="R771" s="311"/>
      <c r="S771" s="310"/>
      <c r="T771" s="310"/>
      <c r="U771" s="310"/>
      <c r="V771" s="310"/>
      <c r="W771" s="310"/>
      <c r="X771" s="305"/>
      <c r="Y771" s="305"/>
      <c r="Z771" s="305"/>
      <c r="AA771" s="305"/>
      <c r="AB771" s="305"/>
      <c r="AC771" s="305"/>
      <c r="AD771" s="306"/>
      <c r="AE771" s="307"/>
    </row>
    <row r="772" spans="1:31" ht="15" customHeight="1" x14ac:dyDescent="0.25">
      <c r="A772" s="305"/>
      <c r="B772" s="305"/>
      <c r="C772" s="305"/>
      <c r="D772" s="305"/>
      <c r="E772" s="305"/>
      <c r="F772" s="308"/>
      <c r="G772" s="305"/>
      <c r="H772" s="305"/>
      <c r="I772" s="305"/>
      <c r="J772" s="305"/>
      <c r="K772" s="305"/>
      <c r="L772" s="305"/>
      <c r="M772" s="305"/>
      <c r="N772" s="309"/>
      <c r="O772" s="305"/>
      <c r="P772" s="310"/>
      <c r="Q772" s="311"/>
      <c r="R772" s="311"/>
      <c r="S772" s="310"/>
      <c r="T772" s="310"/>
      <c r="U772" s="310"/>
      <c r="V772" s="310"/>
      <c r="W772" s="310"/>
      <c r="X772" s="305"/>
      <c r="Y772" s="305"/>
      <c r="Z772" s="305"/>
      <c r="AA772" s="305"/>
      <c r="AB772" s="305"/>
      <c r="AC772" s="305"/>
      <c r="AD772" s="306"/>
      <c r="AE772" s="307"/>
    </row>
    <row r="773" spans="1:31" ht="15" customHeight="1" x14ac:dyDescent="0.25">
      <c r="A773" s="305"/>
      <c r="B773" s="305"/>
      <c r="C773" s="305"/>
      <c r="D773" s="305"/>
      <c r="E773" s="305"/>
      <c r="F773" s="308"/>
      <c r="G773" s="305"/>
      <c r="H773" s="305"/>
      <c r="I773" s="305"/>
      <c r="J773" s="305"/>
      <c r="K773" s="305"/>
      <c r="L773" s="305"/>
      <c r="M773" s="305"/>
      <c r="N773" s="309"/>
      <c r="O773" s="305"/>
      <c r="P773" s="310"/>
      <c r="Q773" s="311"/>
      <c r="R773" s="311"/>
      <c r="S773" s="310"/>
      <c r="T773" s="310"/>
      <c r="U773" s="310"/>
      <c r="V773" s="310"/>
      <c r="W773" s="310"/>
      <c r="X773" s="305"/>
      <c r="Y773" s="305"/>
      <c r="Z773" s="305"/>
      <c r="AA773" s="305"/>
      <c r="AB773" s="305"/>
      <c r="AC773" s="305"/>
      <c r="AD773" s="306"/>
      <c r="AE773" s="307"/>
    </row>
    <row r="774" spans="1:31" ht="15" customHeight="1" x14ac:dyDescent="0.25">
      <c r="A774" s="305"/>
      <c r="B774" s="305"/>
      <c r="C774" s="305"/>
      <c r="D774" s="305"/>
      <c r="E774" s="305"/>
      <c r="F774" s="308"/>
      <c r="G774" s="305"/>
      <c r="H774" s="305"/>
      <c r="I774" s="305"/>
      <c r="J774" s="305"/>
      <c r="K774" s="305"/>
      <c r="L774" s="305"/>
      <c r="M774" s="305"/>
      <c r="N774" s="309"/>
      <c r="O774" s="305"/>
      <c r="P774" s="310"/>
      <c r="Q774" s="311"/>
      <c r="R774" s="311"/>
      <c r="S774" s="310"/>
      <c r="T774" s="310"/>
      <c r="U774" s="310"/>
      <c r="V774" s="310"/>
      <c r="W774" s="310"/>
      <c r="X774" s="305"/>
      <c r="Y774" s="305"/>
      <c r="Z774" s="305"/>
      <c r="AA774" s="305"/>
      <c r="AB774" s="305"/>
      <c r="AC774" s="305"/>
      <c r="AD774" s="306"/>
      <c r="AE774" s="307"/>
    </row>
    <row r="775" spans="1:31" ht="15" customHeight="1" x14ac:dyDescent="0.25">
      <c r="A775" s="305"/>
      <c r="B775" s="305"/>
      <c r="C775" s="305"/>
      <c r="D775" s="305"/>
      <c r="E775" s="305"/>
      <c r="F775" s="308"/>
      <c r="G775" s="305"/>
      <c r="H775" s="305"/>
      <c r="I775" s="305"/>
      <c r="J775" s="305"/>
      <c r="K775" s="305"/>
      <c r="L775" s="305"/>
      <c r="M775" s="305"/>
      <c r="N775" s="309"/>
      <c r="O775" s="305"/>
      <c r="P775" s="310"/>
      <c r="Q775" s="311"/>
      <c r="R775" s="311"/>
      <c r="S775" s="310"/>
      <c r="T775" s="310"/>
      <c r="U775" s="310"/>
      <c r="V775" s="310"/>
      <c r="W775" s="310"/>
      <c r="X775" s="305"/>
      <c r="Y775" s="305"/>
      <c r="Z775" s="305"/>
      <c r="AA775" s="305"/>
      <c r="AB775" s="305"/>
      <c r="AC775" s="305"/>
      <c r="AD775" s="306"/>
      <c r="AE775" s="307"/>
    </row>
    <row r="776" spans="1:31" ht="15" customHeight="1" x14ac:dyDescent="0.25">
      <c r="A776" s="305"/>
      <c r="B776" s="305"/>
      <c r="C776" s="305"/>
      <c r="D776" s="305"/>
      <c r="E776" s="305"/>
      <c r="F776" s="308"/>
      <c r="G776" s="305"/>
      <c r="H776" s="305"/>
      <c r="I776" s="305"/>
      <c r="J776" s="305"/>
      <c r="K776" s="305"/>
      <c r="L776" s="305"/>
      <c r="M776" s="305"/>
      <c r="N776" s="309"/>
      <c r="O776" s="305"/>
      <c r="P776" s="310"/>
      <c r="Q776" s="311"/>
      <c r="R776" s="311"/>
      <c r="S776" s="310"/>
      <c r="T776" s="310"/>
      <c r="U776" s="310"/>
      <c r="V776" s="310"/>
      <c r="W776" s="310"/>
      <c r="X776" s="305"/>
      <c r="Y776" s="305"/>
      <c r="Z776" s="305"/>
      <c r="AA776" s="305"/>
      <c r="AB776" s="305"/>
      <c r="AC776" s="305"/>
      <c r="AD776" s="306"/>
      <c r="AE776" s="307"/>
    </row>
    <row r="777" spans="1:31" ht="15" customHeight="1" x14ac:dyDescent="0.25">
      <c r="A777" s="305"/>
      <c r="B777" s="305"/>
      <c r="C777" s="305"/>
      <c r="D777" s="305"/>
      <c r="E777" s="305"/>
      <c r="F777" s="308"/>
      <c r="G777" s="305"/>
      <c r="H777" s="305"/>
      <c r="I777" s="305"/>
      <c r="J777" s="305"/>
      <c r="K777" s="305"/>
      <c r="L777" s="305"/>
      <c r="M777" s="305"/>
      <c r="N777" s="309"/>
      <c r="O777" s="305"/>
      <c r="P777" s="310"/>
      <c r="Q777" s="311"/>
      <c r="R777" s="311"/>
      <c r="S777" s="310"/>
      <c r="T777" s="310"/>
      <c r="U777" s="310"/>
      <c r="V777" s="310"/>
      <c r="W777" s="310"/>
      <c r="X777" s="305"/>
      <c r="Y777" s="305"/>
      <c r="Z777" s="305"/>
      <c r="AA777" s="305"/>
      <c r="AB777" s="305"/>
      <c r="AC777" s="305"/>
      <c r="AD777" s="306"/>
      <c r="AE777" s="307"/>
    </row>
    <row r="778" spans="1:31" ht="15" customHeight="1" x14ac:dyDescent="0.25">
      <c r="A778" s="305"/>
      <c r="B778" s="305"/>
      <c r="C778" s="305"/>
      <c r="D778" s="305"/>
      <c r="E778" s="305"/>
      <c r="F778" s="308"/>
      <c r="G778" s="305"/>
      <c r="H778" s="305"/>
      <c r="I778" s="305"/>
      <c r="J778" s="305"/>
      <c r="K778" s="305"/>
      <c r="L778" s="305"/>
      <c r="M778" s="305"/>
      <c r="N778" s="309"/>
      <c r="O778" s="305"/>
      <c r="P778" s="310"/>
      <c r="Q778" s="311"/>
      <c r="R778" s="311"/>
      <c r="S778" s="310"/>
      <c r="T778" s="310"/>
      <c r="U778" s="310"/>
      <c r="V778" s="310"/>
      <c r="W778" s="310"/>
      <c r="X778" s="305"/>
      <c r="Y778" s="305"/>
      <c r="Z778" s="305"/>
      <c r="AA778" s="305"/>
      <c r="AB778" s="305"/>
      <c r="AC778" s="305"/>
      <c r="AD778" s="306"/>
      <c r="AE778" s="307"/>
    </row>
    <row r="779" spans="1:31" ht="15" customHeight="1" x14ac:dyDescent="0.25">
      <c r="A779" s="305"/>
      <c r="B779" s="305"/>
      <c r="C779" s="305"/>
      <c r="D779" s="305"/>
      <c r="E779" s="305"/>
      <c r="F779" s="308"/>
      <c r="G779" s="305"/>
      <c r="H779" s="305"/>
      <c r="I779" s="305"/>
      <c r="J779" s="305"/>
      <c r="K779" s="305"/>
      <c r="L779" s="305"/>
      <c r="M779" s="305"/>
      <c r="N779" s="309"/>
      <c r="O779" s="305"/>
      <c r="P779" s="310"/>
      <c r="Q779" s="311"/>
      <c r="R779" s="311"/>
      <c r="S779" s="310"/>
      <c r="T779" s="310"/>
      <c r="U779" s="310"/>
      <c r="V779" s="310"/>
      <c r="W779" s="310"/>
      <c r="X779" s="305"/>
      <c r="Y779" s="305"/>
      <c r="Z779" s="305"/>
      <c r="AA779" s="305"/>
      <c r="AB779" s="305"/>
      <c r="AC779" s="305"/>
      <c r="AD779" s="306"/>
      <c r="AE779" s="307"/>
    </row>
    <row r="780" spans="1:31" ht="15" customHeight="1" x14ac:dyDescent="0.25">
      <c r="A780" s="305"/>
      <c r="B780" s="305"/>
      <c r="C780" s="305"/>
      <c r="D780" s="305"/>
      <c r="E780" s="305"/>
      <c r="F780" s="308"/>
      <c r="G780" s="305"/>
      <c r="H780" s="305"/>
      <c r="I780" s="305"/>
      <c r="J780" s="305"/>
      <c r="K780" s="305"/>
      <c r="L780" s="305"/>
      <c r="M780" s="305"/>
      <c r="N780" s="309"/>
      <c r="O780" s="305"/>
      <c r="P780" s="310"/>
      <c r="Q780" s="311"/>
      <c r="R780" s="311"/>
      <c r="S780" s="310"/>
      <c r="T780" s="310"/>
      <c r="U780" s="310"/>
      <c r="V780" s="310"/>
      <c r="W780" s="310"/>
      <c r="X780" s="305"/>
      <c r="Y780" s="305"/>
      <c r="Z780" s="305"/>
      <c r="AA780" s="305"/>
      <c r="AB780" s="305"/>
      <c r="AC780" s="305"/>
      <c r="AD780" s="306"/>
      <c r="AE780" s="307"/>
    </row>
    <row r="781" spans="1:31" ht="15" customHeight="1" x14ac:dyDescent="0.25">
      <c r="A781" s="305"/>
      <c r="B781" s="305"/>
      <c r="C781" s="305"/>
      <c r="D781" s="305"/>
      <c r="E781" s="305"/>
      <c r="F781" s="308"/>
      <c r="G781" s="305"/>
      <c r="H781" s="305"/>
      <c r="I781" s="305"/>
      <c r="J781" s="305"/>
      <c r="K781" s="305"/>
      <c r="L781" s="305"/>
      <c r="M781" s="305"/>
      <c r="N781" s="309"/>
      <c r="O781" s="305"/>
      <c r="P781" s="310"/>
      <c r="Q781" s="311"/>
      <c r="R781" s="311"/>
      <c r="S781" s="310"/>
      <c r="T781" s="310"/>
      <c r="U781" s="310"/>
      <c r="V781" s="310"/>
      <c r="W781" s="310"/>
      <c r="X781" s="305"/>
      <c r="Y781" s="305"/>
      <c r="Z781" s="305"/>
      <c r="AA781" s="305"/>
      <c r="AB781" s="305"/>
      <c r="AC781" s="305"/>
      <c r="AD781" s="306"/>
      <c r="AE781" s="307"/>
    </row>
    <row r="782" spans="1:31" ht="15" customHeight="1" x14ac:dyDescent="0.25">
      <c r="A782" s="305"/>
      <c r="B782" s="305"/>
      <c r="C782" s="305"/>
      <c r="D782" s="305"/>
      <c r="E782" s="305"/>
      <c r="F782" s="308"/>
      <c r="G782" s="305"/>
      <c r="H782" s="305"/>
      <c r="I782" s="305"/>
      <c r="J782" s="305"/>
      <c r="K782" s="305"/>
      <c r="L782" s="305"/>
      <c r="M782" s="305"/>
      <c r="N782" s="309"/>
      <c r="O782" s="305"/>
      <c r="P782" s="310"/>
      <c r="Q782" s="311"/>
      <c r="R782" s="311"/>
      <c r="S782" s="310"/>
      <c r="T782" s="310"/>
      <c r="U782" s="310"/>
      <c r="V782" s="310"/>
      <c r="W782" s="310"/>
      <c r="X782" s="305"/>
      <c r="Y782" s="305"/>
      <c r="Z782" s="305"/>
      <c r="AA782" s="305"/>
      <c r="AB782" s="305"/>
      <c r="AC782" s="305"/>
      <c r="AD782" s="306"/>
      <c r="AE782" s="307"/>
    </row>
    <row r="783" spans="1:31" ht="15" customHeight="1" x14ac:dyDescent="0.25">
      <c r="A783" s="305"/>
      <c r="B783" s="305"/>
      <c r="C783" s="305"/>
      <c r="D783" s="305"/>
      <c r="E783" s="305"/>
      <c r="F783" s="308"/>
      <c r="G783" s="305"/>
      <c r="H783" s="305"/>
      <c r="I783" s="305"/>
      <c r="J783" s="305"/>
      <c r="K783" s="305"/>
      <c r="L783" s="305"/>
      <c r="M783" s="305"/>
      <c r="N783" s="309"/>
      <c r="O783" s="305"/>
      <c r="P783" s="310"/>
      <c r="Q783" s="311"/>
      <c r="R783" s="311"/>
      <c r="S783" s="310"/>
      <c r="T783" s="310"/>
      <c r="U783" s="310"/>
      <c r="V783" s="310"/>
      <c r="W783" s="310"/>
      <c r="X783" s="305"/>
      <c r="Y783" s="305"/>
      <c r="Z783" s="305"/>
      <c r="AA783" s="305"/>
      <c r="AB783" s="305"/>
      <c r="AC783" s="305"/>
      <c r="AD783" s="306"/>
      <c r="AE783" s="307"/>
    </row>
    <row r="784" spans="1:31" ht="15" customHeight="1" x14ac:dyDescent="0.25">
      <c r="A784" s="305"/>
      <c r="B784" s="305"/>
      <c r="C784" s="305"/>
      <c r="D784" s="305"/>
      <c r="E784" s="305"/>
      <c r="F784" s="308"/>
      <c r="G784" s="305"/>
      <c r="H784" s="305"/>
      <c r="I784" s="305"/>
      <c r="J784" s="305"/>
      <c r="K784" s="305"/>
      <c r="L784" s="305"/>
      <c r="M784" s="305"/>
      <c r="N784" s="309"/>
      <c r="O784" s="305"/>
      <c r="P784" s="310"/>
      <c r="Q784" s="311"/>
      <c r="R784" s="311"/>
      <c r="S784" s="310"/>
      <c r="T784" s="310"/>
      <c r="U784" s="310"/>
      <c r="V784" s="310"/>
      <c r="W784" s="310"/>
      <c r="X784" s="305"/>
      <c r="Y784" s="305"/>
      <c r="Z784" s="305"/>
      <c r="AA784" s="305"/>
      <c r="AB784" s="305"/>
      <c r="AC784" s="305"/>
      <c r="AD784" s="306"/>
      <c r="AE784" s="307"/>
    </row>
    <row r="785" spans="1:31" ht="15" customHeight="1" x14ac:dyDescent="0.25">
      <c r="A785" s="305"/>
      <c r="B785" s="305"/>
      <c r="C785" s="305"/>
      <c r="D785" s="305"/>
      <c r="E785" s="305"/>
      <c r="F785" s="308"/>
      <c r="G785" s="305"/>
      <c r="H785" s="305"/>
      <c r="I785" s="305"/>
      <c r="J785" s="305"/>
      <c r="K785" s="305"/>
      <c r="L785" s="305"/>
      <c r="M785" s="305"/>
      <c r="N785" s="309"/>
      <c r="O785" s="305"/>
      <c r="P785" s="310"/>
      <c r="Q785" s="311"/>
      <c r="R785" s="311"/>
      <c r="S785" s="310"/>
      <c r="T785" s="310"/>
      <c r="U785" s="310"/>
      <c r="V785" s="310"/>
      <c r="W785" s="310"/>
      <c r="X785" s="305"/>
      <c r="Y785" s="305"/>
      <c r="Z785" s="305"/>
      <c r="AA785" s="305"/>
      <c r="AB785" s="305"/>
      <c r="AC785" s="305"/>
      <c r="AD785" s="306"/>
      <c r="AE785" s="307"/>
    </row>
    <row r="786" spans="1:31" ht="15" customHeight="1" x14ac:dyDescent="0.25">
      <c r="A786" s="305"/>
      <c r="B786" s="305"/>
      <c r="C786" s="305"/>
      <c r="D786" s="305"/>
      <c r="E786" s="305"/>
      <c r="F786" s="308"/>
      <c r="G786" s="305"/>
      <c r="H786" s="305"/>
      <c r="I786" s="305"/>
      <c r="J786" s="305"/>
      <c r="K786" s="305"/>
      <c r="L786" s="305"/>
      <c r="M786" s="305"/>
      <c r="N786" s="309"/>
      <c r="O786" s="305"/>
      <c r="P786" s="310"/>
      <c r="Q786" s="311"/>
      <c r="R786" s="311"/>
      <c r="S786" s="310"/>
      <c r="T786" s="310"/>
      <c r="U786" s="310"/>
      <c r="V786" s="310"/>
      <c r="W786" s="310"/>
      <c r="X786" s="305"/>
      <c r="Y786" s="305"/>
      <c r="Z786" s="305"/>
      <c r="AA786" s="305"/>
      <c r="AB786" s="305"/>
      <c r="AC786" s="305"/>
      <c r="AD786" s="306"/>
      <c r="AE786" s="307"/>
    </row>
    <row r="787" spans="1:31" ht="15" customHeight="1" x14ac:dyDescent="0.25">
      <c r="A787" s="305"/>
      <c r="B787" s="305"/>
      <c r="C787" s="305"/>
      <c r="D787" s="305"/>
      <c r="E787" s="305"/>
      <c r="F787" s="308"/>
      <c r="G787" s="305"/>
      <c r="H787" s="305"/>
      <c r="I787" s="305"/>
      <c r="J787" s="305"/>
      <c r="K787" s="305"/>
      <c r="L787" s="305"/>
      <c r="M787" s="305"/>
      <c r="N787" s="309"/>
      <c r="O787" s="305"/>
      <c r="P787" s="310"/>
      <c r="Q787" s="311"/>
      <c r="R787" s="311"/>
      <c r="S787" s="310"/>
      <c r="T787" s="310"/>
      <c r="U787" s="310"/>
      <c r="V787" s="310"/>
      <c r="W787" s="310"/>
      <c r="X787" s="305"/>
      <c r="Y787" s="305"/>
      <c r="Z787" s="305"/>
      <c r="AA787" s="305"/>
      <c r="AB787" s="305"/>
      <c r="AC787" s="305"/>
      <c r="AD787" s="306"/>
      <c r="AE787" s="307"/>
    </row>
    <row r="788" spans="1:31" ht="15" customHeight="1" x14ac:dyDescent="0.25">
      <c r="A788" s="305"/>
      <c r="B788" s="305"/>
      <c r="C788" s="305"/>
      <c r="D788" s="305"/>
      <c r="E788" s="305"/>
      <c r="F788" s="308"/>
      <c r="G788" s="305"/>
      <c r="H788" s="305"/>
      <c r="I788" s="305"/>
      <c r="J788" s="305"/>
      <c r="K788" s="305"/>
      <c r="L788" s="305"/>
      <c r="M788" s="305"/>
      <c r="N788" s="309"/>
      <c r="O788" s="305"/>
      <c r="P788" s="310"/>
      <c r="Q788" s="311"/>
      <c r="R788" s="311"/>
      <c r="S788" s="310"/>
      <c r="T788" s="310"/>
      <c r="U788" s="310"/>
      <c r="V788" s="310"/>
      <c r="W788" s="310"/>
      <c r="X788" s="305"/>
      <c r="Y788" s="305"/>
      <c r="Z788" s="305"/>
      <c r="AA788" s="305"/>
      <c r="AB788" s="305"/>
      <c r="AC788" s="305"/>
      <c r="AD788" s="306"/>
      <c r="AE788" s="307"/>
    </row>
    <row r="789" spans="1:31" ht="15" customHeight="1" x14ac:dyDescent="0.25">
      <c r="A789" s="305"/>
      <c r="B789" s="305"/>
      <c r="C789" s="305"/>
      <c r="D789" s="305"/>
      <c r="E789" s="305"/>
      <c r="F789" s="308"/>
      <c r="G789" s="305"/>
      <c r="H789" s="305"/>
      <c r="I789" s="305"/>
      <c r="J789" s="305"/>
      <c r="K789" s="305"/>
      <c r="L789" s="305"/>
      <c r="M789" s="305"/>
      <c r="N789" s="309"/>
      <c r="O789" s="305"/>
      <c r="P789" s="310"/>
      <c r="Q789" s="311"/>
      <c r="R789" s="311"/>
      <c r="S789" s="310"/>
      <c r="T789" s="310"/>
      <c r="U789" s="310"/>
      <c r="V789" s="310"/>
      <c r="W789" s="310"/>
      <c r="X789" s="305"/>
      <c r="Y789" s="305"/>
      <c r="Z789" s="305"/>
      <c r="AA789" s="305"/>
      <c r="AB789" s="305"/>
      <c r="AC789" s="305"/>
      <c r="AD789" s="306"/>
      <c r="AE789" s="307"/>
    </row>
    <row r="790" spans="1:31" ht="15" customHeight="1" x14ac:dyDescent="0.25">
      <c r="A790" s="305"/>
      <c r="B790" s="305"/>
      <c r="C790" s="305"/>
      <c r="D790" s="305"/>
      <c r="E790" s="305"/>
      <c r="F790" s="308"/>
      <c r="G790" s="305"/>
      <c r="H790" s="305"/>
      <c r="I790" s="305"/>
      <c r="J790" s="305"/>
      <c r="K790" s="305"/>
      <c r="L790" s="305"/>
      <c r="M790" s="305"/>
      <c r="N790" s="309"/>
      <c r="O790" s="305"/>
      <c r="P790" s="310"/>
      <c r="Q790" s="311"/>
      <c r="R790" s="311"/>
      <c r="S790" s="310"/>
      <c r="T790" s="310"/>
      <c r="U790" s="310"/>
      <c r="V790" s="310"/>
      <c r="W790" s="310"/>
      <c r="X790" s="305"/>
      <c r="Y790" s="305"/>
      <c r="Z790" s="305"/>
      <c r="AA790" s="305"/>
      <c r="AB790" s="305"/>
      <c r="AC790" s="305"/>
      <c r="AD790" s="306"/>
      <c r="AE790" s="307"/>
    </row>
    <row r="791" spans="1:31" ht="15" customHeight="1" x14ac:dyDescent="0.25">
      <c r="A791" s="305"/>
      <c r="B791" s="305"/>
      <c r="C791" s="305"/>
      <c r="D791" s="305"/>
      <c r="E791" s="305"/>
      <c r="F791" s="308"/>
      <c r="G791" s="305"/>
      <c r="H791" s="305"/>
      <c r="I791" s="305"/>
      <c r="J791" s="305"/>
      <c r="K791" s="305"/>
      <c r="L791" s="305"/>
      <c r="M791" s="305"/>
      <c r="N791" s="309"/>
      <c r="O791" s="305"/>
      <c r="P791" s="310"/>
      <c r="Q791" s="311"/>
      <c r="R791" s="311"/>
      <c r="S791" s="310"/>
      <c r="T791" s="310"/>
      <c r="U791" s="310"/>
      <c r="V791" s="310"/>
      <c r="W791" s="310"/>
      <c r="X791" s="305"/>
      <c r="Y791" s="305"/>
      <c r="Z791" s="305"/>
      <c r="AA791" s="305"/>
      <c r="AB791" s="305"/>
      <c r="AC791" s="305"/>
      <c r="AD791" s="306"/>
      <c r="AE791" s="307"/>
    </row>
    <row r="792" spans="1:31" ht="15" customHeight="1" x14ac:dyDescent="0.25">
      <c r="A792" s="305"/>
      <c r="B792" s="305"/>
      <c r="C792" s="305"/>
      <c r="D792" s="305"/>
      <c r="E792" s="305"/>
      <c r="F792" s="308"/>
      <c r="G792" s="305"/>
      <c r="H792" s="305"/>
      <c r="I792" s="305"/>
      <c r="J792" s="305"/>
      <c r="K792" s="305"/>
      <c r="L792" s="305"/>
      <c r="M792" s="305"/>
      <c r="N792" s="309"/>
      <c r="O792" s="305"/>
      <c r="P792" s="310"/>
      <c r="Q792" s="311"/>
      <c r="R792" s="311"/>
      <c r="S792" s="310"/>
      <c r="T792" s="310"/>
      <c r="U792" s="310"/>
      <c r="V792" s="310"/>
      <c r="W792" s="310"/>
      <c r="X792" s="305"/>
      <c r="Y792" s="305"/>
      <c r="Z792" s="305"/>
      <c r="AA792" s="305"/>
      <c r="AB792" s="305"/>
      <c r="AC792" s="305"/>
      <c r="AD792" s="306"/>
      <c r="AE792" s="307"/>
    </row>
    <row r="793" spans="1:31" ht="15" customHeight="1" x14ac:dyDescent="0.25">
      <c r="A793" s="305"/>
      <c r="B793" s="305"/>
      <c r="C793" s="305"/>
      <c r="D793" s="305"/>
      <c r="E793" s="305"/>
      <c r="F793" s="308"/>
      <c r="G793" s="305"/>
      <c r="H793" s="305"/>
      <c r="I793" s="305"/>
      <c r="J793" s="305"/>
      <c r="K793" s="305"/>
      <c r="L793" s="305"/>
      <c r="M793" s="305"/>
      <c r="N793" s="309"/>
      <c r="O793" s="305"/>
      <c r="P793" s="310"/>
      <c r="Q793" s="311"/>
      <c r="R793" s="311"/>
      <c r="S793" s="310"/>
      <c r="T793" s="310"/>
      <c r="U793" s="310"/>
      <c r="V793" s="310"/>
      <c r="W793" s="310"/>
      <c r="X793" s="305"/>
      <c r="Y793" s="305"/>
      <c r="Z793" s="305"/>
      <c r="AA793" s="305"/>
      <c r="AB793" s="305"/>
      <c r="AC793" s="305"/>
      <c r="AD793" s="306"/>
      <c r="AE793" s="307"/>
    </row>
    <row r="794" spans="1:31" ht="15" customHeight="1" x14ac:dyDescent="0.25">
      <c r="A794" s="305"/>
      <c r="B794" s="305"/>
      <c r="C794" s="305"/>
      <c r="D794" s="305"/>
      <c r="E794" s="305"/>
      <c r="F794" s="308"/>
      <c r="G794" s="305"/>
      <c r="H794" s="305"/>
      <c r="I794" s="305"/>
      <c r="J794" s="305"/>
      <c r="K794" s="305"/>
      <c r="L794" s="305"/>
      <c r="M794" s="305"/>
      <c r="N794" s="309"/>
      <c r="O794" s="305"/>
      <c r="P794" s="310"/>
      <c r="Q794" s="311"/>
      <c r="R794" s="311"/>
      <c r="S794" s="310"/>
      <c r="T794" s="310"/>
      <c r="U794" s="310"/>
      <c r="V794" s="310"/>
      <c r="W794" s="310"/>
      <c r="X794" s="305"/>
      <c r="Y794" s="305"/>
      <c r="Z794" s="305"/>
      <c r="AA794" s="305"/>
      <c r="AB794" s="305"/>
      <c r="AC794" s="305"/>
      <c r="AD794" s="306"/>
      <c r="AE794" s="307"/>
    </row>
    <row r="795" spans="1:31" ht="15" customHeight="1" x14ac:dyDescent="0.25">
      <c r="A795" s="305"/>
      <c r="B795" s="305"/>
      <c r="C795" s="305"/>
      <c r="D795" s="305"/>
      <c r="E795" s="305"/>
      <c r="F795" s="308"/>
      <c r="G795" s="305"/>
      <c r="H795" s="305"/>
      <c r="I795" s="305"/>
      <c r="J795" s="305"/>
      <c r="K795" s="305"/>
      <c r="L795" s="305"/>
      <c r="M795" s="305"/>
      <c r="N795" s="309"/>
      <c r="O795" s="305"/>
      <c r="P795" s="310"/>
      <c r="Q795" s="311"/>
      <c r="R795" s="311"/>
      <c r="S795" s="310"/>
      <c r="T795" s="310"/>
      <c r="U795" s="310"/>
      <c r="V795" s="310"/>
      <c r="W795" s="310"/>
      <c r="X795" s="305"/>
      <c r="Y795" s="305"/>
      <c r="Z795" s="305"/>
      <c r="AA795" s="305"/>
      <c r="AB795" s="305"/>
      <c r="AC795" s="305"/>
      <c r="AD795" s="306"/>
      <c r="AE795" s="307"/>
    </row>
    <row r="796" spans="1:31" ht="15" customHeight="1" x14ac:dyDescent="0.25">
      <c r="A796" s="305"/>
      <c r="B796" s="305"/>
      <c r="C796" s="305"/>
      <c r="D796" s="305"/>
      <c r="E796" s="305"/>
      <c r="F796" s="308"/>
      <c r="G796" s="305"/>
      <c r="H796" s="305"/>
      <c r="I796" s="305"/>
      <c r="J796" s="305"/>
      <c r="K796" s="305"/>
      <c r="L796" s="305"/>
      <c r="M796" s="305"/>
      <c r="N796" s="309"/>
      <c r="O796" s="305"/>
      <c r="P796" s="310"/>
      <c r="Q796" s="311"/>
      <c r="R796" s="311"/>
      <c r="S796" s="310"/>
      <c r="T796" s="310"/>
      <c r="U796" s="310"/>
      <c r="V796" s="310"/>
      <c r="W796" s="310"/>
      <c r="X796" s="305"/>
      <c r="Y796" s="305"/>
      <c r="Z796" s="305"/>
      <c r="AA796" s="305"/>
      <c r="AB796" s="305"/>
      <c r="AC796" s="305"/>
      <c r="AD796" s="306"/>
      <c r="AE796" s="307"/>
    </row>
    <row r="797" spans="1:31" ht="15" customHeight="1" x14ac:dyDescent="0.25">
      <c r="A797" s="305"/>
      <c r="B797" s="305"/>
      <c r="C797" s="305"/>
      <c r="D797" s="305"/>
      <c r="E797" s="305"/>
      <c r="F797" s="308"/>
      <c r="G797" s="305"/>
      <c r="H797" s="305"/>
      <c r="I797" s="305"/>
      <c r="J797" s="305"/>
      <c r="K797" s="305"/>
      <c r="L797" s="305"/>
      <c r="M797" s="305"/>
      <c r="N797" s="309"/>
      <c r="O797" s="305"/>
      <c r="P797" s="310"/>
      <c r="Q797" s="311"/>
      <c r="R797" s="311"/>
      <c r="S797" s="310"/>
      <c r="T797" s="310"/>
      <c r="U797" s="310"/>
      <c r="V797" s="310"/>
      <c r="W797" s="310"/>
      <c r="X797" s="305"/>
      <c r="Y797" s="305"/>
      <c r="Z797" s="305"/>
      <c r="AA797" s="305"/>
      <c r="AB797" s="305"/>
      <c r="AC797" s="305"/>
      <c r="AD797" s="306"/>
      <c r="AE797" s="307"/>
    </row>
    <row r="798" spans="1:31" ht="15" customHeight="1" x14ac:dyDescent="0.25">
      <c r="A798" s="305"/>
      <c r="B798" s="305"/>
      <c r="C798" s="305"/>
      <c r="D798" s="305"/>
      <c r="E798" s="305"/>
      <c r="F798" s="308"/>
      <c r="G798" s="305"/>
      <c r="H798" s="305"/>
      <c r="I798" s="305"/>
      <c r="J798" s="305"/>
      <c r="K798" s="305"/>
      <c r="L798" s="305"/>
      <c r="M798" s="305"/>
      <c r="N798" s="309"/>
      <c r="O798" s="305"/>
      <c r="P798" s="310"/>
      <c r="Q798" s="311"/>
      <c r="R798" s="311"/>
      <c r="S798" s="310"/>
      <c r="T798" s="310"/>
      <c r="U798" s="310"/>
      <c r="V798" s="310"/>
      <c r="W798" s="310"/>
      <c r="X798" s="305"/>
      <c r="Y798" s="305"/>
      <c r="Z798" s="305"/>
      <c r="AA798" s="305"/>
      <c r="AB798" s="305"/>
      <c r="AC798" s="305"/>
      <c r="AD798" s="306"/>
      <c r="AE798" s="307"/>
    </row>
    <row r="799" spans="1:31" ht="15" customHeight="1" x14ac:dyDescent="0.25">
      <c r="A799" s="305"/>
      <c r="B799" s="305"/>
      <c r="C799" s="305"/>
      <c r="D799" s="305"/>
      <c r="E799" s="305"/>
      <c r="F799" s="308"/>
      <c r="G799" s="305"/>
      <c r="H799" s="305"/>
      <c r="I799" s="305"/>
      <c r="J799" s="305"/>
      <c r="K799" s="305"/>
      <c r="L799" s="305"/>
      <c r="M799" s="305"/>
      <c r="N799" s="309"/>
      <c r="O799" s="305"/>
      <c r="P799" s="310"/>
      <c r="Q799" s="311"/>
      <c r="R799" s="311"/>
      <c r="S799" s="310"/>
      <c r="T799" s="310"/>
      <c r="U799" s="310"/>
      <c r="V799" s="310"/>
      <c r="W799" s="310"/>
      <c r="X799" s="305"/>
      <c r="Y799" s="305"/>
      <c r="Z799" s="305"/>
      <c r="AA799" s="305"/>
      <c r="AB799" s="305"/>
      <c r="AC799" s="305"/>
      <c r="AD799" s="306"/>
      <c r="AE799" s="307"/>
    </row>
    <row r="800" spans="1:31" ht="15" customHeight="1" x14ac:dyDescent="0.25">
      <c r="A800" s="305"/>
      <c r="B800" s="305"/>
      <c r="C800" s="305"/>
      <c r="D800" s="305"/>
      <c r="E800" s="305"/>
      <c r="F800" s="308"/>
      <c r="G800" s="305"/>
      <c r="H800" s="305"/>
      <c r="I800" s="305"/>
      <c r="J800" s="305"/>
      <c r="K800" s="305"/>
      <c r="L800" s="305"/>
      <c r="M800" s="305"/>
      <c r="N800" s="309"/>
      <c r="O800" s="305"/>
      <c r="P800" s="310"/>
      <c r="Q800" s="311"/>
      <c r="R800" s="311"/>
      <c r="S800" s="310"/>
      <c r="T800" s="310"/>
      <c r="U800" s="310"/>
      <c r="V800" s="310"/>
      <c r="W800" s="310"/>
      <c r="X800" s="305"/>
      <c r="Y800" s="305"/>
      <c r="Z800" s="305"/>
      <c r="AA800" s="305"/>
      <c r="AB800" s="305"/>
      <c r="AC800" s="305"/>
      <c r="AD800" s="306"/>
      <c r="AE800" s="307"/>
    </row>
    <row r="801" spans="1:31" ht="15" customHeight="1" x14ac:dyDescent="0.25">
      <c r="A801" s="305"/>
      <c r="B801" s="305"/>
      <c r="C801" s="305"/>
      <c r="D801" s="305"/>
      <c r="E801" s="305"/>
      <c r="F801" s="308"/>
      <c r="G801" s="305"/>
      <c r="H801" s="305"/>
      <c r="I801" s="305"/>
      <c r="J801" s="305"/>
      <c r="K801" s="305"/>
      <c r="L801" s="305"/>
      <c r="M801" s="305"/>
      <c r="N801" s="309"/>
      <c r="O801" s="305"/>
      <c r="P801" s="310"/>
      <c r="Q801" s="311"/>
      <c r="R801" s="311"/>
      <c r="S801" s="310"/>
      <c r="T801" s="310"/>
      <c r="U801" s="310"/>
      <c r="V801" s="310"/>
      <c r="W801" s="310"/>
      <c r="X801" s="305"/>
      <c r="Y801" s="305"/>
      <c r="Z801" s="305"/>
      <c r="AA801" s="305"/>
      <c r="AB801" s="305"/>
      <c r="AC801" s="305"/>
      <c r="AD801" s="306"/>
      <c r="AE801" s="307"/>
    </row>
    <row r="802" spans="1:31" ht="15" customHeight="1" x14ac:dyDescent="0.25">
      <c r="A802" s="305"/>
      <c r="B802" s="305"/>
      <c r="C802" s="305"/>
      <c r="D802" s="305"/>
      <c r="E802" s="305"/>
      <c r="F802" s="308"/>
      <c r="G802" s="305"/>
      <c r="H802" s="305"/>
      <c r="I802" s="305"/>
      <c r="J802" s="305"/>
      <c r="K802" s="305"/>
      <c r="L802" s="305"/>
      <c r="M802" s="305"/>
      <c r="N802" s="309"/>
      <c r="O802" s="305"/>
      <c r="P802" s="310"/>
      <c r="Q802" s="311"/>
      <c r="R802" s="311"/>
      <c r="S802" s="310"/>
      <c r="T802" s="310"/>
      <c r="U802" s="310"/>
      <c r="V802" s="310"/>
      <c r="W802" s="310"/>
      <c r="X802" s="305"/>
      <c r="Y802" s="305"/>
      <c r="Z802" s="305"/>
      <c r="AA802" s="305"/>
      <c r="AB802" s="305"/>
      <c r="AC802" s="305"/>
      <c r="AD802" s="306"/>
      <c r="AE802" s="307"/>
    </row>
    <row r="803" spans="1:31" ht="15" customHeight="1" x14ac:dyDescent="0.25">
      <c r="A803" s="305"/>
      <c r="B803" s="305"/>
      <c r="C803" s="305"/>
      <c r="D803" s="305"/>
      <c r="E803" s="305"/>
      <c r="F803" s="308"/>
      <c r="G803" s="305"/>
      <c r="H803" s="305"/>
      <c r="I803" s="305"/>
      <c r="J803" s="305"/>
      <c r="K803" s="305"/>
      <c r="L803" s="305"/>
      <c r="M803" s="305"/>
      <c r="N803" s="309"/>
      <c r="O803" s="305"/>
      <c r="P803" s="310"/>
      <c r="Q803" s="311"/>
      <c r="R803" s="311"/>
      <c r="S803" s="310"/>
      <c r="T803" s="310"/>
      <c r="U803" s="310"/>
      <c r="V803" s="310"/>
      <c r="W803" s="310"/>
      <c r="X803" s="305"/>
      <c r="Y803" s="305"/>
      <c r="Z803" s="305"/>
      <c r="AA803" s="305"/>
      <c r="AB803" s="305"/>
      <c r="AC803" s="305"/>
      <c r="AD803" s="306"/>
      <c r="AE803" s="307"/>
    </row>
    <row r="804" spans="1:31" ht="15" customHeight="1" x14ac:dyDescent="0.25">
      <c r="A804" s="305"/>
      <c r="B804" s="305"/>
      <c r="C804" s="305"/>
      <c r="D804" s="305"/>
      <c r="E804" s="305"/>
      <c r="F804" s="308"/>
      <c r="G804" s="305"/>
      <c r="H804" s="305"/>
      <c r="I804" s="305"/>
      <c r="J804" s="305"/>
      <c r="K804" s="305"/>
      <c r="L804" s="305"/>
      <c r="M804" s="305"/>
      <c r="N804" s="309"/>
      <c r="O804" s="305"/>
      <c r="P804" s="310"/>
      <c r="Q804" s="311"/>
      <c r="R804" s="311"/>
      <c r="S804" s="310"/>
      <c r="T804" s="310"/>
      <c r="U804" s="310"/>
      <c r="V804" s="310"/>
      <c r="W804" s="310"/>
      <c r="X804" s="305"/>
      <c r="Y804" s="305"/>
      <c r="Z804" s="305"/>
      <c r="AA804" s="305"/>
      <c r="AB804" s="305"/>
      <c r="AC804" s="305"/>
      <c r="AD804" s="306"/>
      <c r="AE804" s="307"/>
    </row>
    <row r="805" spans="1:31" ht="15" customHeight="1" x14ac:dyDescent="0.25">
      <c r="A805" s="305"/>
      <c r="B805" s="305"/>
      <c r="C805" s="305"/>
      <c r="D805" s="305"/>
      <c r="E805" s="305"/>
      <c r="F805" s="308"/>
      <c r="G805" s="305"/>
      <c r="H805" s="305"/>
      <c r="I805" s="305"/>
      <c r="J805" s="305"/>
      <c r="K805" s="305"/>
      <c r="L805" s="305"/>
      <c r="M805" s="305"/>
      <c r="N805" s="309"/>
      <c r="O805" s="305"/>
      <c r="P805" s="310"/>
      <c r="Q805" s="311"/>
      <c r="R805" s="311"/>
      <c r="S805" s="310"/>
      <c r="T805" s="310"/>
      <c r="U805" s="310"/>
      <c r="V805" s="310"/>
      <c r="W805" s="310"/>
      <c r="X805" s="305"/>
      <c r="Y805" s="305"/>
      <c r="Z805" s="305"/>
      <c r="AA805" s="305"/>
      <c r="AB805" s="305"/>
      <c r="AC805" s="305"/>
      <c r="AD805" s="306"/>
      <c r="AE805" s="307"/>
    </row>
    <row r="806" spans="1:31" ht="15" customHeight="1" x14ac:dyDescent="0.25">
      <c r="A806" s="305"/>
      <c r="B806" s="305"/>
      <c r="C806" s="305"/>
      <c r="D806" s="305"/>
      <c r="E806" s="305"/>
      <c r="F806" s="308"/>
      <c r="G806" s="305"/>
      <c r="H806" s="305"/>
      <c r="I806" s="305"/>
      <c r="J806" s="305"/>
      <c r="K806" s="305"/>
      <c r="L806" s="305"/>
      <c r="M806" s="305"/>
      <c r="N806" s="309"/>
      <c r="O806" s="305"/>
      <c r="P806" s="310"/>
      <c r="Q806" s="311"/>
      <c r="R806" s="311"/>
      <c r="S806" s="310"/>
      <c r="T806" s="310"/>
      <c r="U806" s="310"/>
      <c r="V806" s="310"/>
      <c r="W806" s="310"/>
      <c r="X806" s="305"/>
      <c r="Y806" s="305"/>
      <c r="Z806" s="305"/>
      <c r="AA806" s="305"/>
      <c r="AB806" s="305"/>
      <c r="AC806" s="305"/>
      <c r="AD806" s="306"/>
      <c r="AE806" s="307"/>
    </row>
    <row r="807" spans="1:31" ht="15" customHeight="1" x14ac:dyDescent="0.25">
      <c r="A807" s="305"/>
      <c r="B807" s="305"/>
      <c r="C807" s="305"/>
      <c r="D807" s="305"/>
      <c r="E807" s="305"/>
      <c r="F807" s="308"/>
      <c r="G807" s="305"/>
      <c r="H807" s="305"/>
      <c r="I807" s="305"/>
      <c r="J807" s="305"/>
      <c r="K807" s="305"/>
      <c r="L807" s="305"/>
      <c r="M807" s="305"/>
      <c r="N807" s="309"/>
      <c r="O807" s="305"/>
      <c r="P807" s="310"/>
      <c r="Q807" s="311"/>
      <c r="R807" s="311"/>
      <c r="S807" s="310"/>
      <c r="T807" s="310"/>
      <c r="U807" s="310"/>
      <c r="V807" s="310"/>
      <c r="W807" s="310"/>
      <c r="X807" s="305"/>
      <c r="Y807" s="305"/>
      <c r="Z807" s="305"/>
      <c r="AA807" s="305"/>
      <c r="AB807" s="305"/>
      <c r="AC807" s="305"/>
      <c r="AD807" s="306"/>
      <c r="AE807" s="307"/>
    </row>
    <row r="808" spans="1:31" ht="15" customHeight="1" x14ac:dyDescent="0.25">
      <c r="A808" s="305"/>
      <c r="B808" s="305"/>
      <c r="C808" s="305"/>
      <c r="D808" s="305"/>
      <c r="E808" s="305"/>
      <c r="F808" s="308"/>
      <c r="G808" s="305"/>
      <c r="H808" s="305"/>
      <c r="I808" s="305"/>
      <c r="J808" s="305"/>
      <c r="K808" s="305"/>
      <c r="L808" s="305"/>
      <c r="M808" s="305"/>
      <c r="N808" s="309"/>
      <c r="O808" s="305"/>
      <c r="P808" s="310"/>
      <c r="Q808" s="311"/>
      <c r="R808" s="311"/>
      <c r="S808" s="310"/>
      <c r="T808" s="310"/>
      <c r="U808" s="310"/>
      <c r="V808" s="310"/>
      <c r="W808" s="310"/>
      <c r="X808" s="305"/>
      <c r="Y808" s="305"/>
      <c r="Z808" s="305"/>
      <c r="AA808" s="305"/>
      <c r="AB808" s="305"/>
      <c r="AC808" s="305"/>
      <c r="AD808" s="306"/>
      <c r="AE808" s="307"/>
    </row>
    <row r="809" spans="1:31" ht="15" customHeight="1" x14ac:dyDescent="0.25">
      <c r="A809" s="305"/>
      <c r="B809" s="305"/>
      <c r="C809" s="305"/>
      <c r="D809" s="305"/>
      <c r="E809" s="305"/>
      <c r="F809" s="308"/>
      <c r="G809" s="305"/>
      <c r="H809" s="305"/>
      <c r="I809" s="305"/>
      <c r="J809" s="305"/>
      <c r="K809" s="305"/>
      <c r="L809" s="305"/>
      <c r="M809" s="305"/>
      <c r="N809" s="309"/>
      <c r="O809" s="305"/>
      <c r="P809" s="310"/>
      <c r="Q809" s="311"/>
      <c r="R809" s="311"/>
      <c r="S809" s="310"/>
      <c r="T809" s="310"/>
      <c r="U809" s="310"/>
      <c r="V809" s="310"/>
      <c r="W809" s="310"/>
      <c r="X809" s="305"/>
      <c r="Y809" s="305"/>
      <c r="Z809" s="305"/>
      <c r="AA809" s="305"/>
      <c r="AB809" s="305"/>
      <c r="AC809" s="305"/>
      <c r="AD809" s="306"/>
      <c r="AE809" s="307"/>
    </row>
    <row r="810" spans="1:31" ht="15" customHeight="1" x14ac:dyDescent="0.25">
      <c r="A810" s="305"/>
      <c r="B810" s="305"/>
      <c r="C810" s="305"/>
      <c r="D810" s="305"/>
      <c r="E810" s="305"/>
      <c r="F810" s="308"/>
      <c r="G810" s="305"/>
      <c r="H810" s="305"/>
      <c r="I810" s="305"/>
      <c r="J810" s="305"/>
      <c r="K810" s="305"/>
      <c r="L810" s="305"/>
      <c r="M810" s="305"/>
      <c r="N810" s="309"/>
      <c r="O810" s="305"/>
      <c r="P810" s="310"/>
      <c r="Q810" s="311"/>
      <c r="R810" s="311"/>
      <c r="S810" s="310"/>
      <c r="T810" s="310"/>
      <c r="U810" s="310"/>
      <c r="V810" s="310"/>
      <c r="W810" s="310"/>
      <c r="X810" s="305"/>
      <c r="Y810" s="305"/>
      <c r="Z810" s="305"/>
      <c r="AA810" s="305"/>
      <c r="AB810" s="305"/>
      <c r="AC810" s="305"/>
      <c r="AD810" s="306"/>
      <c r="AE810" s="307"/>
    </row>
    <row r="811" spans="1:31" ht="15" customHeight="1" x14ac:dyDescent="0.25">
      <c r="A811" s="305"/>
      <c r="B811" s="305"/>
      <c r="C811" s="305"/>
      <c r="D811" s="305"/>
      <c r="E811" s="305"/>
      <c r="F811" s="308"/>
      <c r="G811" s="305"/>
      <c r="H811" s="305"/>
      <c r="I811" s="305"/>
      <c r="J811" s="305"/>
      <c r="K811" s="305"/>
      <c r="L811" s="305"/>
      <c r="M811" s="305"/>
      <c r="N811" s="309"/>
      <c r="O811" s="305"/>
      <c r="P811" s="310"/>
      <c r="Q811" s="311"/>
      <c r="R811" s="311"/>
      <c r="S811" s="310"/>
      <c r="T811" s="310"/>
      <c r="U811" s="310"/>
      <c r="V811" s="310"/>
      <c r="W811" s="310"/>
      <c r="X811" s="305"/>
      <c r="Y811" s="305"/>
      <c r="Z811" s="305"/>
      <c r="AA811" s="305"/>
      <c r="AB811" s="305"/>
      <c r="AC811" s="305"/>
      <c r="AD811" s="306"/>
      <c r="AE811" s="307"/>
    </row>
    <row r="812" spans="1:31" ht="15" customHeight="1" x14ac:dyDescent="0.25">
      <c r="A812" s="305"/>
      <c r="B812" s="305"/>
      <c r="C812" s="305"/>
      <c r="D812" s="305"/>
      <c r="E812" s="305"/>
      <c r="F812" s="308"/>
      <c r="G812" s="305"/>
      <c r="H812" s="305"/>
      <c r="I812" s="305"/>
      <c r="J812" s="305"/>
      <c r="K812" s="305"/>
      <c r="L812" s="305"/>
      <c r="M812" s="305"/>
      <c r="N812" s="309"/>
      <c r="O812" s="305"/>
      <c r="P812" s="310"/>
      <c r="Q812" s="311"/>
      <c r="R812" s="311"/>
      <c r="S812" s="310"/>
      <c r="T812" s="310"/>
      <c r="U812" s="310"/>
      <c r="V812" s="310"/>
      <c r="W812" s="310"/>
      <c r="X812" s="305"/>
      <c r="Y812" s="305"/>
      <c r="Z812" s="305"/>
      <c r="AA812" s="305"/>
      <c r="AB812" s="305"/>
      <c r="AC812" s="305"/>
      <c r="AD812" s="306"/>
      <c r="AE812" s="307"/>
    </row>
    <row r="813" spans="1:31" ht="15" customHeight="1" x14ac:dyDescent="0.25">
      <c r="A813" s="305"/>
      <c r="B813" s="305"/>
      <c r="C813" s="305"/>
      <c r="D813" s="305"/>
      <c r="E813" s="305"/>
      <c r="F813" s="308"/>
      <c r="G813" s="305"/>
      <c r="H813" s="305"/>
      <c r="I813" s="305"/>
      <c r="J813" s="305"/>
      <c r="K813" s="305"/>
      <c r="L813" s="305"/>
      <c r="M813" s="305"/>
      <c r="N813" s="309"/>
      <c r="O813" s="305"/>
      <c r="P813" s="310"/>
      <c r="Q813" s="311"/>
      <c r="R813" s="311"/>
      <c r="S813" s="310"/>
      <c r="T813" s="310"/>
      <c r="U813" s="310"/>
      <c r="V813" s="310"/>
      <c r="W813" s="310"/>
      <c r="X813" s="305"/>
      <c r="Y813" s="305"/>
      <c r="Z813" s="305"/>
      <c r="AA813" s="305"/>
      <c r="AB813" s="305"/>
      <c r="AC813" s="305"/>
      <c r="AD813" s="306"/>
      <c r="AE813" s="307"/>
    </row>
    <row r="814" spans="1:31" ht="15" customHeight="1" x14ac:dyDescent="0.25">
      <c r="A814" s="305"/>
      <c r="B814" s="305"/>
      <c r="C814" s="305"/>
      <c r="D814" s="305"/>
      <c r="E814" s="305"/>
      <c r="F814" s="308"/>
      <c r="G814" s="305"/>
      <c r="H814" s="305"/>
      <c r="I814" s="305"/>
      <c r="J814" s="305"/>
      <c r="K814" s="305"/>
      <c r="L814" s="305"/>
      <c r="M814" s="305"/>
      <c r="N814" s="309"/>
      <c r="O814" s="305"/>
      <c r="P814" s="310"/>
      <c r="Q814" s="311"/>
      <c r="R814" s="311"/>
      <c r="S814" s="310"/>
      <c r="T814" s="310"/>
      <c r="U814" s="310"/>
      <c r="V814" s="310"/>
      <c r="W814" s="310"/>
      <c r="X814" s="305"/>
      <c r="Y814" s="305"/>
      <c r="Z814" s="305"/>
      <c r="AA814" s="305"/>
      <c r="AB814" s="305"/>
      <c r="AC814" s="305"/>
      <c r="AD814" s="306"/>
      <c r="AE814" s="307"/>
    </row>
    <row r="815" spans="1:31" ht="15" customHeight="1" x14ac:dyDescent="0.25">
      <c r="A815" s="305"/>
      <c r="B815" s="305"/>
      <c r="C815" s="305"/>
      <c r="D815" s="305"/>
      <c r="E815" s="305"/>
      <c r="F815" s="308"/>
      <c r="G815" s="305"/>
      <c r="H815" s="305"/>
      <c r="I815" s="305"/>
      <c r="J815" s="305"/>
      <c r="K815" s="305"/>
      <c r="L815" s="305"/>
      <c r="M815" s="305"/>
      <c r="N815" s="309"/>
      <c r="O815" s="305"/>
      <c r="P815" s="310"/>
      <c r="Q815" s="311"/>
      <c r="R815" s="311"/>
      <c r="S815" s="310"/>
      <c r="T815" s="310"/>
      <c r="U815" s="310"/>
      <c r="V815" s="310"/>
      <c r="W815" s="310"/>
      <c r="X815" s="305"/>
      <c r="Y815" s="305"/>
      <c r="Z815" s="305"/>
      <c r="AA815" s="305"/>
      <c r="AB815" s="305"/>
      <c r="AC815" s="305"/>
      <c r="AD815" s="306"/>
      <c r="AE815" s="307"/>
    </row>
    <row r="816" spans="1:31" ht="15" customHeight="1" x14ac:dyDescent="0.25">
      <c r="A816" s="305"/>
      <c r="B816" s="305"/>
      <c r="C816" s="305"/>
      <c r="D816" s="305"/>
      <c r="E816" s="305"/>
      <c r="F816" s="308"/>
      <c r="G816" s="305"/>
      <c r="H816" s="305"/>
      <c r="I816" s="305"/>
      <c r="J816" s="305"/>
      <c r="K816" s="305"/>
      <c r="L816" s="305"/>
      <c r="M816" s="305"/>
      <c r="N816" s="309"/>
      <c r="O816" s="305"/>
      <c r="P816" s="310"/>
      <c r="Q816" s="311"/>
      <c r="R816" s="311"/>
      <c r="S816" s="310"/>
      <c r="T816" s="310"/>
      <c r="U816" s="310"/>
      <c r="V816" s="310"/>
      <c r="W816" s="310"/>
      <c r="X816" s="305"/>
      <c r="Y816" s="305"/>
      <c r="Z816" s="305"/>
      <c r="AA816" s="305"/>
      <c r="AB816" s="305"/>
      <c r="AC816" s="305"/>
      <c r="AD816" s="306"/>
      <c r="AE816" s="307"/>
    </row>
    <row r="817" spans="1:31" ht="15" customHeight="1" x14ac:dyDescent="0.25">
      <c r="A817" s="305"/>
      <c r="B817" s="305"/>
      <c r="C817" s="305"/>
      <c r="D817" s="305"/>
      <c r="E817" s="305"/>
      <c r="F817" s="308"/>
      <c r="G817" s="305"/>
      <c r="H817" s="305"/>
      <c r="I817" s="305"/>
      <c r="J817" s="305"/>
      <c r="K817" s="305"/>
      <c r="L817" s="305"/>
      <c r="M817" s="305"/>
      <c r="N817" s="309"/>
      <c r="O817" s="305"/>
      <c r="P817" s="310"/>
      <c r="Q817" s="311"/>
      <c r="R817" s="311"/>
      <c r="S817" s="310"/>
      <c r="T817" s="310"/>
      <c r="U817" s="310"/>
      <c r="V817" s="310"/>
      <c r="W817" s="310"/>
      <c r="X817" s="305"/>
      <c r="Y817" s="305"/>
      <c r="Z817" s="305"/>
      <c r="AA817" s="305"/>
      <c r="AB817" s="305"/>
      <c r="AC817" s="305"/>
      <c r="AD817" s="306"/>
      <c r="AE817" s="307"/>
    </row>
    <row r="818" spans="1:31" ht="15" customHeight="1" x14ac:dyDescent="0.25">
      <c r="A818" s="305"/>
      <c r="B818" s="305"/>
      <c r="C818" s="305"/>
      <c r="D818" s="305"/>
      <c r="E818" s="305"/>
      <c r="F818" s="308"/>
      <c r="G818" s="305"/>
      <c r="H818" s="305"/>
      <c r="I818" s="305"/>
      <c r="J818" s="305"/>
      <c r="K818" s="305"/>
      <c r="L818" s="305"/>
      <c r="M818" s="305"/>
      <c r="N818" s="309"/>
      <c r="O818" s="305"/>
      <c r="P818" s="310"/>
      <c r="Q818" s="311"/>
      <c r="R818" s="311"/>
      <c r="S818" s="310"/>
      <c r="T818" s="310"/>
      <c r="U818" s="310"/>
      <c r="V818" s="310"/>
      <c r="W818" s="310"/>
      <c r="X818" s="305"/>
      <c r="Y818" s="305"/>
      <c r="Z818" s="305"/>
      <c r="AA818" s="305"/>
      <c r="AB818" s="305"/>
      <c r="AC818" s="305"/>
      <c r="AD818" s="306"/>
      <c r="AE818" s="307"/>
    </row>
    <row r="819" spans="1:31" ht="15" customHeight="1" x14ac:dyDescent="0.25">
      <c r="A819" s="305"/>
      <c r="B819" s="305"/>
      <c r="C819" s="305"/>
      <c r="D819" s="305"/>
      <c r="E819" s="305"/>
      <c r="F819" s="308"/>
      <c r="G819" s="305"/>
      <c r="H819" s="305"/>
      <c r="I819" s="305"/>
      <c r="J819" s="305"/>
      <c r="K819" s="305"/>
      <c r="L819" s="305"/>
      <c r="M819" s="305"/>
      <c r="N819" s="309"/>
      <c r="O819" s="305"/>
      <c r="P819" s="310"/>
      <c r="Q819" s="311"/>
      <c r="R819" s="311"/>
      <c r="S819" s="310"/>
      <c r="T819" s="310"/>
      <c r="U819" s="310"/>
      <c r="V819" s="310"/>
      <c r="W819" s="310"/>
      <c r="X819" s="305"/>
      <c r="Y819" s="305"/>
      <c r="Z819" s="305"/>
      <c r="AA819" s="305"/>
      <c r="AB819" s="305"/>
      <c r="AC819" s="305"/>
      <c r="AD819" s="306"/>
      <c r="AE819" s="307"/>
    </row>
    <row r="820" spans="1:31" ht="15" customHeight="1" x14ac:dyDescent="0.25">
      <c r="A820" s="305"/>
      <c r="B820" s="305"/>
      <c r="C820" s="305"/>
      <c r="D820" s="305"/>
      <c r="E820" s="305"/>
      <c r="F820" s="308"/>
      <c r="G820" s="305"/>
      <c r="H820" s="305"/>
      <c r="I820" s="305"/>
      <c r="J820" s="305"/>
      <c r="K820" s="305"/>
      <c r="L820" s="305"/>
      <c r="M820" s="305"/>
      <c r="N820" s="309"/>
      <c r="O820" s="305"/>
      <c r="P820" s="310"/>
      <c r="Q820" s="311"/>
      <c r="R820" s="311"/>
      <c r="S820" s="310"/>
      <c r="T820" s="310"/>
      <c r="U820" s="310"/>
      <c r="V820" s="310"/>
      <c r="W820" s="310"/>
      <c r="X820" s="305"/>
      <c r="Y820" s="305"/>
      <c r="Z820" s="305"/>
      <c r="AA820" s="305"/>
      <c r="AB820" s="305"/>
      <c r="AC820" s="305"/>
      <c r="AD820" s="306"/>
      <c r="AE820" s="307"/>
    </row>
    <row r="821" spans="1:31" ht="15" customHeight="1" x14ac:dyDescent="0.25">
      <c r="A821" s="305"/>
      <c r="B821" s="305"/>
      <c r="C821" s="305"/>
      <c r="D821" s="305"/>
      <c r="E821" s="305"/>
      <c r="F821" s="308"/>
      <c r="G821" s="305"/>
      <c r="H821" s="305"/>
      <c r="I821" s="305"/>
      <c r="J821" s="305"/>
      <c r="K821" s="305"/>
      <c r="L821" s="305"/>
      <c r="M821" s="305"/>
      <c r="N821" s="309"/>
      <c r="O821" s="305"/>
      <c r="P821" s="310"/>
      <c r="Q821" s="311"/>
      <c r="R821" s="311"/>
      <c r="S821" s="310"/>
      <c r="T821" s="310"/>
      <c r="U821" s="310"/>
      <c r="V821" s="310"/>
      <c r="W821" s="310"/>
      <c r="X821" s="305"/>
      <c r="Y821" s="305"/>
      <c r="Z821" s="305"/>
      <c r="AA821" s="305"/>
      <c r="AB821" s="305"/>
      <c r="AC821" s="305"/>
      <c r="AD821" s="306"/>
      <c r="AE821" s="307"/>
    </row>
    <row r="822" spans="1:31" ht="15" customHeight="1" x14ac:dyDescent="0.25">
      <c r="A822" s="305"/>
      <c r="B822" s="305"/>
      <c r="C822" s="305"/>
      <c r="D822" s="305"/>
      <c r="E822" s="305"/>
      <c r="F822" s="308"/>
      <c r="G822" s="305"/>
      <c r="H822" s="305"/>
      <c r="I822" s="305"/>
      <c r="J822" s="305"/>
      <c r="K822" s="305"/>
      <c r="L822" s="305"/>
      <c r="M822" s="305"/>
      <c r="N822" s="309"/>
      <c r="O822" s="305"/>
      <c r="P822" s="310"/>
      <c r="Q822" s="311"/>
      <c r="R822" s="311"/>
      <c r="S822" s="310"/>
      <c r="T822" s="310"/>
      <c r="U822" s="310"/>
      <c r="V822" s="310"/>
      <c r="W822" s="310"/>
      <c r="X822" s="305"/>
      <c r="Y822" s="305"/>
      <c r="Z822" s="305"/>
      <c r="AA822" s="305"/>
      <c r="AB822" s="305"/>
      <c r="AC822" s="305"/>
      <c r="AD822" s="306"/>
      <c r="AE822" s="307"/>
    </row>
    <row r="823" spans="1:31" ht="15" customHeight="1" x14ac:dyDescent="0.25">
      <c r="A823" s="305"/>
      <c r="B823" s="305"/>
      <c r="C823" s="305"/>
      <c r="D823" s="305"/>
      <c r="E823" s="305"/>
      <c r="F823" s="308"/>
      <c r="G823" s="305"/>
      <c r="H823" s="305"/>
      <c r="I823" s="305"/>
      <c r="J823" s="305"/>
      <c r="K823" s="305"/>
      <c r="L823" s="305"/>
      <c r="M823" s="305"/>
      <c r="N823" s="309"/>
      <c r="O823" s="305"/>
      <c r="P823" s="310"/>
      <c r="Q823" s="311"/>
      <c r="R823" s="311"/>
      <c r="S823" s="310"/>
      <c r="T823" s="310"/>
      <c r="U823" s="310"/>
      <c r="V823" s="310"/>
      <c r="W823" s="310"/>
      <c r="X823" s="305"/>
      <c r="Y823" s="305"/>
      <c r="Z823" s="305"/>
      <c r="AA823" s="305"/>
      <c r="AB823" s="305"/>
      <c r="AC823" s="305"/>
      <c r="AD823" s="306"/>
      <c r="AE823" s="307"/>
    </row>
    <row r="824" spans="1:31" ht="15" customHeight="1" x14ac:dyDescent="0.25">
      <c r="A824" s="305"/>
      <c r="B824" s="305"/>
      <c r="C824" s="305"/>
      <c r="D824" s="305"/>
      <c r="E824" s="305"/>
      <c r="F824" s="308"/>
      <c r="G824" s="305"/>
      <c r="H824" s="305"/>
      <c r="I824" s="305"/>
      <c r="J824" s="305"/>
      <c r="K824" s="305"/>
      <c r="L824" s="305"/>
      <c r="M824" s="305"/>
      <c r="N824" s="309"/>
      <c r="O824" s="305"/>
      <c r="P824" s="310"/>
      <c r="Q824" s="311"/>
      <c r="R824" s="311"/>
      <c r="S824" s="310"/>
      <c r="T824" s="310"/>
      <c r="U824" s="310"/>
      <c r="V824" s="310"/>
      <c r="W824" s="310"/>
      <c r="X824" s="305"/>
      <c r="Y824" s="305"/>
      <c r="Z824" s="305"/>
      <c r="AA824" s="305"/>
      <c r="AB824" s="305"/>
      <c r="AC824" s="305"/>
      <c r="AD824" s="306"/>
      <c r="AE824" s="307"/>
    </row>
    <row r="825" spans="1:31" ht="15" customHeight="1" x14ac:dyDescent="0.25">
      <c r="A825" s="305"/>
      <c r="B825" s="305"/>
      <c r="C825" s="305"/>
      <c r="D825" s="305"/>
      <c r="E825" s="305"/>
      <c r="F825" s="308"/>
      <c r="G825" s="305"/>
      <c r="H825" s="305"/>
      <c r="I825" s="305"/>
      <c r="J825" s="305"/>
      <c r="K825" s="305"/>
      <c r="L825" s="305"/>
      <c r="M825" s="305"/>
      <c r="N825" s="309"/>
      <c r="O825" s="305"/>
      <c r="P825" s="310"/>
      <c r="Q825" s="311"/>
      <c r="R825" s="311"/>
      <c r="S825" s="310"/>
      <c r="T825" s="310"/>
      <c r="U825" s="310"/>
      <c r="V825" s="310"/>
      <c r="W825" s="310"/>
      <c r="X825" s="305"/>
      <c r="Y825" s="305"/>
      <c r="Z825" s="305"/>
      <c r="AA825" s="305"/>
      <c r="AB825" s="305"/>
      <c r="AC825" s="305"/>
      <c r="AD825" s="306"/>
      <c r="AE825" s="307"/>
    </row>
    <row r="826" spans="1:31" ht="15" customHeight="1" x14ac:dyDescent="0.25">
      <c r="A826" s="305"/>
      <c r="B826" s="305"/>
      <c r="C826" s="305"/>
      <c r="D826" s="305"/>
      <c r="E826" s="305"/>
      <c r="F826" s="308"/>
      <c r="G826" s="305"/>
      <c r="H826" s="305"/>
      <c r="I826" s="305"/>
      <c r="J826" s="305"/>
      <c r="K826" s="305"/>
      <c r="L826" s="305"/>
      <c r="M826" s="305"/>
      <c r="N826" s="309"/>
      <c r="O826" s="305"/>
      <c r="P826" s="310"/>
      <c r="Q826" s="311"/>
      <c r="R826" s="311"/>
      <c r="S826" s="310"/>
      <c r="T826" s="310"/>
      <c r="U826" s="310"/>
      <c r="V826" s="310"/>
      <c r="W826" s="310"/>
      <c r="X826" s="305"/>
      <c r="Y826" s="305"/>
      <c r="Z826" s="305"/>
      <c r="AA826" s="305"/>
      <c r="AB826" s="305"/>
      <c r="AC826" s="305"/>
      <c r="AD826" s="306"/>
      <c r="AE826" s="30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A622"/>
  <sheetViews>
    <sheetView tabSelected="1" topLeftCell="E115" workbookViewId="0">
      <selection activeCell="O118" sqref="O118:O130"/>
    </sheetView>
  </sheetViews>
  <sheetFormatPr defaultColWidth="11.25" defaultRowHeight="15" customHeight="1" x14ac:dyDescent="0.25"/>
  <cols>
    <col min="2" max="2" width="16.25" customWidth="1"/>
    <col min="3" max="3" width="12.875" customWidth="1"/>
    <col min="4" max="4" width="10.875" customWidth="1"/>
    <col min="11" max="11" width="11.875" customWidth="1"/>
    <col min="14" max="14" width="45.25" customWidth="1"/>
  </cols>
  <sheetData>
    <row r="1" spans="1:27" x14ac:dyDescent="0.25">
      <c r="A1" s="191" t="s">
        <v>0</v>
      </c>
      <c r="B1" s="191" t="s">
        <v>539</v>
      </c>
      <c r="C1" s="191" t="s">
        <v>891</v>
      </c>
      <c r="D1" s="191" t="s">
        <v>892</v>
      </c>
      <c r="E1" s="191" t="s">
        <v>893</v>
      </c>
      <c r="F1" s="191" t="s">
        <v>894</v>
      </c>
      <c r="G1" s="191" t="s">
        <v>530</v>
      </c>
      <c r="H1" s="191" t="s">
        <v>895</v>
      </c>
      <c r="I1" s="191" t="s">
        <v>896</v>
      </c>
      <c r="J1" s="191" t="s">
        <v>897</v>
      </c>
      <c r="K1" s="312" t="s">
        <v>898</v>
      </c>
      <c r="L1" s="191" t="s">
        <v>899</v>
      </c>
      <c r="M1" s="313" t="s">
        <v>900</v>
      </c>
      <c r="N1" s="314" t="s">
        <v>153</v>
      </c>
      <c r="O1" s="315" t="s">
        <v>13</v>
      </c>
      <c r="P1" s="316"/>
      <c r="Q1" s="317"/>
      <c r="R1" s="317"/>
      <c r="S1" s="317"/>
      <c r="T1" s="317"/>
      <c r="U1" s="318"/>
      <c r="V1" s="318"/>
      <c r="W1" s="318"/>
      <c r="X1" s="318"/>
      <c r="Y1" s="318"/>
      <c r="Z1" s="318"/>
      <c r="AA1" s="318"/>
    </row>
    <row r="2" spans="1:27" x14ac:dyDescent="0.25">
      <c r="A2" s="56" t="s">
        <v>901</v>
      </c>
      <c r="B2" s="56" t="s">
        <v>902</v>
      </c>
      <c r="C2" s="284">
        <v>45743.406944444447</v>
      </c>
      <c r="D2" s="56">
        <v>20</v>
      </c>
      <c r="E2" s="56">
        <v>9.1289400000000007E-2</v>
      </c>
      <c r="F2" s="56" t="s">
        <v>903</v>
      </c>
      <c r="G2" s="56">
        <v>22.5</v>
      </c>
      <c r="H2" s="56">
        <v>0</v>
      </c>
      <c r="I2" s="56">
        <v>0</v>
      </c>
      <c r="J2" s="56">
        <v>0</v>
      </c>
      <c r="K2" s="279">
        <v>0</v>
      </c>
      <c r="L2" s="56" t="s">
        <v>904</v>
      </c>
      <c r="M2" s="106" t="s">
        <v>533</v>
      </c>
      <c r="N2" s="275"/>
      <c r="O2" s="277" t="s">
        <v>19</v>
      </c>
      <c r="P2" s="97"/>
      <c r="Q2" s="319"/>
      <c r="R2" s="319"/>
      <c r="S2" s="319"/>
      <c r="T2" s="319"/>
      <c r="U2" s="31"/>
      <c r="V2" s="31"/>
      <c r="W2" s="31"/>
      <c r="X2" s="31"/>
      <c r="Y2" s="31"/>
      <c r="Z2" s="31"/>
      <c r="AA2" s="31"/>
    </row>
    <row r="3" spans="1:27" x14ac:dyDescent="0.25">
      <c r="A3" s="56" t="s">
        <v>905</v>
      </c>
      <c r="B3" s="56" t="s">
        <v>902</v>
      </c>
      <c r="C3" s="284">
        <v>45743.427777777775</v>
      </c>
      <c r="D3" s="56">
        <v>20</v>
      </c>
      <c r="E3" s="56">
        <v>9.1289400000000007E-2</v>
      </c>
      <c r="F3" s="56" t="s">
        <v>903</v>
      </c>
      <c r="G3" s="56">
        <v>22.5</v>
      </c>
      <c r="H3" s="56">
        <v>0</v>
      </c>
      <c r="I3" s="56">
        <v>0</v>
      </c>
      <c r="J3" s="56">
        <v>0</v>
      </c>
      <c r="K3" s="279">
        <v>0</v>
      </c>
      <c r="L3" s="56" t="s">
        <v>904</v>
      </c>
      <c r="M3" s="106" t="s">
        <v>533</v>
      </c>
      <c r="N3" s="275"/>
      <c r="O3" s="277" t="s">
        <v>19</v>
      </c>
      <c r="P3" s="97"/>
      <c r="Q3" s="319"/>
      <c r="R3" s="319"/>
      <c r="S3" s="319"/>
      <c r="T3" s="319"/>
      <c r="U3" s="31"/>
      <c r="V3" s="31"/>
      <c r="W3" s="31"/>
      <c r="X3" s="31"/>
      <c r="Y3" s="31"/>
      <c r="Z3" s="31"/>
      <c r="AA3" s="31"/>
    </row>
    <row r="4" spans="1:27" x14ac:dyDescent="0.25">
      <c r="A4" s="56" t="s">
        <v>906</v>
      </c>
      <c r="B4" s="56" t="s">
        <v>902</v>
      </c>
      <c r="C4" s="284">
        <v>45743.436805555553</v>
      </c>
      <c r="D4" s="56">
        <v>20</v>
      </c>
      <c r="E4" s="56">
        <v>9.1289400000000007E-2</v>
      </c>
      <c r="F4" s="56" t="s">
        <v>903</v>
      </c>
      <c r="G4" s="56">
        <v>22.5</v>
      </c>
      <c r="H4" s="56">
        <v>0</v>
      </c>
      <c r="I4" s="56">
        <v>0</v>
      </c>
      <c r="J4" s="56">
        <v>0</v>
      </c>
      <c r="K4" s="279">
        <v>0</v>
      </c>
      <c r="L4" s="56" t="s">
        <v>904</v>
      </c>
      <c r="M4" s="106" t="s">
        <v>533</v>
      </c>
      <c r="N4" s="275"/>
      <c r="O4" s="277" t="s">
        <v>19</v>
      </c>
      <c r="P4" s="97"/>
      <c r="Q4" s="319"/>
      <c r="R4" s="319"/>
      <c r="S4" s="319"/>
      <c r="T4" s="319"/>
      <c r="U4" s="31"/>
      <c r="V4" s="31"/>
      <c r="W4" s="31"/>
      <c r="X4" s="31"/>
      <c r="Y4" s="31"/>
      <c r="Z4" s="31"/>
      <c r="AA4" s="31"/>
    </row>
    <row r="5" spans="1:27" x14ac:dyDescent="0.25">
      <c r="A5" s="56" t="s">
        <v>907</v>
      </c>
      <c r="B5" s="56" t="s">
        <v>902</v>
      </c>
      <c r="C5" s="284">
        <v>45743.494444444441</v>
      </c>
      <c r="D5" s="56">
        <v>20</v>
      </c>
      <c r="E5" s="56">
        <v>9.1289400000000007E-2</v>
      </c>
      <c r="F5" s="56" t="s">
        <v>903</v>
      </c>
      <c r="G5" s="56">
        <v>25.4</v>
      </c>
      <c r="H5" s="56">
        <v>8747.0408399999997</v>
      </c>
      <c r="I5" s="56">
        <v>0.99978599999999995</v>
      </c>
      <c r="J5" s="56">
        <v>0.43996800000000003</v>
      </c>
      <c r="K5" s="279">
        <v>2008.2</v>
      </c>
      <c r="L5" s="56"/>
      <c r="M5" s="106" t="s">
        <v>533</v>
      </c>
      <c r="N5" s="275"/>
      <c r="O5" s="277" t="s">
        <v>19</v>
      </c>
      <c r="P5" s="97"/>
      <c r="Q5" s="319"/>
      <c r="R5" s="319"/>
      <c r="S5" s="319"/>
      <c r="T5" s="319"/>
      <c r="U5" s="31"/>
      <c r="V5" s="31"/>
      <c r="W5" s="31"/>
      <c r="X5" s="31"/>
      <c r="Y5" s="31"/>
      <c r="Z5" s="31"/>
      <c r="AA5" s="31"/>
    </row>
    <row r="6" spans="1:27" x14ac:dyDescent="0.25">
      <c r="A6" s="56" t="s">
        <v>908</v>
      </c>
      <c r="B6" s="56" t="s">
        <v>902</v>
      </c>
      <c r="C6" s="284">
        <v>45743.499305555553</v>
      </c>
      <c r="D6" s="56">
        <v>20</v>
      </c>
      <c r="E6" s="56">
        <v>9.1289400000000007E-2</v>
      </c>
      <c r="F6" s="56" t="s">
        <v>903</v>
      </c>
      <c r="G6" s="56">
        <v>25.4</v>
      </c>
      <c r="H6" s="56">
        <v>8708.4969500000007</v>
      </c>
      <c r="I6" s="56">
        <v>0.99972799999999995</v>
      </c>
      <c r="J6" s="56">
        <v>0.43943700000000002</v>
      </c>
      <c r="K6" s="279">
        <v>2005.8</v>
      </c>
      <c r="L6" s="56">
        <v>1.7141</v>
      </c>
      <c r="M6" s="106" t="s">
        <v>533</v>
      </c>
      <c r="N6" s="275"/>
      <c r="O6" s="277" t="s">
        <v>19</v>
      </c>
      <c r="P6" s="97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56" t="s">
        <v>909</v>
      </c>
      <c r="B7" s="56" t="s">
        <v>902</v>
      </c>
      <c r="C7" s="284">
        <v>45743.504166666666</v>
      </c>
      <c r="D7" s="56">
        <v>20</v>
      </c>
      <c r="E7" s="56">
        <v>9.1289400000000007E-2</v>
      </c>
      <c r="F7" s="56" t="s">
        <v>903</v>
      </c>
      <c r="G7" s="56">
        <v>25.4</v>
      </c>
      <c r="H7" s="56">
        <v>8729.6821</v>
      </c>
      <c r="I7" s="56">
        <v>0.99974499999999999</v>
      </c>
      <c r="J7" s="56">
        <v>0.43911800000000001</v>
      </c>
      <c r="K7" s="279">
        <v>2004.3</v>
      </c>
      <c r="L7" s="56">
        <v>1.0281</v>
      </c>
      <c r="M7" s="106" t="s">
        <v>533</v>
      </c>
      <c r="N7" s="275"/>
      <c r="O7" s="277" t="s">
        <v>19</v>
      </c>
      <c r="P7" s="97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56" t="s">
        <v>910</v>
      </c>
      <c r="B8" s="56" t="s">
        <v>902</v>
      </c>
      <c r="C8" s="284">
        <v>45743.509722222225</v>
      </c>
      <c r="D8" s="56">
        <v>20</v>
      </c>
      <c r="E8" s="56">
        <v>9.1289400000000007E-2</v>
      </c>
      <c r="F8" s="56" t="s">
        <v>903</v>
      </c>
      <c r="G8" s="56">
        <v>25.4</v>
      </c>
      <c r="H8" s="56">
        <v>8781.0854099999997</v>
      </c>
      <c r="I8" s="56">
        <v>0.99971500000000002</v>
      </c>
      <c r="J8" s="56">
        <v>0.44001299999999999</v>
      </c>
      <c r="K8" s="279">
        <v>2008.4</v>
      </c>
      <c r="L8" s="56">
        <v>2.8898999999999999</v>
      </c>
      <c r="M8" s="106" t="s">
        <v>533</v>
      </c>
      <c r="N8" s="275"/>
      <c r="O8" s="277" t="s">
        <v>19</v>
      </c>
      <c r="P8" s="97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56" t="s">
        <v>911</v>
      </c>
      <c r="B9" s="56" t="s">
        <v>902</v>
      </c>
      <c r="C9" s="284">
        <v>45743.51666666667</v>
      </c>
      <c r="D9" s="56">
        <v>20</v>
      </c>
      <c r="E9" s="56">
        <v>9.1289400000000007E-2</v>
      </c>
      <c r="F9" s="56" t="s">
        <v>903</v>
      </c>
      <c r="G9" s="56">
        <v>25.4</v>
      </c>
      <c r="H9" s="56">
        <v>8719.90229</v>
      </c>
      <c r="I9" s="56">
        <v>0.99977800000000006</v>
      </c>
      <c r="J9" s="56">
        <v>0.43887700000000002</v>
      </c>
      <c r="K9" s="279">
        <v>2003.2</v>
      </c>
      <c r="L9" s="56">
        <v>3.6684999999999999</v>
      </c>
      <c r="M9" s="106" t="s">
        <v>533</v>
      </c>
      <c r="N9" s="275"/>
      <c r="O9" s="277" t="s">
        <v>19</v>
      </c>
      <c r="P9" s="97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56" t="s">
        <v>912</v>
      </c>
      <c r="B10" s="56" t="s">
        <v>902</v>
      </c>
      <c r="C10" s="284">
        <v>45743.522916666669</v>
      </c>
      <c r="D10" s="56">
        <v>20</v>
      </c>
      <c r="E10" s="56">
        <v>9.1289400000000007E-2</v>
      </c>
      <c r="F10" s="56" t="s">
        <v>903</v>
      </c>
      <c r="G10" s="56">
        <v>25.4</v>
      </c>
      <c r="H10" s="56">
        <v>8743.6163300000007</v>
      </c>
      <c r="I10" s="56">
        <v>0.99975499999999995</v>
      </c>
      <c r="J10" s="56">
        <v>0.439413</v>
      </c>
      <c r="K10" s="279">
        <v>2005.7</v>
      </c>
      <c r="L10" s="56">
        <v>1.7295</v>
      </c>
      <c r="M10" s="106" t="s">
        <v>533</v>
      </c>
      <c r="N10" s="275"/>
      <c r="O10" s="277" t="s">
        <v>19</v>
      </c>
      <c r="P10" s="97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56" t="s">
        <v>913</v>
      </c>
      <c r="B11" s="56" t="s">
        <v>902</v>
      </c>
      <c r="C11" s="284">
        <v>45743.52847222222</v>
      </c>
      <c r="D11" s="56">
        <v>20</v>
      </c>
      <c r="E11" s="56">
        <v>9.1289400000000007E-2</v>
      </c>
      <c r="F11" s="56" t="s">
        <v>903</v>
      </c>
      <c r="G11" s="56">
        <v>25.4</v>
      </c>
      <c r="H11" s="56">
        <v>8744.57647</v>
      </c>
      <c r="I11" s="56">
        <v>0.99980899999999995</v>
      </c>
      <c r="J11" s="56">
        <v>0.43904500000000002</v>
      </c>
      <c r="K11" s="279">
        <v>2004</v>
      </c>
      <c r="L11" s="56">
        <v>1.1879999999999999</v>
      </c>
      <c r="M11" s="106" t="s">
        <v>533</v>
      </c>
      <c r="N11" s="275"/>
      <c r="O11" s="277" t="s">
        <v>19</v>
      </c>
      <c r="P11" s="97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x14ac:dyDescent="0.25">
      <c r="A12" s="56" t="s">
        <v>914</v>
      </c>
      <c r="B12" s="56" t="s">
        <v>531</v>
      </c>
      <c r="C12" s="284">
        <v>45743.54583333333</v>
      </c>
      <c r="D12" s="56">
        <v>20</v>
      </c>
      <c r="E12" s="56">
        <v>9.26173E-2</v>
      </c>
      <c r="F12" s="56">
        <v>1021.8</v>
      </c>
      <c r="G12" s="56">
        <v>25.4</v>
      </c>
      <c r="H12" s="56">
        <v>7131.9318400000002</v>
      </c>
      <c r="I12" s="56">
        <v>0.99954699999999996</v>
      </c>
      <c r="J12" s="56">
        <v>0.488145</v>
      </c>
      <c r="K12" s="279">
        <v>2260.5</v>
      </c>
      <c r="L12" s="56" t="s">
        <v>584</v>
      </c>
      <c r="M12" s="106" t="s">
        <v>533</v>
      </c>
      <c r="N12" s="275" t="s">
        <v>915</v>
      </c>
      <c r="O12" s="277" t="s">
        <v>19</v>
      </c>
      <c r="P12" s="97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56" t="s">
        <v>916</v>
      </c>
      <c r="B13" s="56" t="s">
        <v>531</v>
      </c>
      <c r="C13" s="284">
        <v>45743.552083333336</v>
      </c>
      <c r="D13" s="56">
        <v>20</v>
      </c>
      <c r="E13" s="56">
        <v>9.2990799999999998E-2</v>
      </c>
      <c r="F13" s="56">
        <v>1021.8</v>
      </c>
      <c r="G13" s="56">
        <v>25.4</v>
      </c>
      <c r="H13" s="56">
        <v>7079.3075099999996</v>
      </c>
      <c r="I13" s="56">
        <v>0.99950899999999998</v>
      </c>
      <c r="J13" s="56">
        <v>0.48618499999999998</v>
      </c>
      <c r="K13" s="279">
        <v>2260.5</v>
      </c>
      <c r="L13" s="320">
        <v>0</v>
      </c>
      <c r="M13" s="106" t="s">
        <v>533</v>
      </c>
      <c r="N13" s="275" t="s">
        <v>915</v>
      </c>
      <c r="O13" s="277" t="s">
        <v>19</v>
      </c>
      <c r="P13" s="97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56" t="s">
        <v>917</v>
      </c>
      <c r="B14" s="56" t="s">
        <v>531</v>
      </c>
      <c r="C14" s="284">
        <v>45743.558333333334</v>
      </c>
      <c r="D14" s="56">
        <v>20</v>
      </c>
      <c r="E14" s="56">
        <v>9.2994099999999996E-2</v>
      </c>
      <c r="F14" s="56">
        <v>1021.8</v>
      </c>
      <c r="G14" s="56">
        <v>25.4</v>
      </c>
      <c r="H14" s="56">
        <v>7117.3977999999997</v>
      </c>
      <c r="I14" s="56">
        <v>0.99957099999999999</v>
      </c>
      <c r="J14" s="56">
        <v>0.48616700000000002</v>
      </c>
      <c r="K14" s="279">
        <v>2260.5</v>
      </c>
      <c r="L14" s="320">
        <v>0</v>
      </c>
      <c r="M14" s="106" t="s">
        <v>533</v>
      </c>
      <c r="N14" s="275" t="s">
        <v>915</v>
      </c>
      <c r="O14" s="277" t="s">
        <v>19</v>
      </c>
      <c r="P14" s="9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280" t="s">
        <v>918</v>
      </c>
      <c r="B15" s="280" t="s">
        <v>531</v>
      </c>
      <c r="C15" s="285">
        <v>45743.56527777778</v>
      </c>
      <c r="D15" s="280">
        <v>20</v>
      </c>
      <c r="E15" s="280">
        <v>9.2992500000000006E-2</v>
      </c>
      <c r="F15" s="280">
        <v>33.1</v>
      </c>
      <c r="G15" s="280">
        <v>25.4</v>
      </c>
      <c r="H15" s="280">
        <v>6998.4757799999998</v>
      </c>
      <c r="I15" s="280">
        <v>0.99962600000000001</v>
      </c>
      <c r="J15" s="280">
        <v>0.486294</v>
      </c>
      <c r="K15" s="321">
        <v>2261.1</v>
      </c>
      <c r="L15" s="56"/>
      <c r="M15" s="106" t="s">
        <v>533</v>
      </c>
      <c r="N15" s="275"/>
      <c r="O15" s="277" t="s">
        <v>19</v>
      </c>
      <c r="P15" s="97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x14ac:dyDescent="0.25">
      <c r="A16" s="56" t="s">
        <v>919</v>
      </c>
      <c r="B16" s="56">
        <v>1</v>
      </c>
      <c r="C16" s="284">
        <v>45743.573611111111</v>
      </c>
      <c r="D16" s="56">
        <v>20</v>
      </c>
      <c r="E16" s="56">
        <v>9.2992500000000006E-2</v>
      </c>
      <c r="F16" s="56">
        <v>36.1</v>
      </c>
      <c r="G16" s="56">
        <v>25.4</v>
      </c>
      <c r="H16" s="56">
        <v>7083.3494799999999</v>
      </c>
      <c r="I16" s="56">
        <v>0.99954500000000002</v>
      </c>
      <c r="J16" s="56">
        <v>0.51685599999999998</v>
      </c>
      <c r="K16" s="279">
        <v>2403.1999999999998</v>
      </c>
      <c r="L16" s="56"/>
      <c r="M16" s="106" t="s">
        <v>533</v>
      </c>
      <c r="N16" s="275"/>
      <c r="O16" s="277" t="s">
        <v>19</v>
      </c>
      <c r="P16" s="9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x14ac:dyDescent="0.25">
      <c r="A17" s="56" t="s">
        <v>920</v>
      </c>
      <c r="B17" s="56">
        <v>2</v>
      </c>
      <c r="C17" s="284">
        <v>45743.580555555556</v>
      </c>
      <c r="D17" s="56">
        <v>20</v>
      </c>
      <c r="E17" s="56">
        <v>9.2992500000000006E-2</v>
      </c>
      <c r="F17" s="56">
        <v>36</v>
      </c>
      <c r="G17" s="56">
        <v>25.4</v>
      </c>
      <c r="H17" s="56">
        <v>7118.2080599999999</v>
      </c>
      <c r="I17" s="56">
        <v>0.99946699999999999</v>
      </c>
      <c r="J17" s="56">
        <v>0.51688400000000001</v>
      </c>
      <c r="K17" s="279">
        <v>2403.3000000000002</v>
      </c>
      <c r="L17" s="56"/>
      <c r="M17" s="106" t="s">
        <v>533</v>
      </c>
      <c r="N17" s="275"/>
      <c r="O17" s="277" t="s">
        <v>19</v>
      </c>
      <c r="P17" s="97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x14ac:dyDescent="0.25">
      <c r="A18" s="56" t="s">
        <v>921</v>
      </c>
      <c r="B18" s="56">
        <v>27</v>
      </c>
      <c r="C18" s="284">
        <v>45743.588194444441</v>
      </c>
      <c r="D18" s="56">
        <v>20</v>
      </c>
      <c r="E18" s="56">
        <v>9.2992500000000006E-2</v>
      </c>
      <c r="F18" s="56">
        <v>36</v>
      </c>
      <c r="G18" s="56">
        <v>25.4</v>
      </c>
      <c r="H18" s="56">
        <v>7185.8425500000003</v>
      </c>
      <c r="I18" s="56">
        <v>0.99949200000000005</v>
      </c>
      <c r="J18" s="56">
        <v>0.51715599999999995</v>
      </c>
      <c r="K18" s="279">
        <v>2404.6</v>
      </c>
      <c r="L18" s="56"/>
      <c r="M18" s="106" t="s">
        <v>533</v>
      </c>
      <c r="N18" s="275"/>
      <c r="O18" s="277" t="s">
        <v>19</v>
      </c>
      <c r="P18" s="97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x14ac:dyDescent="0.25">
      <c r="A19" s="56" t="s">
        <v>922</v>
      </c>
      <c r="B19" s="56">
        <v>28</v>
      </c>
      <c r="C19" s="284">
        <v>45743.59375</v>
      </c>
      <c r="D19" s="56">
        <v>20</v>
      </c>
      <c r="E19" s="56">
        <v>9.2992500000000006E-2</v>
      </c>
      <c r="F19" s="56">
        <v>36</v>
      </c>
      <c r="G19" s="56">
        <v>25.4</v>
      </c>
      <c r="H19" s="56">
        <v>7241.1195100000004</v>
      </c>
      <c r="I19" s="56">
        <v>0.99946599999999997</v>
      </c>
      <c r="J19" s="56">
        <v>0.51707400000000003</v>
      </c>
      <c r="K19" s="279">
        <v>2404.1999999999998</v>
      </c>
      <c r="L19" s="56"/>
      <c r="M19" s="106" t="s">
        <v>533</v>
      </c>
      <c r="N19" s="275"/>
      <c r="O19" s="277" t="s">
        <v>19</v>
      </c>
      <c r="P19" s="97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25">
      <c r="A20" s="56" t="s">
        <v>923</v>
      </c>
      <c r="B20" s="56">
        <v>131</v>
      </c>
      <c r="C20" s="284">
        <v>45743.599305555559</v>
      </c>
      <c r="D20" s="56">
        <v>20</v>
      </c>
      <c r="E20" s="56">
        <v>9.2992500000000006E-2</v>
      </c>
      <c r="F20" s="56">
        <v>36.200000000000003</v>
      </c>
      <c r="G20" s="56">
        <v>25.4</v>
      </c>
      <c r="H20" s="56">
        <v>7106.4017299999996</v>
      </c>
      <c r="I20" s="56">
        <v>0.99954200000000004</v>
      </c>
      <c r="J20" s="56">
        <v>0.51599600000000001</v>
      </c>
      <c r="K20" s="279">
        <v>2399.1999999999998</v>
      </c>
      <c r="L20" s="56"/>
      <c r="M20" s="106" t="s">
        <v>533</v>
      </c>
      <c r="N20" s="275"/>
      <c r="O20" s="277" t="s">
        <v>19</v>
      </c>
      <c r="P20" s="97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25">
      <c r="A21" s="56" t="s">
        <v>924</v>
      </c>
      <c r="B21" s="56">
        <v>132</v>
      </c>
      <c r="C21" s="284">
        <v>45743.604861111111</v>
      </c>
      <c r="D21" s="56">
        <v>20</v>
      </c>
      <c r="E21" s="56">
        <v>9.2992500000000006E-2</v>
      </c>
      <c r="F21" s="56">
        <v>36.200000000000003</v>
      </c>
      <c r="G21" s="56">
        <v>25.4</v>
      </c>
      <c r="H21" s="56">
        <v>7129.0351300000002</v>
      </c>
      <c r="I21" s="56">
        <v>0.99950600000000001</v>
      </c>
      <c r="J21" s="56">
        <v>0.51877499999999999</v>
      </c>
      <c r="K21" s="279">
        <v>2412.1</v>
      </c>
      <c r="L21" s="56"/>
      <c r="M21" s="106" t="s">
        <v>533</v>
      </c>
      <c r="N21" s="275"/>
      <c r="O21" s="277" t="s">
        <v>19</v>
      </c>
      <c r="P21" s="97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5">
      <c r="A22" s="56" t="s">
        <v>925</v>
      </c>
      <c r="B22" s="56">
        <v>66</v>
      </c>
      <c r="C22" s="284">
        <v>45743.61041666667</v>
      </c>
      <c r="D22" s="56">
        <v>20</v>
      </c>
      <c r="E22" s="56">
        <v>9.2992500000000006E-2</v>
      </c>
      <c r="F22" s="56">
        <v>36.200000000000003</v>
      </c>
      <c r="G22" s="56">
        <v>25.4</v>
      </c>
      <c r="H22" s="56">
        <v>7193.5609199999999</v>
      </c>
      <c r="I22" s="56">
        <v>0.99954200000000004</v>
      </c>
      <c r="J22" s="56">
        <v>0.51599600000000001</v>
      </c>
      <c r="K22" s="279">
        <v>2399.1999999999998</v>
      </c>
      <c r="L22" s="56"/>
      <c r="M22" s="106" t="s">
        <v>533</v>
      </c>
      <c r="N22" s="275"/>
      <c r="O22" s="277" t="s">
        <v>19</v>
      </c>
      <c r="P22" s="97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56" t="s">
        <v>926</v>
      </c>
      <c r="B23" s="56">
        <v>67</v>
      </c>
      <c r="C23" s="284">
        <v>45743.615972222222</v>
      </c>
      <c r="D23" s="56">
        <v>20</v>
      </c>
      <c r="E23" s="56">
        <v>9.2992500000000006E-2</v>
      </c>
      <c r="F23" s="56">
        <v>36.200000000000003</v>
      </c>
      <c r="G23" s="56">
        <v>25.4</v>
      </c>
      <c r="H23" s="56">
        <v>7158.4768599999998</v>
      </c>
      <c r="I23" s="56">
        <v>0.99953800000000004</v>
      </c>
      <c r="J23" s="56">
        <v>0.51873899999999995</v>
      </c>
      <c r="K23" s="279">
        <v>2411.9</v>
      </c>
      <c r="L23" s="56"/>
      <c r="M23" s="106" t="s">
        <v>533</v>
      </c>
      <c r="N23" s="275"/>
      <c r="O23" s="277" t="s">
        <v>19</v>
      </c>
      <c r="P23" s="97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56" t="s">
        <v>927</v>
      </c>
      <c r="B24" s="56">
        <v>14</v>
      </c>
      <c r="C24" s="284">
        <v>45743.621527777781</v>
      </c>
      <c r="D24" s="56">
        <v>20</v>
      </c>
      <c r="E24" s="56">
        <v>9.2992500000000006E-2</v>
      </c>
      <c r="F24" s="56">
        <v>36</v>
      </c>
      <c r="G24" s="56">
        <v>25.4</v>
      </c>
      <c r="H24" s="56">
        <v>7101.60455</v>
      </c>
      <c r="I24" s="56">
        <v>0.99944900000000003</v>
      </c>
      <c r="J24" s="56">
        <v>0.51635200000000003</v>
      </c>
      <c r="K24" s="279">
        <v>2400.8000000000002</v>
      </c>
      <c r="L24" s="56"/>
      <c r="M24" s="106" t="s">
        <v>533</v>
      </c>
      <c r="N24" s="275"/>
      <c r="O24" s="277" t="s">
        <v>19</v>
      </c>
      <c r="P24" s="97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56" t="s">
        <v>928</v>
      </c>
      <c r="B25" s="56">
        <v>15</v>
      </c>
      <c r="C25" s="284">
        <v>45743.626388888886</v>
      </c>
      <c r="D25" s="56">
        <v>20</v>
      </c>
      <c r="E25" s="56">
        <v>9.2992500000000006E-2</v>
      </c>
      <c r="F25" s="56">
        <v>36</v>
      </c>
      <c r="G25" s="56">
        <v>25.4</v>
      </c>
      <c r="H25" s="56">
        <v>7108.33187</v>
      </c>
      <c r="I25" s="56">
        <v>0.99942900000000001</v>
      </c>
      <c r="J25" s="56">
        <v>0.51643899999999998</v>
      </c>
      <c r="K25" s="279">
        <v>2401.1999999999998</v>
      </c>
      <c r="L25" s="56"/>
      <c r="M25" s="106" t="s">
        <v>533</v>
      </c>
      <c r="N25" s="275"/>
      <c r="O25" s="277" t="s">
        <v>19</v>
      </c>
      <c r="P25" s="97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280" t="s">
        <v>929</v>
      </c>
      <c r="B26" s="280" t="s">
        <v>531</v>
      </c>
      <c r="C26" s="285">
        <v>45743.631944444445</v>
      </c>
      <c r="D26" s="280">
        <v>20</v>
      </c>
      <c r="E26" s="280">
        <v>9.2992500000000006E-2</v>
      </c>
      <c r="F26" s="280">
        <v>33.1</v>
      </c>
      <c r="G26" s="280">
        <v>25.4</v>
      </c>
      <c r="H26" s="280">
        <v>7082.5247799999997</v>
      </c>
      <c r="I26" s="280">
        <v>0.99966299999999997</v>
      </c>
      <c r="J26" s="280">
        <v>0.48600900000000002</v>
      </c>
      <c r="K26" s="321">
        <v>2259.8000000000002</v>
      </c>
      <c r="L26" s="56"/>
      <c r="M26" s="106" t="s">
        <v>533</v>
      </c>
      <c r="N26" s="275"/>
      <c r="O26" s="277" t="s">
        <v>19</v>
      </c>
      <c r="P26" s="97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x14ac:dyDescent="0.25">
      <c r="A27" s="56" t="s">
        <v>930</v>
      </c>
      <c r="B27" s="56">
        <v>196</v>
      </c>
      <c r="C27" s="284">
        <v>45743.638888888891</v>
      </c>
      <c r="D27" s="56">
        <v>20</v>
      </c>
      <c r="E27" s="56">
        <v>9.2992500000000006E-2</v>
      </c>
      <c r="F27" s="56">
        <v>36</v>
      </c>
      <c r="G27" s="56">
        <v>25.4</v>
      </c>
      <c r="H27" s="56">
        <v>7057.8971899999997</v>
      </c>
      <c r="I27" s="56">
        <v>0.99954699999999996</v>
      </c>
      <c r="J27" s="56">
        <v>0.51561100000000004</v>
      </c>
      <c r="K27" s="279">
        <v>2397.4</v>
      </c>
      <c r="L27" s="56"/>
      <c r="M27" s="106" t="s">
        <v>533</v>
      </c>
      <c r="N27" s="275"/>
      <c r="O27" s="277" t="s">
        <v>19</v>
      </c>
      <c r="P27" s="97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x14ac:dyDescent="0.25">
      <c r="A28" s="56" t="s">
        <v>931</v>
      </c>
      <c r="B28" s="56">
        <v>197</v>
      </c>
      <c r="C28" s="284">
        <v>45743.643750000003</v>
      </c>
      <c r="D28" s="56">
        <v>20</v>
      </c>
      <c r="E28" s="56">
        <v>9.2992500000000006E-2</v>
      </c>
      <c r="F28" s="56">
        <v>36</v>
      </c>
      <c r="G28" s="56">
        <v>25.4</v>
      </c>
      <c r="H28" s="56">
        <v>7112.0611600000002</v>
      </c>
      <c r="I28" s="56">
        <v>0.99951999999999996</v>
      </c>
      <c r="J28" s="56">
        <v>0.51552500000000001</v>
      </c>
      <c r="K28" s="279">
        <v>2397</v>
      </c>
      <c r="L28" s="56"/>
      <c r="M28" s="106" t="s">
        <v>533</v>
      </c>
      <c r="N28" s="275"/>
      <c r="O28" s="277" t="s">
        <v>19</v>
      </c>
      <c r="P28" s="97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56" t="s">
        <v>932</v>
      </c>
      <c r="B29" s="56">
        <v>53</v>
      </c>
      <c r="C29" s="284">
        <v>45743.65</v>
      </c>
      <c r="D29" s="56">
        <v>20</v>
      </c>
      <c r="E29" s="56">
        <v>9.2992500000000006E-2</v>
      </c>
      <c r="F29" s="56">
        <v>36</v>
      </c>
      <c r="G29" s="56">
        <v>25.4</v>
      </c>
      <c r="H29" s="56">
        <v>7092.0847000000003</v>
      </c>
      <c r="I29" s="56">
        <v>0.99947600000000003</v>
      </c>
      <c r="J29" s="56">
        <v>0.51587700000000003</v>
      </c>
      <c r="K29" s="279">
        <v>2398.6</v>
      </c>
      <c r="L29" s="56"/>
      <c r="M29" s="106" t="s">
        <v>533</v>
      </c>
      <c r="N29" s="275"/>
      <c r="O29" s="277" t="s">
        <v>19</v>
      </c>
      <c r="P29" s="97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x14ac:dyDescent="0.25">
      <c r="A30" s="56" t="s">
        <v>933</v>
      </c>
      <c r="B30" s="56">
        <v>54</v>
      </c>
      <c r="C30" s="284">
        <v>45743.654861111114</v>
      </c>
      <c r="D30" s="56">
        <v>20</v>
      </c>
      <c r="E30" s="56">
        <v>9.2992500000000006E-2</v>
      </c>
      <c r="F30" s="56">
        <v>36</v>
      </c>
      <c r="G30" s="56">
        <v>25.4</v>
      </c>
      <c r="H30" s="56">
        <v>7090.0352599999997</v>
      </c>
      <c r="I30" s="56">
        <v>0.99957200000000002</v>
      </c>
      <c r="J30" s="56">
        <v>0.51569699999999996</v>
      </c>
      <c r="K30" s="279">
        <v>2397.8000000000002</v>
      </c>
      <c r="L30" s="56"/>
      <c r="M30" s="106" t="s">
        <v>533</v>
      </c>
      <c r="N30" s="275"/>
      <c r="O30" s="277" t="s">
        <v>19</v>
      </c>
      <c r="P30" s="97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x14ac:dyDescent="0.25">
      <c r="A31" s="56" t="s">
        <v>934</v>
      </c>
      <c r="B31" s="56">
        <v>40</v>
      </c>
      <c r="C31" s="284">
        <v>45743.660416666666</v>
      </c>
      <c r="D31" s="56">
        <v>20</v>
      </c>
      <c r="E31" s="56">
        <v>9.2992500000000006E-2</v>
      </c>
      <c r="F31" s="56">
        <v>36</v>
      </c>
      <c r="G31" s="56">
        <v>25.4</v>
      </c>
      <c r="H31" s="56">
        <v>7079.4745000000003</v>
      </c>
      <c r="I31" s="56">
        <v>0.99951900000000005</v>
      </c>
      <c r="J31" s="56">
        <v>0.51541700000000001</v>
      </c>
      <c r="K31" s="279">
        <v>2396.5</v>
      </c>
      <c r="L31" s="56"/>
      <c r="M31" s="106" t="s">
        <v>533</v>
      </c>
      <c r="N31" s="275"/>
      <c r="O31" s="277" t="s">
        <v>19</v>
      </c>
      <c r="P31" s="97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x14ac:dyDescent="0.25">
      <c r="A32" s="56" t="s">
        <v>935</v>
      </c>
      <c r="B32" s="56">
        <v>41</v>
      </c>
      <c r="C32" s="284">
        <v>45743.665277777778</v>
      </c>
      <c r="D32" s="56">
        <v>20</v>
      </c>
      <c r="E32" s="56">
        <v>9.2992500000000006E-2</v>
      </c>
      <c r="F32" s="56">
        <v>36</v>
      </c>
      <c r="G32" s="56">
        <v>25.4</v>
      </c>
      <c r="H32" s="56">
        <v>7120.1323599999996</v>
      </c>
      <c r="I32" s="56">
        <v>0.99946699999999999</v>
      </c>
      <c r="J32" s="56">
        <v>0.51493599999999995</v>
      </c>
      <c r="K32" s="279">
        <v>2394.3000000000002</v>
      </c>
      <c r="L32" s="56"/>
      <c r="M32" s="106" t="s">
        <v>20</v>
      </c>
      <c r="N32" s="275"/>
      <c r="O32" s="277" t="s">
        <v>19</v>
      </c>
      <c r="P32" s="97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x14ac:dyDescent="0.25">
      <c r="A33" s="56" t="s">
        <v>936</v>
      </c>
      <c r="B33" s="56">
        <v>105</v>
      </c>
      <c r="C33" s="284">
        <v>45743.67083333333</v>
      </c>
      <c r="D33" s="56">
        <v>20</v>
      </c>
      <c r="E33" s="56">
        <v>9.2992500000000006E-2</v>
      </c>
      <c r="F33" s="56">
        <v>36</v>
      </c>
      <c r="G33" s="56">
        <v>25.4</v>
      </c>
      <c r="H33" s="56">
        <v>6904.3805300000004</v>
      </c>
      <c r="I33" s="56">
        <v>0.99956999999999996</v>
      </c>
      <c r="J33" s="56">
        <v>0.51640600000000003</v>
      </c>
      <c r="K33" s="279">
        <v>2401.1</v>
      </c>
      <c r="L33" s="56"/>
      <c r="M33" s="106" t="s">
        <v>20</v>
      </c>
      <c r="N33" s="275"/>
      <c r="O33" s="277" t="s">
        <v>19</v>
      </c>
      <c r="P33" s="97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25">
      <c r="A34" s="56" t="s">
        <v>937</v>
      </c>
      <c r="B34" s="56">
        <v>106</v>
      </c>
      <c r="C34" s="286">
        <v>45743.677083333336</v>
      </c>
      <c r="D34" s="56">
        <v>20</v>
      </c>
      <c r="E34" s="56">
        <v>9.2992500000000006E-2</v>
      </c>
      <c r="F34" s="56">
        <v>36</v>
      </c>
      <c r="G34" s="56">
        <v>25.4</v>
      </c>
      <c r="H34" s="56">
        <v>7060.7639399999998</v>
      </c>
      <c r="I34" s="56">
        <v>0.99958199999999997</v>
      </c>
      <c r="J34" s="56">
        <v>0.514575</v>
      </c>
      <c r="K34" s="279">
        <v>2392.6</v>
      </c>
      <c r="L34" s="56"/>
      <c r="M34" s="106" t="s">
        <v>20</v>
      </c>
      <c r="N34" s="275"/>
      <c r="O34" s="277" t="s">
        <v>19</v>
      </c>
      <c r="P34" s="322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x14ac:dyDescent="0.25">
      <c r="A35" s="56" t="s">
        <v>938</v>
      </c>
      <c r="B35" s="56">
        <v>144</v>
      </c>
      <c r="C35" s="284">
        <v>45743.682638888888</v>
      </c>
      <c r="D35" s="56">
        <v>20</v>
      </c>
      <c r="E35" s="56">
        <v>9.2992500000000006E-2</v>
      </c>
      <c r="F35" s="56">
        <v>36</v>
      </c>
      <c r="G35" s="56">
        <v>25.4</v>
      </c>
      <c r="H35" s="56">
        <v>6982.5265399999998</v>
      </c>
      <c r="I35" s="56">
        <v>0.99950300000000003</v>
      </c>
      <c r="J35" s="56">
        <v>0.51415500000000003</v>
      </c>
      <c r="K35" s="279">
        <v>2390.6</v>
      </c>
      <c r="L35" s="56"/>
      <c r="M35" s="106" t="s">
        <v>20</v>
      </c>
      <c r="N35" s="275"/>
      <c r="O35" s="277" t="s">
        <v>19</v>
      </c>
      <c r="P35" s="322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x14ac:dyDescent="0.25">
      <c r="A36" s="56" t="s">
        <v>939</v>
      </c>
      <c r="B36" s="56">
        <v>145</v>
      </c>
      <c r="C36" s="284">
        <v>45743.690972222219</v>
      </c>
      <c r="D36" s="56">
        <v>20</v>
      </c>
      <c r="E36" s="56">
        <v>9.2992500000000006E-2</v>
      </c>
      <c r="F36" s="56">
        <v>36</v>
      </c>
      <c r="G36" s="56">
        <v>25.4</v>
      </c>
      <c r="H36" s="56">
        <v>7007.0568700000003</v>
      </c>
      <c r="I36" s="56">
        <v>0.99960700000000002</v>
      </c>
      <c r="J36" s="56">
        <v>0.51466299999999998</v>
      </c>
      <c r="K36" s="279">
        <v>2393</v>
      </c>
      <c r="L36" s="56"/>
      <c r="M36" s="106" t="s">
        <v>20</v>
      </c>
      <c r="N36" s="275"/>
      <c r="O36" s="277" t="s">
        <v>19</v>
      </c>
      <c r="P36" s="322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x14ac:dyDescent="0.25">
      <c r="A37" s="280" t="s">
        <v>940</v>
      </c>
      <c r="B37" s="280" t="s">
        <v>531</v>
      </c>
      <c r="C37" s="285">
        <v>45743.697916666664</v>
      </c>
      <c r="D37" s="280">
        <v>20</v>
      </c>
      <c r="E37" s="280">
        <v>9.2992500000000006E-2</v>
      </c>
      <c r="F37" s="280">
        <v>33.1</v>
      </c>
      <c r="G37" s="280">
        <v>25.4</v>
      </c>
      <c r="H37" s="280">
        <v>6986.4214499999998</v>
      </c>
      <c r="I37" s="280">
        <v>0.99959299999999995</v>
      </c>
      <c r="J37" s="280">
        <v>0.48678500000000002</v>
      </c>
      <c r="K37" s="321">
        <v>2263.4</v>
      </c>
      <c r="L37" s="56"/>
      <c r="M37" s="106" t="s">
        <v>20</v>
      </c>
      <c r="N37" s="275"/>
      <c r="O37" s="277" t="s">
        <v>19</v>
      </c>
      <c r="P37" s="322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x14ac:dyDescent="0.25">
      <c r="A38" s="56" t="s">
        <v>941</v>
      </c>
      <c r="B38" s="56">
        <v>92</v>
      </c>
      <c r="C38" s="284">
        <v>45743.70416666667</v>
      </c>
      <c r="D38" s="56">
        <v>20</v>
      </c>
      <c r="E38" s="56">
        <v>9.2992500000000006E-2</v>
      </c>
      <c r="F38" s="56">
        <v>36</v>
      </c>
      <c r="G38" s="56">
        <v>25.4</v>
      </c>
      <c r="H38" s="56">
        <v>7011.1616199999999</v>
      </c>
      <c r="I38" s="56">
        <v>0.99959600000000004</v>
      </c>
      <c r="J38" s="56">
        <v>0.51588900000000004</v>
      </c>
      <c r="K38" s="279">
        <v>2398.6999999999998</v>
      </c>
      <c r="L38" s="56"/>
      <c r="M38" s="106" t="s">
        <v>20</v>
      </c>
      <c r="N38" s="275"/>
      <c r="O38" s="277" t="s">
        <v>19</v>
      </c>
      <c r="P38" s="322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x14ac:dyDescent="0.25">
      <c r="A39" s="56" t="s">
        <v>942</v>
      </c>
      <c r="B39" s="56">
        <v>93</v>
      </c>
      <c r="C39" s="284">
        <v>45743.708333333336</v>
      </c>
      <c r="D39" s="56">
        <v>20</v>
      </c>
      <c r="E39" s="56">
        <v>9.2992500000000006E-2</v>
      </c>
      <c r="F39" s="56">
        <v>36</v>
      </c>
      <c r="G39" s="56">
        <v>25.4</v>
      </c>
      <c r="H39" s="56">
        <v>7028.4598100000003</v>
      </c>
      <c r="I39" s="56">
        <v>0.99948000000000004</v>
      </c>
      <c r="J39" s="56">
        <v>0.51568199999999997</v>
      </c>
      <c r="K39" s="279">
        <v>2397.6999999999998</v>
      </c>
      <c r="L39" s="56"/>
      <c r="M39" s="106" t="s">
        <v>20</v>
      </c>
      <c r="N39" s="275"/>
      <c r="O39" s="277" t="s">
        <v>19</v>
      </c>
      <c r="P39" s="322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x14ac:dyDescent="0.25">
      <c r="A40" s="56" t="s">
        <v>943</v>
      </c>
      <c r="B40" s="56">
        <v>79</v>
      </c>
      <c r="C40" s="284">
        <v>45743.713888888888</v>
      </c>
      <c r="D40" s="56">
        <v>20</v>
      </c>
      <c r="E40" s="56">
        <v>9.2992500000000006E-2</v>
      </c>
      <c r="F40" s="56">
        <v>36</v>
      </c>
      <c r="G40" s="56">
        <v>25.4</v>
      </c>
      <c r="H40" s="56">
        <v>7016.7547199999999</v>
      </c>
      <c r="I40" s="56">
        <v>0.99956199999999995</v>
      </c>
      <c r="J40" s="56">
        <v>0.51558999999999999</v>
      </c>
      <c r="K40" s="279">
        <v>2397.3000000000002</v>
      </c>
      <c r="L40" s="56"/>
      <c r="M40" s="106" t="s">
        <v>20</v>
      </c>
      <c r="N40" s="275"/>
      <c r="O40" s="277" t="s">
        <v>19</v>
      </c>
      <c r="P40" s="322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x14ac:dyDescent="0.25">
      <c r="A41" s="56" t="s">
        <v>944</v>
      </c>
      <c r="B41" s="56">
        <v>80</v>
      </c>
      <c r="C41" s="284">
        <v>45743.71875</v>
      </c>
      <c r="D41" s="56">
        <v>20</v>
      </c>
      <c r="E41" s="56">
        <v>9.2992500000000006E-2</v>
      </c>
      <c r="F41" s="56">
        <v>36.1</v>
      </c>
      <c r="G41" s="56">
        <v>25.4</v>
      </c>
      <c r="H41" s="56">
        <v>6980.2669599999999</v>
      </c>
      <c r="I41" s="56">
        <v>0.99958999999999998</v>
      </c>
      <c r="J41" s="56">
        <v>0.51514199999999999</v>
      </c>
      <c r="K41" s="279">
        <v>2395.1999999999998</v>
      </c>
      <c r="L41" s="56"/>
      <c r="M41" s="106" t="s">
        <v>20</v>
      </c>
      <c r="N41" s="275"/>
      <c r="O41" s="277" t="s">
        <v>19</v>
      </c>
      <c r="P41" s="322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x14ac:dyDescent="0.25">
      <c r="A42" s="56" t="s">
        <v>945</v>
      </c>
      <c r="B42" s="56">
        <v>560</v>
      </c>
      <c r="C42" s="284">
        <v>45743.725694444445</v>
      </c>
      <c r="D42" s="56">
        <v>20</v>
      </c>
      <c r="E42" s="56">
        <v>9.2992500000000006E-2</v>
      </c>
      <c r="F42" s="56">
        <v>36.5</v>
      </c>
      <c r="G42" s="56">
        <v>25.4</v>
      </c>
      <c r="H42" s="56">
        <v>7014.6145200000001</v>
      </c>
      <c r="I42" s="56">
        <v>0.99952700000000005</v>
      </c>
      <c r="J42" s="56">
        <v>0.52418299999999995</v>
      </c>
      <c r="K42" s="279">
        <v>2437.3000000000002</v>
      </c>
      <c r="L42" s="56"/>
      <c r="M42" s="106" t="s">
        <v>20</v>
      </c>
      <c r="N42" s="275"/>
      <c r="O42" s="277" t="s">
        <v>19</v>
      </c>
      <c r="P42" s="322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56" t="s">
        <v>946</v>
      </c>
      <c r="B43" s="56">
        <v>561</v>
      </c>
      <c r="C43" s="284">
        <v>45743.731249999997</v>
      </c>
      <c r="D43" s="56">
        <v>20</v>
      </c>
      <c r="E43" s="56">
        <v>9.2992500000000006E-2</v>
      </c>
      <c r="F43" s="56">
        <v>36.6</v>
      </c>
      <c r="G43" s="56">
        <v>25.4</v>
      </c>
      <c r="H43" s="56">
        <v>6993.0386500000004</v>
      </c>
      <c r="I43" s="56">
        <v>0.99949200000000005</v>
      </c>
      <c r="J43" s="56">
        <v>0.523447</v>
      </c>
      <c r="K43" s="279">
        <v>2433.8000000000002</v>
      </c>
      <c r="L43" s="56"/>
      <c r="M43" s="106" t="s">
        <v>20</v>
      </c>
      <c r="N43" s="275"/>
      <c r="O43" s="277" t="s">
        <v>19</v>
      </c>
      <c r="P43" s="322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56" t="s">
        <v>947</v>
      </c>
      <c r="B44" s="56">
        <v>430</v>
      </c>
      <c r="C44" s="284">
        <v>45743.736111111109</v>
      </c>
      <c r="D44" s="56">
        <v>20</v>
      </c>
      <c r="E44" s="56">
        <v>9.2992500000000006E-2</v>
      </c>
      <c r="F44" s="56">
        <v>36.5</v>
      </c>
      <c r="G44" s="56">
        <v>25.4</v>
      </c>
      <c r="H44" s="56">
        <v>6978.5828499999998</v>
      </c>
      <c r="I44" s="56">
        <v>0.99956500000000004</v>
      </c>
      <c r="J44" s="56">
        <v>0.52046300000000001</v>
      </c>
      <c r="K44" s="279">
        <v>2420</v>
      </c>
      <c r="L44" s="56"/>
      <c r="M44" s="106" t="s">
        <v>20</v>
      </c>
      <c r="N44" s="275"/>
      <c r="O44" s="277" t="s">
        <v>19</v>
      </c>
      <c r="P44" s="322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56" t="s">
        <v>948</v>
      </c>
      <c r="B45" s="56">
        <v>431</v>
      </c>
      <c r="C45" s="284">
        <v>45743.741666666669</v>
      </c>
      <c r="D45" s="56">
        <v>20</v>
      </c>
      <c r="E45" s="56">
        <v>9.2992500000000006E-2</v>
      </c>
      <c r="F45" s="56">
        <v>36.4</v>
      </c>
      <c r="G45" s="56">
        <v>25.4</v>
      </c>
      <c r="H45" s="56">
        <v>7015.1819699999996</v>
      </c>
      <c r="I45" s="56">
        <v>0.99960000000000004</v>
      </c>
      <c r="J45" s="56">
        <v>0.52027199999999996</v>
      </c>
      <c r="K45" s="279">
        <v>2419.1</v>
      </c>
      <c r="L45" s="56"/>
      <c r="M45" s="106" t="s">
        <v>20</v>
      </c>
      <c r="N45" s="275"/>
      <c r="O45" s="277" t="s">
        <v>19</v>
      </c>
      <c r="P45" s="322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56" t="s">
        <v>949</v>
      </c>
      <c r="B46" s="56">
        <v>404</v>
      </c>
      <c r="C46" s="284">
        <v>45743.74722222222</v>
      </c>
      <c r="D46" s="56">
        <v>20</v>
      </c>
      <c r="E46" s="56">
        <v>9.2992500000000006E-2</v>
      </c>
      <c r="F46" s="56">
        <v>36.4</v>
      </c>
      <c r="G46" s="56">
        <v>25.4</v>
      </c>
      <c r="H46" s="56">
        <v>7024.0005899999996</v>
      </c>
      <c r="I46" s="56">
        <v>0.99951900000000005</v>
      </c>
      <c r="J46" s="56">
        <v>0.52082799999999996</v>
      </c>
      <c r="K46" s="279">
        <v>2421.6999999999998</v>
      </c>
      <c r="L46" s="56"/>
      <c r="M46" s="106" t="s">
        <v>20</v>
      </c>
      <c r="N46" s="275"/>
      <c r="O46" s="277" t="s">
        <v>19</v>
      </c>
      <c r="P46" s="322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56" t="s">
        <v>950</v>
      </c>
      <c r="B47" s="56">
        <v>405</v>
      </c>
      <c r="C47" s="284">
        <v>45743.751388888886</v>
      </c>
      <c r="D47" s="56">
        <v>20</v>
      </c>
      <c r="E47" s="56">
        <v>9.2992500000000006E-2</v>
      </c>
      <c r="F47" s="56">
        <v>36.4</v>
      </c>
      <c r="G47" s="56">
        <v>25.4</v>
      </c>
      <c r="H47" s="56">
        <v>6859.3540400000002</v>
      </c>
      <c r="I47" s="56">
        <v>0.99960700000000002</v>
      </c>
      <c r="J47" s="56">
        <v>0.52387399999999995</v>
      </c>
      <c r="K47" s="279">
        <v>2435.8000000000002</v>
      </c>
      <c r="L47" s="56"/>
      <c r="M47" s="106" t="s">
        <v>20</v>
      </c>
      <c r="N47" s="275"/>
      <c r="O47" s="277" t="s">
        <v>19</v>
      </c>
      <c r="P47" s="322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280" t="s">
        <v>951</v>
      </c>
      <c r="B48" s="280" t="s">
        <v>531</v>
      </c>
      <c r="C48" s="285">
        <v>45743.758333333331</v>
      </c>
      <c r="D48" s="280">
        <v>20</v>
      </c>
      <c r="E48" s="280">
        <v>9.2992500000000006E-2</v>
      </c>
      <c r="F48" s="280">
        <v>33.1</v>
      </c>
      <c r="G48" s="280">
        <v>25.4</v>
      </c>
      <c r="H48" s="280">
        <v>7012.6725200000001</v>
      </c>
      <c r="I48" s="280">
        <v>0.99959500000000001</v>
      </c>
      <c r="J48" s="280">
        <v>0.48656100000000002</v>
      </c>
      <c r="K48" s="321">
        <v>2262.3000000000002</v>
      </c>
      <c r="L48" s="56"/>
      <c r="M48" s="106" t="s">
        <v>20</v>
      </c>
      <c r="N48" s="275"/>
      <c r="O48" s="277" t="s">
        <v>19</v>
      </c>
      <c r="P48" s="322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56" t="s">
        <v>901</v>
      </c>
      <c r="B49" s="56" t="s">
        <v>902</v>
      </c>
      <c r="C49" s="284">
        <v>45747.469444444447</v>
      </c>
      <c r="D49" s="56">
        <v>20</v>
      </c>
      <c r="E49" s="56">
        <v>9.2992500000000006E-2</v>
      </c>
      <c r="F49" s="56" t="s">
        <v>903</v>
      </c>
      <c r="G49" s="56">
        <v>25.4</v>
      </c>
      <c r="H49" s="56">
        <v>8337.5657800000008</v>
      </c>
      <c r="I49" s="56">
        <v>0.99977899999999997</v>
      </c>
      <c r="J49" s="56">
        <v>0.44065300000000002</v>
      </c>
      <c r="K49" s="279">
        <v>2048.9</v>
      </c>
      <c r="L49" s="56"/>
      <c r="M49" s="106" t="s">
        <v>20</v>
      </c>
      <c r="N49" s="275"/>
      <c r="O49" s="277" t="s">
        <v>19</v>
      </c>
      <c r="P49" s="322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56" t="s">
        <v>952</v>
      </c>
      <c r="B50" s="56" t="s">
        <v>902</v>
      </c>
      <c r="C50" s="284">
        <v>45747.478472222225</v>
      </c>
      <c r="D50" s="56">
        <v>20</v>
      </c>
      <c r="E50" s="56">
        <v>9.2992500000000006E-2</v>
      </c>
      <c r="F50" s="56" t="s">
        <v>903</v>
      </c>
      <c r="G50" s="56">
        <v>25.4</v>
      </c>
      <c r="H50" s="56">
        <v>8357.4566099999993</v>
      </c>
      <c r="I50" s="56">
        <v>0.99983200000000005</v>
      </c>
      <c r="J50" s="56">
        <v>0.44056000000000001</v>
      </c>
      <c r="K50" s="279">
        <v>2048.4</v>
      </c>
      <c r="L50" s="56">
        <v>0.3049</v>
      </c>
      <c r="M50" s="106" t="s">
        <v>20</v>
      </c>
      <c r="N50" s="275"/>
      <c r="O50" s="277" t="s">
        <v>19</v>
      </c>
      <c r="P50" s="322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56" t="s">
        <v>953</v>
      </c>
      <c r="B51" s="56" t="s">
        <v>902</v>
      </c>
      <c r="C51" s="284">
        <v>45747.492361111108</v>
      </c>
      <c r="D51" s="56">
        <v>20</v>
      </c>
      <c r="E51" s="56">
        <v>9.2992500000000006E-2</v>
      </c>
      <c r="F51" s="56" t="s">
        <v>903</v>
      </c>
      <c r="G51" s="56">
        <v>25.4</v>
      </c>
      <c r="H51" s="56">
        <v>8451.8509599999998</v>
      </c>
      <c r="I51" s="56">
        <v>0.99986299999999995</v>
      </c>
      <c r="J51" s="56">
        <v>0.44070300000000001</v>
      </c>
      <c r="K51" s="279">
        <v>2049.1</v>
      </c>
      <c r="L51" s="56">
        <v>0.46860000000000002</v>
      </c>
      <c r="M51" s="106" t="s">
        <v>20</v>
      </c>
      <c r="N51" s="275"/>
      <c r="O51" s="277" t="s">
        <v>19</v>
      </c>
      <c r="P51" s="322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56" t="s">
        <v>905</v>
      </c>
      <c r="B52" s="56" t="s">
        <v>954</v>
      </c>
      <c r="C52" s="284">
        <v>45747.503472222219</v>
      </c>
      <c r="D52" s="56">
        <v>20</v>
      </c>
      <c r="E52" s="56">
        <v>9.2992500000000006E-2</v>
      </c>
      <c r="F52" s="56" t="s">
        <v>903</v>
      </c>
      <c r="G52" s="56">
        <v>25.4</v>
      </c>
      <c r="H52" s="56">
        <v>6854.5622300000005</v>
      </c>
      <c r="I52" s="56">
        <v>0.99966299999999997</v>
      </c>
      <c r="J52" s="56">
        <v>0.48799599999999999</v>
      </c>
      <c r="K52" s="279">
        <v>2269</v>
      </c>
      <c r="L52" s="56"/>
      <c r="M52" s="106" t="s">
        <v>20</v>
      </c>
      <c r="N52" s="275"/>
      <c r="O52" s="277" t="s">
        <v>610</v>
      </c>
      <c r="P52" s="322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5">
      <c r="A53" s="56" t="s">
        <v>955</v>
      </c>
      <c r="B53" s="56" t="s">
        <v>531</v>
      </c>
      <c r="C53" s="284">
        <v>45747.511805555558</v>
      </c>
      <c r="D53" s="56">
        <v>20</v>
      </c>
      <c r="E53" s="56">
        <v>9.3010700000000002E-2</v>
      </c>
      <c r="F53" s="56" t="s">
        <v>903</v>
      </c>
      <c r="G53" s="56">
        <v>25.4</v>
      </c>
      <c r="H53" s="56">
        <v>6764.9035700000004</v>
      </c>
      <c r="I53" s="56">
        <v>0.99961900000000004</v>
      </c>
      <c r="J53" s="56">
        <v>0.48613800000000001</v>
      </c>
      <c r="K53" s="279">
        <v>2260.8000000000002</v>
      </c>
      <c r="L53" s="56" t="s">
        <v>584</v>
      </c>
      <c r="M53" s="106" t="s">
        <v>20</v>
      </c>
      <c r="N53" s="275" t="s">
        <v>915</v>
      </c>
      <c r="O53" s="277" t="s">
        <v>19</v>
      </c>
      <c r="P53" s="322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5">
      <c r="A54" s="56" t="s">
        <v>956</v>
      </c>
      <c r="B54" s="56" t="s">
        <v>531</v>
      </c>
      <c r="C54" s="284">
        <v>45747.518750000003</v>
      </c>
      <c r="D54" s="56">
        <v>20</v>
      </c>
      <c r="E54" s="56">
        <v>9.2886499999999997E-2</v>
      </c>
      <c r="F54" s="56" t="s">
        <v>903</v>
      </c>
      <c r="G54" s="56">
        <v>25.4</v>
      </c>
      <c r="H54" s="56">
        <v>6852.7382399999997</v>
      </c>
      <c r="I54" s="56">
        <v>0.99959299999999995</v>
      </c>
      <c r="J54" s="56">
        <v>0.486788</v>
      </c>
      <c r="K54" s="279">
        <v>2260.8000000000002</v>
      </c>
      <c r="L54" s="320">
        <v>2.9999999999999997E-4</v>
      </c>
      <c r="M54" s="106" t="s">
        <v>20</v>
      </c>
      <c r="N54" s="275" t="s">
        <v>915</v>
      </c>
      <c r="O54" s="277" t="s">
        <v>19</v>
      </c>
      <c r="P54" s="322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5">
      <c r="A55" s="56" t="s">
        <v>957</v>
      </c>
      <c r="B55" s="56" t="s">
        <v>531</v>
      </c>
      <c r="C55" s="284">
        <v>45747.527083333334</v>
      </c>
      <c r="D55" s="56">
        <v>20</v>
      </c>
      <c r="E55" s="56">
        <v>9.29257E-2</v>
      </c>
      <c r="F55" s="56" t="s">
        <v>903</v>
      </c>
      <c r="G55" s="56">
        <v>25.4</v>
      </c>
      <c r="H55" s="56">
        <v>6876.7554399999999</v>
      </c>
      <c r="I55" s="56">
        <v>0.99963599999999997</v>
      </c>
      <c r="J55" s="56">
        <v>0.48658200000000001</v>
      </c>
      <c r="K55" s="279">
        <v>2260.8000000000002</v>
      </c>
      <c r="L55" s="320">
        <v>2.9999999999999997E-4</v>
      </c>
      <c r="M55" s="106" t="s">
        <v>20</v>
      </c>
      <c r="N55" s="275" t="s">
        <v>915</v>
      </c>
      <c r="O55" s="277" t="s">
        <v>19</v>
      </c>
      <c r="P55" s="322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5">
      <c r="A56" s="280" t="s">
        <v>958</v>
      </c>
      <c r="B56" s="280" t="s">
        <v>954</v>
      </c>
      <c r="C56" s="285">
        <v>45747.535416666666</v>
      </c>
      <c r="D56" s="280">
        <v>20</v>
      </c>
      <c r="E56" s="280">
        <v>9.2906100000000005E-2</v>
      </c>
      <c r="F56" s="280">
        <v>36</v>
      </c>
      <c r="G56" s="280">
        <v>25.4</v>
      </c>
      <c r="H56" s="280">
        <v>7028.1065699999999</v>
      </c>
      <c r="I56" s="280">
        <v>0.99969200000000003</v>
      </c>
      <c r="J56" s="280">
        <v>0.46953600000000001</v>
      </c>
      <c r="K56" s="323">
        <v>2181.1</v>
      </c>
      <c r="L56" s="56"/>
      <c r="M56" s="106" t="s">
        <v>20</v>
      </c>
      <c r="N56" s="275" t="s">
        <v>959</v>
      </c>
      <c r="O56" s="322" t="s">
        <v>610</v>
      </c>
      <c r="P56" s="322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5">
      <c r="A57" s="56" t="s">
        <v>918</v>
      </c>
      <c r="B57" s="56">
        <v>586</v>
      </c>
      <c r="C57" s="284">
        <v>45747.540972222225</v>
      </c>
      <c r="D57" s="56">
        <v>20</v>
      </c>
      <c r="E57" s="56">
        <v>9.2906100000000005E-2</v>
      </c>
      <c r="F57" s="56">
        <v>36.299999999999997</v>
      </c>
      <c r="G57" s="56">
        <v>25.4</v>
      </c>
      <c r="H57" s="56">
        <v>6773.5351000000001</v>
      </c>
      <c r="I57" s="56">
        <v>0.99961800000000001</v>
      </c>
      <c r="J57" s="56">
        <v>0.520401</v>
      </c>
      <c r="K57" s="279">
        <v>2417.4</v>
      </c>
      <c r="L57" s="56"/>
      <c r="M57" s="106" t="s">
        <v>20</v>
      </c>
      <c r="N57" s="275"/>
      <c r="O57" s="277" t="s">
        <v>19</v>
      </c>
      <c r="P57" s="322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5">
      <c r="A58" s="56" t="s">
        <v>919</v>
      </c>
      <c r="B58" s="56">
        <v>587</v>
      </c>
      <c r="C58" s="284">
        <v>45747.547222222223</v>
      </c>
      <c r="D58" s="56">
        <v>20</v>
      </c>
      <c r="E58" s="56">
        <v>9.2906100000000005E-2</v>
      </c>
      <c r="F58" s="56">
        <v>36.4</v>
      </c>
      <c r="G58" s="56">
        <v>25.4</v>
      </c>
      <c r="H58" s="56">
        <v>6801.6868700000005</v>
      </c>
      <c r="I58" s="56">
        <v>0.99988100000000002</v>
      </c>
      <c r="J58" s="56">
        <v>0.52617899999999995</v>
      </c>
      <c r="K58" s="279">
        <v>2444.3000000000002</v>
      </c>
      <c r="L58" s="56"/>
      <c r="M58" s="106" t="s">
        <v>20</v>
      </c>
      <c r="N58" s="275"/>
      <c r="O58" s="277" t="s">
        <v>19</v>
      </c>
      <c r="P58" s="322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56" t="s">
        <v>920</v>
      </c>
      <c r="B59" s="56">
        <v>170</v>
      </c>
      <c r="C59" s="284">
        <v>45747.555555555555</v>
      </c>
      <c r="D59" s="56">
        <v>20</v>
      </c>
      <c r="E59" s="56">
        <v>9.2906100000000005E-2</v>
      </c>
      <c r="F59" s="56">
        <v>36.4</v>
      </c>
      <c r="G59" s="56">
        <v>25.4</v>
      </c>
      <c r="H59" s="56">
        <v>6766.7199199999995</v>
      </c>
      <c r="I59" s="56">
        <v>0.99967799999999996</v>
      </c>
      <c r="J59" s="56">
        <v>0.52160399999999996</v>
      </c>
      <c r="K59" s="279">
        <v>2423</v>
      </c>
      <c r="L59" s="56"/>
      <c r="M59" s="106" t="s">
        <v>20</v>
      </c>
      <c r="N59" s="275"/>
      <c r="O59" s="277" t="s">
        <v>19</v>
      </c>
      <c r="P59" s="322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5">
      <c r="A60" s="56" t="s">
        <v>921</v>
      </c>
      <c r="B60" s="56">
        <v>171</v>
      </c>
      <c r="C60" s="284">
        <v>45747.563194444447</v>
      </c>
      <c r="D60" s="56">
        <v>20</v>
      </c>
      <c r="E60" s="56">
        <v>9.2906100000000005E-2</v>
      </c>
      <c r="F60" s="56">
        <v>36.4</v>
      </c>
      <c r="G60" s="56">
        <v>25.4</v>
      </c>
      <c r="H60" s="56">
        <v>6851.2484700000005</v>
      </c>
      <c r="I60" s="56">
        <v>0.99951800000000002</v>
      </c>
      <c r="J60" s="56">
        <v>0.52174500000000001</v>
      </c>
      <c r="K60" s="279">
        <v>2423.6999999999998</v>
      </c>
      <c r="L60" s="56"/>
      <c r="M60" s="106" t="s">
        <v>20</v>
      </c>
      <c r="N60" s="275"/>
      <c r="O60" s="277" t="s">
        <v>19</v>
      </c>
      <c r="P60" s="322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56" t="s">
        <v>922</v>
      </c>
      <c r="B61" s="56">
        <v>248</v>
      </c>
      <c r="C61" s="284">
        <v>45747.569444444445</v>
      </c>
      <c r="D61" s="56">
        <v>20</v>
      </c>
      <c r="E61" s="56">
        <v>9.2906100000000005E-2</v>
      </c>
      <c r="F61" s="56">
        <v>36.4</v>
      </c>
      <c r="G61" s="56">
        <v>25.4</v>
      </c>
      <c r="H61" s="56">
        <v>6850.3695799999996</v>
      </c>
      <c r="I61" s="56">
        <v>0.99963800000000003</v>
      </c>
      <c r="J61" s="56">
        <v>0.52120500000000003</v>
      </c>
      <c r="K61" s="279">
        <v>2421.1999999999998</v>
      </c>
      <c r="L61" s="56"/>
      <c r="M61" s="106" t="s">
        <v>20</v>
      </c>
      <c r="N61" s="275"/>
      <c r="O61" s="277" t="s">
        <v>19</v>
      </c>
      <c r="P61" s="322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5">
      <c r="A62" s="56" t="s">
        <v>923</v>
      </c>
      <c r="B62" s="56">
        <v>249</v>
      </c>
      <c r="C62" s="284">
        <v>45747.576388888891</v>
      </c>
      <c r="D62" s="56">
        <v>20</v>
      </c>
      <c r="E62" s="56">
        <v>9.2906100000000005E-2</v>
      </c>
      <c r="F62" s="56">
        <v>36.4</v>
      </c>
      <c r="G62" s="56">
        <v>25.4</v>
      </c>
      <c r="H62" s="56">
        <v>6847.4814500000002</v>
      </c>
      <c r="I62" s="56">
        <v>0.99959100000000001</v>
      </c>
      <c r="J62" s="56">
        <v>0.52088500000000004</v>
      </c>
      <c r="K62" s="279">
        <v>2419.6999999999998</v>
      </c>
      <c r="L62" s="56"/>
      <c r="M62" s="106" t="s">
        <v>20</v>
      </c>
      <c r="N62" s="275"/>
      <c r="O62" s="277" t="s">
        <v>19</v>
      </c>
      <c r="P62" s="322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56" t="s">
        <v>924</v>
      </c>
      <c r="B63" s="56">
        <v>157</v>
      </c>
      <c r="C63" s="286">
        <v>45747.592361111114</v>
      </c>
      <c r="D63" s="56">
        <v>20</v>
      </c>
      <c r="E63" s="56">
        <v>9.2906100000000005E-2</v>
      </c>
      <c r="F63" s="56">
        <v>36.4</v>
      </c>
      <c r="G63" s="56">
        <v>25.4</v>
      </c>
      <c r="H63" s="56">
        <v>6804.6039499999997</v>
      </c>
      <c r="I63" s="56">
        <v>0.99964399999999998</v>
      </c>
      <c r="J63" s="56">
        <v>0.51971299999999998</v>
      </c>
      <c r="K63" s="279">
        <v>2414.1999999999998</v>
      </c>
      <c r="L63" s="56"/>
      <c r="M63" s="106" t="s">
        <v>20</v>
      </c>
      <c r="N63" s="275"/>
      <c r="O63" s="277" t="s">
        <v>19</v>
      </c>
      <c r="P63" s="322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5">
      <c r="A64" s="56" t="s">
        <v>925</v>
      </c>
      <c r="B64" s="56">
        <v>158</v>
      </c>
      <c r="C64" s="284">
        <v>45747.599305555559</v>
      </c>
      <c r="D64" s="56">
        <v>20</v>
      </c>
      <c r="E64" s="56">
        <v>9.2906100000000005E-2</v>
      </c>
      <c r="F64" s="56">
        <v>36.4</v>
      </c>
      <c r="G64" s="56">
        <v>25.4</v>
      </c>
      <c r="H64" s="56">
        <v>6917.5955800000002</v>
      </c>
      <c r="I64" s="56">
        <v>0.99953899999999996</v>
      </c>
      <c r="J64" s="56">
        <v>0.52037999999999995</v>
      </c>
      <c r="K64" s="279">
        <v>2417.3000000000002</v>
      </c>
      <c r="L64" s="56"/>
      <c r="M64" s="106" t="s">
        <v>20</v>
      </c>
      <c r="N64" s="275"/>
      <c r="O64" s="277" t="s">
        <v>19</v>
      </c>
      <c r="P64" s="322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56" t="s">
        <v>926</v>
      </c>
      <c r="B65" s="56">
        <v>573</v>
      </c>
      <c r="C65" s="284">
        <v>45747.609027777777</v>
      </c>
      <c r="D65" s="56">
        <v>20</v>
      </c>
      <c r="E65" s="56">
        <v>9.2906100000000005E-2</v>
      </c>
      <c r="F65" s="56">
        <v>36.299999999999997</v>
      </c>
      <c r="G65" s="56">
        <v>25.4</v>
      </c>
      <c r="H65" s="56">
        <v>6885.2603099999997</v>
      </c>
      <c r="I65" s="56">
        <v>0.99953700000000001</v>
      </c>
      <c r="J65" s="56">
        <v>0.52008399999999999</v>
      </c>
      <c r="K65" s="279">
        <v>2415.9</v>
      </c>
      <c r="L65" s="56"/>
      <c r="M65" s="106" t="s">
        <v>20</v>
      </c>
      <c r="N65" s="275"/>
      <c r="O65" s="277" t="s">
        <v>19</v>
      </c>
      <c r="P65" s="322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5">
      <c r="A66" s="56" t="s">
        <v>927</v>
      </c>
      <c r="B66" s="56">
        <v>574</v>
      </c>
      <c r="C66" s="284">
        <v>45747.615972222222</v>
      </c>
      <c r="D66" s="56">
        <v>20</v>
      </c>
      <c r="E66" s="56">
        <v>9.2906100000000005E-2</v>
      </c>
      <c r="F66" s="56">
        <v>36.299999999999997</v>
      </c>
      <c r="G66" s="56">
        <v>25.4</v>
      </c>
      <c r="H66" s="56">
        <v>6878.4210999999996</v>
      </c>
      <c r="I66" s="56">
        <v>0.99966299999999997</v>
      </c>
      <c r="J66" s="56">
        <v>0.51980700000000002</v>
      </c>
      <c r="K66" s="279">
        <v>2414.6999999999998</v>
      </c>
      <c r="L66" s="56"/>
      <c r="M66" s="106" t="s">
        <v>20</v>
      </c>
      <c r="N66" s="275"/>
      <c r="O66" s="277" t="s">
        <v>19</v>
      </c>
      <c r="P66" s="322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5">
      <c r="A67" s="280" t="s">
        <v>928</v>
      </c>
      <c r="B67" s="280" t="s">
        <v>954</v>
      </c>
      <c r="C67" s="285">
        <v>45747.624305555553</v>
      </c>
      <c r="D67" s="280">
        <v>20</v>
      </c>
      <c r="E67" s="280">
        <v>9.2906100000000005E-2</v>
      </c>
      <c r="F67" s="280">
        <v>33.1</v>
      </c>
      <c r="G67" s="280">
        <v>25.4</v>
      </c>
      <c r="H67" s="280">
        <v>6856.2828900000004</v>
      </c>
      <c r="I67" s="280">
        <v>0.99971699999999997</v>
      </c>
      <c r="J67" s="280">
        <v>0.48663200000000001</v>
      </c>
      <c r="K67" s="321">
        <v>2261.5</v>
      </c>
      <c r="L67" s="320"/>
      <c r="M67" s="106" t="s">
        <v>20</v>
      </c>
      <c r="N67" s="275"/>
      <c r="O67" s="277" t="s">
        <v>19</v>
      </c>
      <c r="P67" s="322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5">
      <c r="A68" s="56" t="s">
        <v>931</v>
      </c>
      <c r="B68" s="56">
        <v>495</v>
      </c>
      <c r="C68" s="284">
        <v>45747.640972222223</v>
      </c>
      <c r="D68" s="56">
        <v>20</v>
      </c>
      <c r="E68" s="56">
        <v>9.2906100000000005E-2</v>
      </c>
      <c r="F68" s="56">
        <v>36.299999999999997</v>
      </c>
      <c r="G68" s="56">
        <v>25.4</v>
      </c>
      <c r="H68" s="56">
        <v>6842.7751399999997</v>
      </c>
      <c r="I68" s="56">
        <v>0.99951800000000002</v>
      </c>
      <c r="J68" s="56">
        <v>0.51887499999999998</v>
      </c>
      <c r="K68" s="279">
        <v>2410.3000000000002</v>
      </c>
      <c r="L68" s="320"/>
      <c r="M68" s="106" t="s">
        <v>20</v>
      </c>
      <c r="N68" s="275"/>
      <c r="O68" s="277" t="s">
        <v>19</v>
      </c>
      <c r="P68" s="322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5">
      <c r="A69" s="56" t="s">
        <v>930</v>
      </c>
      <c r="B69" s="56">
        <v>496</v>
      </c>
      <c r="C69" s="284">
        <v>45747.634027777778</v>
      </c>
      <c r="D69" s="56">
        <v>20</v>
      </c>
      <c r="E69" s="56">
        <v>9.2906100000000005E-2</v>
      </c>
      <c r="F69" s="56">
        <v>36.4</v>
      </c>
      <c r="G69" s="56">
        <v>25.4</v>
      </c>
      <c r="H69" s="56">
        <v>6855.40578</v>
      </c>
      <c r="I69" s="56">
        <v>0.99949699999999997</v>
      </c>
      <c r="J69" s="56">
        <v>0.51861000000000002</v>
      </c>
      <c r="K69" s="279">
        <v>2409.1</v>
      </c>
      <c r="L69" s="56"/>
      <c r="M69" s="106" t="s">
        <v>20</v>
      </c>
      <c r="N69" s="275"/>
      <c r="O69" s="277" t="s">
        <v>19</v>
      </c>
      <c r="P69" s="322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5">
      <c r="A70" s="56" t="s">
        <v>932</v>
      </c>
      <c r="B70" s="56">
        <v>183</v>
      </c>
      <c r="C70" s="284">
        <v>45747.647916666669</v>
      </c>
      <c r="D70" s="56">
        <v>20</v>
      </c>
      <c r="E70" s="56">
        <v>9.2906100000000005E-2</v>
      </c>
      <c r="F70" s="56">
        <v>36.299999999999997</v>
      </c>
      <c r="G70" s="56">
        <v>25.4</v>
      </c>
      <c r="H70" s="56">
        <v>6822.2929800000002</v>
      </c>
      <c r="I70" s="56">
        <v>0.99965499999999996</v>
      </c>
      <c r="J70" s="56">
        <v>0.51347100000000001</v>
      </c>
      <c r="K70" s="279">
        <v>2385.1999999999998</v>
      </c>
      <c r="L70" s="56"/>
      <c r="M70" s="106" t="s">
        <v>20</v>
      </c>
      <c r="N70" s="275"/>
      <c r="O70" s="277" t="s">
        <v>19</v>
      </c>
      <c r="P70" s="322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5">
      <c r="A71" s="56" t="s">
        <v>933</v>
      </c>
      <c r="B71" s="56">
        <v>184</v>
      </c>
      <c r="C71" s="284">
        <v>45747.654166666667</v>
      </c>
      <c r="D71" s="56">
        <v>20</v>
      </c>
      <c r="E71" s="56">
        <v>9.2906100000000005E-2</v>
      </c>
      <c r="F71" s="56">
        <v>36.200000000000003</v>
      </c>
      <c r="G71" s="56">
        <v>25.4</v>
      </c>
      <c r="H71" s="56">
        <v>6926.9395299999996</v>
      </c>
      <c r="I71" s="56">
        <v>0.99974499999999999</v>
      </c>
      <c r="J71" s="56">
        <v>0.51505800000000002</v>
      </c>
      <c r="K71" s="279">
        <v>2392.6</v>
      </c>
      <c r="L71" s="56"/>
      <c r="M71" s="106" t="s">
        <v>20</v>
      </c>
      <c r="N71" s="275"/>
      <c r="O71" s="277" t="s">
        <v>19</v>
      </c>
      <c r="P71" s="322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5">
      <c r="A72" s="56" t="s">
        <v>934</v>
      </c>
      <c r="B72" s="56">
        <v>456</v>
      </c>
      <c r="C72" s="284">
        <v>45747.661111111112</v>
      </c>
      <c r="D72" s="56">
        <v>20</v>
      </c>
      <c r="E72" s="56">
        <v>9.2906100000000005E-2</v>
      </c>
      <c r="F72" s="56">
        <v>36.1</v>
      </c>
      <c r="G72" s="56">
        <v>25.4</v>
      </c>
      <c r="H72" s="56">
        <v>6829.0154000000002</v>
      </c>
      <c r="I72" s="56">
        <v>0.99955099999999997</v>
      </c>
      <c r="J72" s="56">
        <v>0.51477799999999996</v>
      </c>
      <c r="K72" s="279">
        <v>2391.3000000000002</v>
      </c>
      <c r="L72" s="320"/>
      <c r="M72" s="106" t="s">
        <v>20</v>
      </c>
      <c r="N72" s="275"/>
      <c r="O72" s="277" t="s">
        <v>19</v>
      </c>
      <c r="P72" s="322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5">
      <c r="A73" s="56" t="s">
        <v>935</v>
      </c>
      <c r="B73" s="56">
        <v>457</v>
      </c>
      <c r="C73" s="284">
        <v>45747.668055555558</v>
      </c>
      <c r="D73" s="56">
        <v>20</v>
      </c>
      <c r="E73" s="56">
        <v>9.2906100000000005E-2</v>
      </c>
      <c r="F73" s="56">
        <v>36.1</v>
      </c>
      <c r="G73" s="56">
        <v>25.4</v>
      </c>
      <c r="H73" s="56">
        <v>6811.9802799999998</v>
      </c>
      <c r="I73" s="56">
        <v>0.99963299999999999</v>
      </c>
      <c r="J73" s="56">
        <v>0.515509</v>
      </c>
      <c r="K73" s="279">
        <v>2394.6999999999998</v>
      </c>
      <c r="L73" s="320"/>
      <c r="M73" s="106" t="s">
        <v>20</v>
      </c>
      <c r="N73" s="275"/>
      <c r="O73" s="277" t="s">
        <v>19</v>
      </c>
      <c r="P73" s="322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5">
      <c r="A74" s="56" t="s">
        <v>936</v>
      </c>
      <c r="B74" s="56">
        <v>547</v>
      </c>
      <c r="C74" s="284">
        <v>45747.674305555556</v>
      </c>
      <c r="D74" s="56">
        <v>20</v>
      </c>
      <c r="E74" s="56">
        <v>9.2906100000000005E-2</v>
      </c>
      <c r="F74" s="56">
        <v>36</v>
      </c>
      <c r="G74" s="56">
        <v>25.4</v>
      </c>
      <c r="H74" s="56">
        <v>6759.6733199999999</v>
      </c>
      <c r="I74" s="56">
        <v>0.99971900000000002</v>
      </c>
      <c r="J74" s="56">
        <v>0.51351599999999997</v>
      </c>
      <c r="K74" s="279">
        <v>2385.4</v>
      </c>
      <c r="L74" s="56"/>
      <c r="M74" s="106" t="s">
        <v>20</v>
      </c>
      <c r="N74" s="56"/>
      <c r="O74" s="277" t="s">
        <v>19</v>
      </c>
      <c r="P74" s="322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5">
      <c r="A75" s="56" t="s">
        <v>937</v>
      </c>
      <c r="B75" s="56">
        <v>548</v>
      </c>
      <c r="C75" s="284">
        <v>45747.680555555555</v>
      </c>
      <c r="D75" s="56">
        <v>20</v>
      </c>
      <c r="E75" s="56">
        <v>9.2906100000000005E-2</v>
      </c>
      <c r="F75" s="56">
        <v>36.1</v>
      </c>
      <c r="G75" s="56">
        <v>25.4</v>
      </c>
      <c r="H75" s="56">
        <v>6759.9243299999998</v>
      </c>
      <c r="I75" s="56">
        <v>0.99961599999999995</v>
      </c>
      <c r="J75" s="56">
        <v>0.51088999999999996</v>
      </c>
      <c r="K75" s="279">
        <v>2373.1999999999998</v>
      </c>
      <c r="L75" s="56"/>
      <c r="M75" s="106" t="s">
        <v>20</v>
      </c>
      <c r="N75" s="275"/>
      <c r="O75" s="277" t="s">
        <v>19</v>
      </c>
      <c r="P75" s="322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5">
      <c r="A76" s="56" t="s">
        <v>938</v>
      </c>
      <c r="B76" s="56">
        <v>508</v>
      </c>
      <c r="C76" s="284">
        <v>45747.686111111114</v>
      </c>
      <c r="D76" s="56">
        <v>20</v>
      </c>
      <c r="E76" s="56">
        <v>9.2906100000000005E-2</v>
      </c>
      <c r="F76" s="56">
        <v>36.200000000000003</v>
      </c>
      <c r="G76" s="56">
        <v>25.4</v>
      </c>
      <c r="H76" s="56">
        <v>6827.2487199999996</v>
      </c>
      <c r="I76" s="56">
        <v>0.99965099999999996</v>
      </c>
      <c r="J76" s="56">
        <v>0.51747799999999999</v>
      </c>
      <c r="K76" s="279">
        <v>2403.8000000000002</v>
      </c>
      <c r="L76" s="56"/>
      <c r="M76" s="106" t="s">
        <v>20</v>
      </c>
      <c r="N76" s="275"/>
      <c r="O76" s="277" t="s">
        <v>19</v>
      </c>
      <c r="P76" s="322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5">
      <c r="A77" s="56" t="s">
        <v>939</v>
      </c>
      <c r="B77" s="56">
        <v>509</v>
      </c>
      <c r="C77" s="284">
        <v>45747.692361111112</v>
      </c>
      <c r="D77" s="56">
        <v>20</v>
      </c>
      <c r="E77" s="56">
        <v>9.2906100000000005E-2</v>
      </c>
      <c r="F77" s="56">
        <v>36.200000000000003</v>
      </c>
      <c r="G77" s="56">
        <v>25.4</v>
      </c>
      <c r="H77" s="56">
        <v>6204.1616400000003</v>
      </c>
      <c r="I77" s="56">
        <v>0.99947900000000001</v>
      </c>
      <c r="J77" s="56">
        <v>0.51482899999999998</v>
      </c>
      <c r="K77" s="279">
        <v>2391.5</v>
      </c>
      <c r="L77" s="56"/>
      <c r="M77" s="106" t="s">
        <v>20</v>
      </c>
      <c r="N77" s="275"/>
      <c r="O77" s="277" t="s">
        <v>19</v>
      </c>
      <c r="P77" s="322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5">
      <c r="A78" s="280" t="s">
        <v>940</v>
      </c>
      <c r="B78" s="280" t="s">
        <v>954</v>
      </c>
      <c r="C78" s="285">
        <v>45747.699305555558</v>
      </c>
      <c r="D78" s="280">
        <v>20</v>
      </c>
      <c r="E78" s="280">
        <v>9.2906100000000005E-2</v>
      </c>
      <c r="F78" s="280">
        <v>33.1</v>
      </c>
      <c r="G78" s="280">
        <v>25.4</v>
      </c>
      <c r="H78" s="280">
        <v>6900.8069800000003</v>
      </c>
      <c r="I78" s="280">
        <v>0.99963500000000005</v>
      </c>
      <c r="J78" s="280">
        <v>0.48001199999999999</v>
      </c>
      <c r="K78" s="323">
        <v>2261.4</v>
      </c>
      <c r="L78" s="56"/>
      <c r="M78" s="106" t="s">
        <v>20</v>
      </c>
      <c r="N78" s="275" t="s">
        <v>960</v>
      </c>
      <c r="O78" s="277" t="s">
        <v>19</v>
      </c>
      <c r="P78" s="322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5">
      <c r="A79" s="56" t="s">
        <v>943</v>
      </c>
      <c r="B79" s="56">
        <v>326</v>
      </c>
      <c r="C79" s="284">
        <v>45747.726388888892</v>
      </c>
      <c r="D79" s="56">
        <v>20</v>
      </c>
      <c r="E79" s="56">
        <v>9.2906100000000005E-2</v>
      </c>
      <c r="F79" s="56">
        <v>36.200000000000003</v>
      </c>
      <c r="G79" s="56">
        <v>25.4</v>
      </c>
      <c r="H79" s="56">
        <v>6871.96371</v>
      </c>
      <c r="I79" s="56">
        <v>0.99958599999999997</v>
      </c>
      <c r="J79" s="56">
        <v>0.51808399999999999</v>
      </c>
      <c r="K79" s="279">
        <v>2406.6999999999998</v>
      </c>
      <c r="L79" s="320"/>
      <c r="M79" s="106" t="s">
        <v>20</v>
      </c>
      <c r="N79" s="275"/>
      <c r="O79" s="277" t="s">
        <v>19</v>
      </c>
      <c r="P79" s="322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56" t="s">
        <v>944</v>
      </c>
      <c r="B80" s="56">
        <v>327</v>
      </c>
      <c r="C80" s="284">
        <v>45747.73333333333</v>
      </c>
      <c r="D80" s="56">
        <v>20</v>
      </c>
      <c r="E80" s="56">
        <v>9.2906100000000005E-2</v>
      </c>
      <c r="F80" s="56">
        <v>36.200000000000003</v>
      </c>
      <c r="G80" s="56">
        <v>25.4</v>
      </c>
      <c r="H80" s="56">
        <v>6849.1140400000004</v>
      </c>
      <c r="I80" s="56">
        <v>0.999525</v>
      </c>
      <c r="J80" s="56">
        <v>0.51898200000000005</v>
      </c>
      <c r="K80" s="279">
        <v>2410.8000000000002</v>
      </c>
      <c r="L80" s="320"/>
      <c r="M80" s="106" t="s">
        <v>20</v>
      </c>
      <c r="N80" s="275"/>
      <c r="O80" s="277" t="s">
        <v>19</v>
      </c>
      <c r="P80" s="322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5">
      <c r="A81" s="56" t="s">
        <v>945</v>
      </c>
      <c r="B81" s="56">
        <v>391</v>
      </c>
      <c r="C81" s="284">
        <v>45747.738888888889</v>
      </c>
      <c r="D81" s="56">
        <v>20</v>
      </c>
      <c r="E81" s="56">
        <v>9.2906100000000005E-2</v>
      </c>
      <c r="F81" s="56">
        <v>36</v>
      </c>
      <c r="G81" s="56">
        <v>25.4</v>
      </c>
      <c r="H81" s="56">
        <v>6730.0774300000003</v>
      </c>
      <c r="I81" s="56">
        <v>0.99965300000000001</v>
      </c>
      <c r="J81" s="56">
        <v>0.51434000000000002</v>
      </c>
      <c r="K81" s="279">
        <v>2389.3000000000002</v>
      </c>
      <c r="L81" s="56"/>
      <c r="M81" s="106" t="s">
        <v>20</v>
      </c>
      <c r="N81" s="275"/>
      <c r="O81" s="277" t="s">
        <v>19</v>
      </c>
      <c r="P81" s="322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5">
      <c r="A82" s="56" t="s">
        <v>946</v>
      </c>
      <c r="B82" s="56">
        <v>392</v>
      </c>
      <c r="C82" s="284">
        <v>45747.745138888888</v>
      </c>
      <c r="D82" s="56">
        <v>20</v>
      </c>
      <c r="E82" s="56">
        <v>9.2906100000000005E-2</v>
      </c>
      <c r="F82" s="56">
        <v>36.200000000000003</v>
      </c>
      <c r="G82" s="56">
        <v>25.4</v>
      </c>
      <c r="H82" s="56">
        <v>6799.34411</v>
      </c>
      <c r="I82" s="56">
        <v>0.99960300000000002</v>
      </c>
      <c r="J82" s="56">
        <v>0.51728200000000002</v>
      </c>
      <c r="K82" s="279">
        <v>2402.9</v>
      </c>
      <c r="L82" s="56"/>
      <c r="M82" s="106" t="s">
        <v>20</v>
      </c>
      <c r="N82" s="275"/>
      <c r="O82" s="277" t="s">
        <v>19</v>
      </c>
      <c r="P82" s="322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5">
      <c r="A83" s="56" t="s">
        <v>947</v>
      </c>
      <c r="B83" s="56">
        <v>313</v>
      </c>
      <c r="C83" s="284">
        <v>45747.753472222219</v>
      </c>
      <c r="D83" s="56">
        <v>20</v>
      </c>
      <c r="E83" s="56">
        <v>9.2906100000000005E-2</v>
      </c>
      <c r="F83" s="56">
        <v>36.1</v>
      </c>
      <c r="G83" s="56">
        <v>25.4</v>
      </c>
      <c r="H83" s="56">
        <v>6823.6359300000004</v>
      </c>
      <c r="I83" s="56">
        <v>0.99962499999999999</v>
      </c>
      <c r="J83" s="56">
        <v>0.51849800000000001</v>
      </c>
      <c r="K83" s="279">
        <v>2408.6</v>
      </c>
      <c r="L83" s="56"/>
      <c r="M83" s="106" t="s">
        <v>20</v>
      </c>
      <c r="N83" s="275"/>
      <c r="O83" s="277" t="s">
        <v>19</v>
      </c>
      <c r="P83" s="322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5">
      <c r="A84" s="56" t="s">
        <v>948</v>
      </c>
      <c r="B84" s="56">
        <v>314</v>
      </c>
      <c r="C84" s="284">
        <v>45747.759722222225</v>
      </c>
      <c r="D84" s="56">
        <v>20</v>
      </c>
      <c r="E84" s="56">
        <v>9.2906100000000005E-2</v>
      </c>
      <c r="F84" s="56">
        <v>36.200000000000003</v>
      </c>
      <c r="G84" s="56">
        <v>25.4</v>
      </c>
      <c r="H84" s="56">
        <v>6817.7376999999997</v>
      </c>
      <c r="I84" s="56">
        <v>0.99960599999999999</v>
      </c>
      <c r="J84" s="56">
        <v>0.51836000000000004</v>
      </c>
      <c r="K84" s="279">
        <v>2407.9</v>
      </c>
      <c r="L84" s="56"/>
      <c r="M84" s="106" t="s">
        <v>20</v>
      </c>
      <c r="N84" s="275"/>
      <c r="O84" s="277" t="s">
        <v>19</v>
      </c>
      <c r="P84" s="322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5">
      <c r="A85" s="56" t="s">
        <v>949</v>
      </c>
      <c r="B85" s="56">
        <v>118</v>
      </c>
      <c r="C85" s="284">
        <v>45747.76666666667</v>
      </c>
      <c r="D85" s="56">
        <v>20</v>
      </c>
      <c r="E85" s="56">
        <v>9.2906100000000005E-2</v>
      </c>
      <c r="F85" s="56">
        <v>36</v>
      </c>
      <c r="G85" s="56">
        <v>25.4</v>
      </c>
      <c r="H85" s="56">
        <v>6817.2221499999996</v>
      </c>
      <c r="I85" s="56">
        <v>0.999583</v>
      </c>
      <c r="J85" s="56">
        <v>0.51456199999999996</v>
      </c>
      <c r="K85" s="279">
        <v>2390.3000000000002</v>
      </c>
      <c r="L85" s="56"/>
      <c r="M85" s="106" t="s">
        <v>20</v>
      </c>
      <c r="N85" s="275"/>
      <c r="O85" s="277" t="s">
        <v>19</v>
      </c>
      <c r="P85" s="322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5">
      <c r="A86" s="56" t="s">
        <v>950</v>
      </c>
      <c r="B86" s="56">
        <v>119</v>
      </c>
      <c r="C86" s="284">
        <v>45747.772222222222</v>
      </c>
      <c r="D86" s="56">
        <v>20</v>
      </c>
      <c r="E86" s="56">
        <v>9.2906100000000005E-2</v>
      </c>
      <c r="F86" s="56">
        <v>36.200000000000003</v>
      </c>
      <c r="G86" s="56">
        <v>25.4</v>
      </c>
      <c r="H86" s="56">
        <v>6703.0734300000004</v>
      </c>
      <c r="I86" s="56">
        <v>0.99984099999999998</v>
      </c>
      <c r="J86" s="56">
        <v>0.51985899999999996</v>
      </c>
      <c r="K86" s="279">
        <v>2414.9</v>
      </c>
      <c r="L86" s="56"/>
      <c r="M86" s="106" t="s">
        <v>20</v>
      </c>
      <c r="N86" s="275"/>
      <c r="O86" s="277" t="s">
        <v>19</v>
      </c>
      <c r="P86" s="322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5">
      <c r="A87" s="56" t="s">
        <v>951</v>
      </c>
      <c r="B87" s="56">
        <v>352</v>
      </c>
      <c r="C87" s="284">
        <v>45747.780555555553</v>
      </c>
      <c r="D87" s="56">
        <v>20</v>
      </c>
      <c r="E87" s="56">
        <v>9.2906100000000005E-2</v>
      </c>
      <c r="F87" s="56">
        <v>36.1</v>
      </c>
      <c r="G87" s="56">
        <v>25.4</v>
      </c>
      <c r="H87" s="56">
        <v>6619.5526099999997</v>
      </c>
      <c r="I87" s="56">
        <v>0.99987300000000001</v>
      </c>
      <c r="J87" s="56">
        <v>0.51336099999999996</v>
      </c>
      <c r="K87" s="279">
        <v>2384.6999999999998</v>
      </c>
      <c r="L87" s="56"/>
      <c r="M87" s="106" t="s">
        <v>20</v>
      </c>
      <c r="N87" s="275"/>
      <c r="O87" s="277" t="s">
        <v>19</v>
      </c>
      <c r="P87" s="322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5">
      <c r="A88" s="56" t="s">
        <v>961</v>
      </c>
      <c r="B88" s="56">
        <v>353</v>
      </c>
      <c r="C88" s="284">
        <v>45747.788194444445</v>
      </c>
      <c r="D88" s="56">
        <v>20</v>
      </c>
      <c r="E88" s="56">
        <v>9.2906100000000005E-2</v>
      </c>
      <c r="F88" s="56">
        <v>36.200000000000003</v>
      </c>
      <c r="G88" s="56">
        <v>25.4</v>
      </c>
      <c r="H88" s="56">
        <v>6751.9221100000004</v>
      </c>
      <c r="I88" s="56">
        <v>0.99991099999999999</v>
      </c>
      <c r="J88" s="56">
        <v>0.51770400000000005</v>
      </c>
      <c r="K88" s="279">
        <v>2404.9</v>
      </c>
      <c r="L88" s="56"/>
      <c r="M88" s="106" t="s">
        <v>20</v>
      </c>
      <c r="N88" s="275"/>
      <c r="O88" s="277" t="s">
        <v>19</v>
      </c>
      <c r="P88" s="322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5">
      <c r="A89" s="280" t="s">
        <v>962</v>
      </c>
      <c r="B89" s="280" t="s">
        <v>954</v>
      </c>
      <c r="C89" s="298">
        <v>45747.797222222223</v>
      </c>
      <c r="D89" s="280">
        <v>20</v>
      </c>
      <c r="E89" s="280">
        <v>9.2906100000000005E-2</v>
      </c>
      <c r="F89" s="280">
        <v>36.200000000000003</v>
      </c>
      <c r="G89" s="280">
        <v>25.4</v>
      </c>
      <c r="H89" s="280">
        <v>6771.9338200000002</v>
      </c>
      <c r="I89" s="280">
        <v>0.99983200000000005</v>
      </c>
      <c r="J89" s="280">
        <v>0.49421500000000002</v>
      </c>
      <c r="K89" s="321">
        <v>2262.4</v>
      </c>
      <c r="L89" s="56"/>
      <c r="M89" s="106" t="s">
        <v>20</v>
      </c>
      <c r="N89" s="275"/>
      <c r="O89" s="277" t="s">
        <v>19</v>
      </c>
      <c r="P89" s="322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5">
      <c r="A90" s="56" t="s">
        <v>901</v>
      </c>
      <c r="B90" s="56" t="s">
        <v>531</v>
      </c>
      <c r="C90" s="284">
        <v>45748.347222222219</v>
      </c>
      <c r="D90" s="56">
        <v>20</v>
      </c>
      <c r="E90" s="56">
        <v>9.2906000000000002E-2</v>
      </c>
      <c r="F90" s="56">
        <v>36.200000000000003</v>
      </c>
      <c r="G90" s="56">
        <v>25.4</v>
      </c>
      <c r="H90" s="56">
        <v>0</v>
      </c>
      <c r="I90" s="56">
        <v>0</v>
      </c>
      <c r="J90" s="56">
        <v>0</v>
      </c>
      <c r="K90" s="279">
        <v>0</v>
      </c>
      <c r="L90" s="56" t="s">
        <v>904</v>
      </c>
      <c r="M90" s="106" t="s">
        <v>20</v>
      </c>
      <c r="N90" s="275"/>
      <c r="O90" s="277" t="s">
        <v>610</v>
      </c>
      <c r="P90" s="322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5">
      <c r="A91" s="56" t="s">
        <v>952</v>
      </c>
      <c r="B91" s="56" t="s">
        <v>531</v>
      </c>
      <c r="C91" s="284">
        <v>45748.352083333331</v>
      </c>
      <c r="D91" s="56">
        <v>20</v>
      </c>
      <c r="E91" s="56">
        <v>9.2906000000000002E-2</v>
      </c>
      <c r="F91" s="56">
        <v>36.200000000000003</v>
      </c>
      <c r="G91" s="56">
        <v>25.4</v>
      </c>
      <c r="H91" s="56">
        <v>6741.9650000000001</v>
      </c>
      <c r="I91" s="56">
        <v>0.99968900000000005</v>
      </c>
      <c r="J91" s="56">
        <v>0.48759400000000003</v>
      </c>
      <c r="K91" s="279">
        <v>2265</v>
      </c>
      <c r="L91" s="56"/>
      <c r="M91" s="106" t="s">
        <v>20</v>
      </c>
      <c r="N91" s="275"/>
      <c r="O91" s="277" t="s">
        <v>610</v>
      </c>
      <c r="P91" s="322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5">
      <c r="A92" s="56" t="s">
        <v>953</v>
      </c>
      <c r="B92" s="56" t="s">
        <v>531</v>
      </c>
      <c r="C92" s="284">
        <v>45748.359722222223</v>
      </c>
      <c r="D92" s="56">
        <v>20</v>
      </c>
      <c r="E92" s="56">
        <v>9.2906000000000002E-2</v>
      </c>
      <c r="F92" s="56">
        <v>36.200000000000003</v>
      </c>
      <c r="G92" s="56">
        <v>25.4</v>
      </c>
      <c r="H92" s="56">
        <v>6775.2129999999997</v>
      </c>
      <c r="I92" s="56">
        <v>0.99963000000000002</v>
      </c>
      <c r="J92" s="56">
        <v>0.48709999999999998</v>
      </c>
      <c r="K92" s="279">
        <v>2262.6999999999998</v>
      </c>
      <c r="L92" s="56">
        <v>1.6226</v>
      </c>
      <c r="M92" s="106" t="s">
        <v>20</v>
      </c>
      <c r="N92" s="275"/>
      <c r="O92" s="277" t="s">
        <v>610</v>
      </c>
      <c r="P92" s="322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5">
      <c r="A93" s="56" t="s">
        <v>963</v>
      </c>
      <c r="B93" s="56" t="s">
        <v>531</v>
      </c>
      <c r="C93" s="284">
        <v>45748.365972222222</v>
      </c>
      <c r="D93" s="56">
        <v>20</v>
      </c>
      <c r="E93" s="56">
        <v>9.2906000000000002E-2</v>
      </c>
      <c r="F93" s="56">
        <v>36.200000000000003</v>
      </c>
      <c r="G93" s="56">
        <v>25.4</v>
      </c>
      <c r="H93" s="56">
        <v>6777.8950000000004</v>
      </c>
      <c r="I93" s="56">
        <v>0.99961500000000003</v>
      </c>
      <c r="J93" s="56">
        <v>0.48754999999999998</v>
      </c>
      <c r="K93" s="279">
        <v>2264.8000000000002</v>
      </c>
      <c r="L93" s="56">
        <v>1.4804999999999999</v>
      </c>
      <c r="M93" s="106" t="s">
        <v>20</v>
      </c>
      <c r="N93" s="275"/>
      <c r="O93" s="277" t="s">
        <v>610</v>
      </c>
      <c r="P93" s="322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5">
      <c r="A94" s="56" t="s">
        <v>964</v>
      </c>
      <c r="B94" s="56" t="s">
        <v>532</v>
      </c>
      <c r="C94" s="284">
        <v>45748.374305555553</v>
      </c>
      <c r="D94" s="56">
        <v>20</v>
      </c>
      <c r="E94" s="56">
        <v>9.2943999999999999E-2</v>
      </c>
      <c r="F94" s="56">
        <v>36.200000000000003</v>
      </c>
      <c r="G94" s="56">
        <v>25.4</v>
      </c>
      <c r="H94" s="56">
        <v>6790.74</v>
      </c>
      <c r="I94" s="56">
        <v>0.99963199999999997</v>
      </c>
      <c r="J94" s="56">
        <v>0.48648599999999997</v>
      </c>
      <c r="K94" s="279">
        <v>2260.8000000000002</v>
      </c>
      <c r="L94" s="56" t="s">
        <v>584</v>
      </c>
      <c r="M94" s="106" t="s">
        <v>20</v>
      </c>
      <c r="N94" s="275" t="s">
        <v>915</v>
      </c>
      <c r="O94" s="277" t="s">
        <v>19</v>
      </c>
      <c r="P94" s="322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56" t="s">
        <v>965</v>
      </c>
      <c r="B95" s="56" t="s">
        <v>532</v>
      </c>
      <c r="C95" s="284">
        <v>45748.381944444445</v>
      </c>
      <c r="D95" s="56">
        <v>20</v>
      </c>
      <c r="E95" s="56">
        <v>9.2935000000000004E-2</v>
      </c>
      <c r="F95" s="56">
        <v>36.200000000000003</v>
      </c>
      <c r="G95" s="56">
        <v>25.4</v>
      </c>
      <c r="H95" s="56">
        <v>6792.0889999999999</v>
      </c>
      <c r="I95" s="56">
        <v>0.99963500000000005</v>
      </c>
      <c r="J95" s="56">
        <v>0.48653400000000002</v>
      </c>
      <c r="K95" s="279">
        <v>2260.8000000000002</v>
      </c>
      <c r="L95" s="320">
        <v>0</v>
      </c>
      <c r="M95" s="106" t="s">
        <v>20</v>
      </c>
      <c r="N95" s="275" t="s">
        <v>915</v>
      </c>
      <c r="O95" s="277" t="s">
        <v>19</v>
      </c>
      <c r="P95" s="322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5">
      <c r="A96" s="56" t="s">
        <v>966</v>
      </c>
      <c r="B96" s="56" t="s">
        <v>532</v>
      </c>
      <c r="C96" s="284">
        <v>45748.388194444444</v>
      </c>
      <c r="D96" s="56">
        <v>20</v>
      </c>
      <c r="E96" s="56">
        <v>9.2940999999999996E-2</v>
      </c>
      <c r="F96" s="56">
        <v>36.200000000000003</v>
      </c>
      <c r="G96" s="56">
        <v>25.4</v>
      </c>
      <c r="H96" s="56">
        <v>6673.1769999999997</v>
      </c>
      <c r="I96" s="56">
        <v>0.99968299999999999</v>
      </c>
      <c r="J96" s="56">
        <v>0.48650300000000002</v>
      </c>
      <c r="K96" s="279">
        <v>2260.8000000000002</v>
      </c>
      <c r="L96" s="320">
        <v>0</v>
      </c>
      <c r="M96" s="106" t="s">
        <v>20</v>
      </c>
      <c r="N96" s="275" t="s">
        <v>915</v>
      </c>
      <c r="O96" s="277" t="s">
        <v>19</v>
      </c>
      <c r="P96" s="322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5">
      <c r="A97" s="56" t="s">
        <v>907</v>
      </c>
      <c r="B97" s="56" t="s">
        <v>531</v>
      </c>
      <c r="C97" s="284">
        <v>45748.397916666669</v>
      </c>
      <c r="D97" s="56">
        <v>20</v>
      </c>
      <c r="E97" s="56">
        <v>9.2938000000000007E-2</v>
      </c>
      <c r="F97" s="56">
        <v>36.200000000000003</v>
      </c>
      <c r="G97" s="56">
        <v>25.4</v>
      </c>
      <c r="H97" s="56">
        <v>6860.5950000000003</v>
      </c>
      <c r="I97" s="56">
        <v>0.99973900000000004</v>
      </c>
      <c r="J97" s="56">
        <v>0.48890299999999998</v>
      </c>
      <c r="K97" s="279">
        <v>2271.9</v>
      </c>
      <c r="L97" s="56"/>
      <c r="M97" s="106" t="s">
        <v>20</v>
      </c>
      <c r="N97" s="324" t="s">
        <v>967</v>
      </c>
      <c r="O97" s="277" t="s">
        <v>610</v>
      </c>
      <c r="P97" s="322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5">
      <c r="A98" s="280" t="s">
        <v>958</v>
      </c>
      <c r="B98" s="280">
        <v>274</v>
      </c>
      <c r="C98" s="285">
        <v>45748.404166666667</v>
      </c>
      <c r="D98" s="280">
        <v>20</v>
      </c>
      <c r="E98" s="280">
        <v>9.2938000000000007E-2</v>
      </c>
      <c r="F98" s="280">
        <v>36.1</v>
      </c>
      <c r="G98" s="280">
        <v>25.4</v>
      </c>
      <c r="H98" s="280">
        <v>0</v>
      </c>
      <c r="I98" s="280">
        <v>0</v>
      </c>
      <c r="J98" s="280">
        <v>0</v>
      </c>
      <c r="K98" s="321">
        <v>0</v>
      </c>
      <c r="L98" s="280" t="s">
        <v>904</v>
      </c>
      <c r="M98" s="325" t="s">
        <v>20</v>
      </c>
      <c r="N98" s="283" t="s">
        <v>968</v>
      </c>
      <c r="O98" s="322" t="s">
        <v>610</v>
      </c>
      <c r="P98" s="322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5">
      <c r="A99" s="280" t="s">
        <v>918</v>
      </c>
      <c r="B99" s="280" t="s">
        <v>532</v>
      </c>
      <c r="C99" s="285">
        <v>45748.408333333333</v>
      </c>
      <c r="D99" s="280">
        <v>20</v>
      </c>
      <c r="E99" s="280">
        <v>9.2938000000000007E-2</v>
      </c>
      <c r="F99" s="280">
        <v>33.1</v>
      </c>
      <c r="G99" s="280">
        <v>25.4</v>
      </c>
      <c r="H99" s="280">
        <v>6771.9889999999996</v>
      </c>
      <c r="I99" s="280">
        <v>0.99950899999999998</v>
      </c>
      <c r="J99" s="280">
        <v>0.48679499999999998</v>
      </c>
      <c r="K99" s="321">
        <v>2262.1</v>
      </c>
      <c r="L99" s="56"/>
      <c r="M99" s="106" t="s">
        <v>20</v>
      </c>
      <c r="N99" s="275"/>
      <c r="O99" s="277" t="s">
        <v>19</v>
      </c>
      <c r="P99" s="322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5">
      <c r="A100" s="56" t="s">
        <v>919</v>
      </c>
      <c r="B100" s="56">
        <v>274</v>
      </c>
      <c r="C100" s="284">
        <v>45748.415277777778</v>
      </c>
      <c r="D100" s="56">
        <v>20</v>
      </c>
      <c r="E100" s="56">
        <v>9.2938000000000007E-2</v>
      </c>
      <c r="F100" s="56">
        <v>36.1</v>
      </c>
      <c r="G100" s="56">
        <v>25.4</v>
      </c>
      <c r="H100" s="56">
        <v>6783.3649999999998</v>
      </c>
      <c r="I100" s="56">
        <v>0.99964399999999998</v>
      </c>
      <c r="J100" s="326">
        <v>0.51211399999999996</v>
      </c>
      <c r="K100" s="279">
        <v>2379.6999999999998</v>
      </c>
      <c r="L100" s="56"/>
      <c r="M100" s="106" t="s">
        <v>20</v>
      </c>
      <c r="N100" s="275"/>
      <c r="O100" s="277" t="s">
        <v>19</v>
      </c>
      <c r="P100" s="322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5">
      <c r="A101" s="56" t="s">
        <v>920</v>
      </c>
      <c r="B101" s="56">
        <v>275</v>
      </c>
      <c r="C101" s="284">
        <v>45748.421527777777</v>
      </c>
      <c r="D101" s="56">
        <v>20</v>
      </c>
      <c r="E101" s="56">
        <v>9.2938000000000007E-2</v>
      </c>
      <c r="F101" s="56">
        <v>36.1</v>
      </c>
      <c r="G101" s="56">
        <v>25.4</v>
      </c>
      <c r="H101" s="56">
        <v>6825.8860000000004</v>
      </c>
      <c r="I101" s="56">
        <v>0.99967099999999998</v>
      </c>
      <c r="J101" s="56">
        <v>0.51066599999999995</v>
      </c>
      <c r="K101" s="279">
        <v>2373</v>
      </c>
      <c r="L101" s="56"/>
      <c r="M101" s="106" t="s">
        <v>20</v>
      </c>
      <c r="N101" s="275"/>
      <c r="O101" s="277" t="s">
        <v>19</v>
      </c>
      <c r="P101" s="322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5">
      <c r="A102" s="56" t="s">
        <v>921</v>
      </c>
      <c r="B102" s="56">
        <v>339</v>
      </c>
      <c r="C102" s="284">
        <v>45748.429861111108</v>
      </c>
      <c r="D102" s="56">
        <v>20</v>
      </c>
      <c r="E102" s="56">
        <v>9.2938000000000007E-2</v>
      </c>
      <c r="F102" s="56">
        <v>36.1</v>
      </c>
      <c r="G102" s="56">
        <v>25.4</v>
      </c>
      <c r="H102" s="56">
        <v>6856.0919999999996</v>
      </c>
      <c r="I102" s="56">
        <v>0.99955899999999998</v>
      </c>
      <c r="J102" s="56">
        <v>0.51732999999999996</v>
      </c>
      <c r="K102" s="279">
        <v>2404</v>
      </c>
      <c r="L102" s="56"/>
      <c r="M102" s="106" t="s">
        <v>20</v>
      </c>
      <c r="N102" s="275"/>
      <c r="O102" s="277" t="s">
        <v>19</v>
      </c>
      <c r="P102" s="322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5">
      <c r="A103" s="56" t="s">
        <v>922</v>
      </c>
      <c r="B103" s="56">
        <v>340</v>
      </c>
      <c r="C103" s="284">
        <v>45748.443749999999</v>
      </c>
      <c r="D103" s="56">
        <v>20</v>
      </c>
      <c r="E103" s="56">
        <v>9.2938000000000007E-2</v>
      </c>
      <c r="F103" s="56">
        <v>36.200000000000003</v>
      </c>
      <c r="G103" s="56">
        <v>25.4</v>
      </c>
      <c r="H103" s="56">
        <v>6810.5820000000003</v>
      </c>
      <c r="I103" s="56">
        <v>0.99954200000000004</v>
      </c>
      <c r="J103" s="56">
        <v>0.517876</v>
      </c>
      <c r="K103" s="279">
        <v>2406.5</v>
      </c>
      <c r="L103" s="56"/>
      <c r="M103" s="106" t="s">
        <v>20</v>
      </c>
      <c r="N103" s="275"/>
      <c r="O103" s="277" t="s">
        <v>19</v>
      </c>
      <c r="P103" s="322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5">
      <c r="A104" s="56" t="s">
        <v>923</v>
      </c>
      <c r="B104" s="56">
        <v>261</v>
      </c>
      <c r="C104" s="284">
        <v>45748.450694444444</v>
      </c>
      <c r="D104" s="56">
        <v>20</v>
      </c>
      <c r="E104" s="56">
        <v>9.2938000000000007E-2</v>
      </c>
      <c r="F104" s="56">
        <v>36.200000000000003</v>
      </c>
      <c r="G104" s="56">
        <v>25.4</v>
      </c>
      <c r="H104" s="56">
        <v>6531.0290000000005</v>
      </c>
      <c r="I104" s="56">
        <v>0.99972700000000003</v>
      </c>
      <c r="J104" s="56">
        <v>0.516818</v>
      </c>
      <c r="K104" s="279">
        <v>2401.6</v>
      </c>
      <c r="L104" s="56"/>
      <c r="M104" s="106" t="s">
        <v>20</v>
      </c>
      <c r="N104" s="275"/>
      <c r="O104" s="277" t="s">
        <v>19</v>
      </c>
      <c r="P104" s="322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5">
      <c r="A105" s="56" t="s">
        <v>924</v>
      </c>
      <c r="B105" s="56">
        <v>262</v>
      </c>
      <c r="C105" s="284">
        <v>45748.460416666669</v>
      </c>
      <c r="D105" s="56">
        <v>20</v>
      </c>
      <c r="E105" s="56">
        <v>9.2938000000000007E-2</v>
      </c>
      <c r="F105" s="56">
        <v>36.200000000000003</v>
      </c>
      <c r="G105" s="56">
        <v>25.4</v>
      </c>
      <c r="H105" s="56">
        <v>6597.0590000000002</v>
      </c>
      <c r="I105" s="56">
        <v>0.99963000000000002</v>
      </c>
      <c r="J105" s="56">
        <v>0.51731400000000005</v>
      </c>
      <c r="K105" s="279">
        <v>2403.9</v>
      </c>
      <c r="L105" s="56"/>
      <c r="M105" s="106" t="s">
        <v>20</v>
      </c>
      <c r="N105" s="275"/>
      <c r="O105" s="277" t="s">
        <v>19</v>
      </c>
      <c r="P105" s="322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5">
      <c r="A106" s="56" t="s">
        <v>925</v>
      </c>
      <c r="B106" s="56">
        <v>287</v>
      </c>
      <c r="C106" s="284">
        <v>45748.466666666667</v>
      </c>
      <c r="D106" s="56">
        <v>20</v>
      </c>
      <c r="E106" s="56">
        <v>9.2938000000000007E-2</v>
      </c>
      <c r="F106" s="56">
        <v>36.1</v>
      </c>
      <c r="G106" s="56">
        <v>25.4</v>
      </c>
      <c r="H106" s="56">
        <v>6618.5630000000001</v>
      </c>
      <c r="I106" s="56">
        <v>0.99966200000000005</v>
      </c>
      <c r="J106" s="56">
        <v>0.51838399999999996</v>
      </c>
      <c r="K106" s="279">
        <v>2408.9</v>
      </c>
      <c r="L106" s="56"/>
      <c r="M106" s="106" t="s">
        <v>20</v>
      </c>
      <c r="N106" s="275"/>
      <c r="O106" s="277" t="s">
        <v>19</v>
      </c>
      <c r="P106" s="322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5">
      <c r="A107" s="56" t="s">
        <v>926</v>
      </c>
      <c r="B107" s="56">
        <v>288</v>
      </c>
      <c r="C107" s="284">
        <v>45748.472222222219</v>
      </c>
      <c r="D107" s="56">
        <v>20</v>
      </c>
      <c r="E107" s="56">
        <v>9.2938000000000007E-2</v>
      </c>
      <c r="F107" s="56">
        <v>36.299999999999997</v>
      </c>
      <c r="G107" s="56">
        <v>25.4</v>
      </c>
      <c r="H107" s="56">
        <v>6639.8410000000003</v>
      </c>
      <c r="I107" s="56">
        <v>0.99963299999999999</v>
      </c>
      <c r="J107" s="56">
        <v>0.52121099999999998</v>
      </c>
      <c r="K107" s="279">
        <v>2422</v>
      </c>
      <c r="L107" s="56"/>
      <c r="M107" s="106" t="s">
        <v>20</v>
      </c>
      <c r="N107" s="275"/>
      <c r="O107" s="277" t="s">
        <v>19</v>
      </c>
      <c r="P107" s="322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5">
      <c r="A108" s="56" t="s">
        <v>927</v>
      </c>
      <c r="B108" s="56">
        <v>365</v>
      </c>
      <c r="C108" s="284">
        <v>45748.477777777778</v>
      </c>
      <c r="D108" s="56">
        <v>20</v>
      </c>
      <c r="E108" s="56">
        <v>9.2938000000000007E-2</v>
      </c>
      <c r="F108" s="56">
        <v>36.299999999999997</v>
      </c>
      <c r="G108" s="56">
        <v>25.4</v>
      </c>
      <c r="H108" s="56">
        <v>6685.6509999999998</v>
      </c>
      <c r="I108" s="56">
        <v>0.99960800000000005</v>
      </c>
      <c r="J108" s="56">
        <v>0.51727999999999996</v>
      </c>
      <c r="K108" s="279">
        <v>2403.6999999999998</v>
      </c>
      <c r="L108" s="56"/>
      <c r="M108" s="106" t="s">
        <v>20</v>
      </c>
      <c r="N108" s="275"/>
      <c r="O108" s="277" t="s">
        <v>19</v>
      </c>
      <c r="P108" s="322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5">
      <c r="A109" s="56" t="s">
        <v>928</v>
      </c>
      <c r="B109" s="56">
        <v>366</v>
      </c>
      <c r="C109" s="284">
        <v>45748.484027777777</v>
      </c>
      <c r="D109" s="56">
        <v>20</v>
      </c>
      <c r="E109" s="56">
        <v>9.2938000000000007E-2</v>
      </c>
      <c r="F109" s="56">
        <v>36.299999999999997</v>
      </c>
      <c r="G109" s="56">
        <v>25.4</v>
      </c>
      <c r="H109" s="56">
        <v>6687.1270000000004</v>
      </c>
      <c r="I109" s="56">
        <v>0.99963800000000003</v>
      </c>
      <c r="J109" s="56">
        <v>0.51967300000000005</v>
      </c>
      <c r="K109" s="279">
        <v>2414.9</v>
      </c>
      <c r="L109" s="56"/>
      <c r="M109" s="106" t="s">
        <v>20</v>
      </c>
      <c r="N109" s="275"/>
      <c r="O109" s="277" t="s">
        <v>19</v>
      </c>
      <c r="P109" s="322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5">
      <c r="A110" s="280" t="s">
        <v>929</v>
      </c>
      <c r="B110" s="280" t="s">
        <v>532</v>
      </c>
      <c r="C110" s="285">
        <v>45748.490972222222</v>
      </c>
      <c r="D110" s="280">
        <v>20</v>
      </c>
      <c r="E110" s="280">
        <v>9.2938000000000007E-2</v>
      </c>
      <c r="F110" s="280">
        <v>33.1</v>
      </c>
      <c r="G110" s="280">
        <v>25.4</v>
      </c>
      <c r="H110" s="280">
        <v>6720.5559999999996</v>
      </c>
      <c r="I110" s="280">
        <v>0.99958199999999997</v>
      </c>
      <c r="J110" s="280">
        <v>0.48615000000000003</v>
      </c>
      <c r="K110" s="321">
        <v>2259.1</v>
      </c>
      <c r="L110" s="56"/>
      <c r="M110" s="106" t="s">
        <v>20</v>
      </c>
      <c r="N110" s="275"/>
      <c r="O110" s="277" t="s">
        <v>19</v>
      </c>
      <c r="P110" s="322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5">
      <c r="A111" s="56" t="s">
        <v>930</v>
      </c>
      <c r="B111" s="56">
        <v>378</v>
      </c>
      <c r="C111" s="284">
        <v>45748.543055555558</v>
      </c>
      <c r="D111" s="56">
        <v>20</v>
      </c>
      <c r="E111" s="56">
        <v>9.2938000000000007E-2</v>
      </c>
      <c r="F111" s="56">
        <v>36.200000000000003</v>
      </c>
      <c r="G111" s="56">
        <v>25.4</v>
      </c>
      <c r="H111" s="56">
        <v>6708.7190000000001</v>
      </c>
      <c r="I111" s="56">
        <v>0.99946000000000002</v>
      </c>
      <c r="J111" s="56">
        <v>0.51752299999999996</v>
      </c>
      <c r="K111" s="279">
        <v>2404.9</v>
      </c>
      <c r="L111" s="56"/>
      <c r="M111" s="106" t="s">
        <v>20</v>
      </c>
      <c r="N111" s="275"/>
      <c r="O111" s="277" t="s">
        <v>19</v>
      </c>
      <c r="P111" s="322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5">
      <c r="A112" s="280" t="s">
        <v>931</v>
      </c>
      <c r="B112" s="280" t="s">
        <v>532</v>
      </c>
      <c r="C112" s="280" t="s">
        <v>969</v>
      </c>
      <c r="D112" s="280">
        <v>20</v>
      </c>
      <c r="E112" s="280">
        <v>9.2938000000000007E-2</v>
      </c>
      <c r="F112" s="280">
        <v>33.1</v>
      </c>
      <c r="G112" s="280">
        <v>25.4</v>
      </c>
      <c r="H112" s="280">
        <v>6722.0439999999999</v>
      </c>
      <c r="I112" s="280">
        <v>0.999803</v>
      </c>
      <c r="J112" s="280">
        <v>0.48615000000000003</v>
      </c>
      <c r="K112" s="321">
        <v>2259.6</v>
      </c>
      <c r="L112" s="56"/>
      <c r="M112" s="106" t="s">
        <v>20</v>
      </c>
      <c r="N112" s="275"/>
      <c r="O112" s="277" t="s">
        <v>19</v>
      </c>
      <c r="P112" s="322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x14ac:dyDescent="0.25">
      <c r="A113" s="56" t="s">
        <v>901</v>
      </c>
      <c r="B113" s="56" t="s">
        <v>902</v>
      </c>
      <c r="C113" s="284">
        <v>45757.405555555553</v>
      </c>
      <c r="D113" s="56">
        <v>20</v>
      </c>
      <c r="E113" s="56">
        <v>9.2938000000000007E-2</v>
      </c>
      <c r="F113" s="56" t="s">
        <v>903</v>
      </c>
      <c r="G113" s="56">
        <v>25.4</v>
      </c>
      <c r="H113" s="56">
        <v>7819.665</v>
      </c>
      <c r="I113" s="56">
        <v>0.99981200000000003</v>
      </c>
      <c r="J113" s="56">
        <v>0.60803300000000005</v>
      </c>
      <c r="K113" s="279">
        <v>2825.5</v>
      </c>
      <c r="L113" s="56"/>
      <c r="M113" s="106" t="s">
        <v>970</v>
      </c>
      <c r="N113" s="275"/>
      <c r="O113" s="277" t="s">
        <v>19</v>
      </c>
      <c r="P113" s="322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5">
      <c r="A114" s="56" t="s">
        <v>952</v>
      </c>
      <c r="B114" s="56" t="s">
        <v>902</v>
      </c>
      <c r="C114" s="284">
        <v>45757.413194444445</v>
      </c>
      <c r="D114" s="56">
        <v>20</v>
      </c>
      <c r="E114" s="56">
        <v>9.2938000000000007E-2</v>
      </c>
      <c r="F114" s="56" t="s">
        <v>903</v>
      </c>
      <c r="G114" s="56">
        <v>25.4</v>
      </c>
      <c r="H114" s="56">
        <v>7872.1660000000002</v>
      </c>
      <c r="I114" s="56">
        <v>0.99987099999999995</v>
      </c>
      <c r="J114" s="56">
        <v>0.60542899999999999</v>
      </c>
      <c r="K114" s="279">
        <v>2813.4</v>
      </c>
      <c r="L114" s="56">
        <v>8.5551999999999992</v>
      </c>
      <c r="M114" s="106" t="s">
        <v>970</v>
      </c>
      <c r="N114" s="275"/>
      <c r="O114" s="277" t="s">
        <v>19</v>
      </c>
      <c r="P114" s="322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5">
      <c r="A115" s="56" t="s">
        <v>953</v>
      </c>
      <c r="B115" s="56" t="s">
        <v>902</v>
      </c>
      <c r="C115" s="284">
        <v>45757.420138888891</v>
      </c>
      <c r="D115" s="56">
        <v>20</v>
      </c>
      <c r="E115" s="56">
        <v>9.2938000000000007E-2</v>
      </c>
      <c r="F115" s="56" t="s">
        <v>903</v>
      </c>
      <c r="G115" s="56">
        <v>25.4</v>
      </c>
      <c r="H115" s="56">
        <v>7892.9369999999999</v>
      </c>
      <c r="I115" s="56">
        <v>0.99983599999999995</v>
      </c>
      <c r="J115" s="56">
        <v>0.60716700000000001</v>
      </c>
      <c r="K115" s="279">
        <v>2821.4</v>
      </c>
      <c r="L115" s="56">
        <v>5.7089999999999996</v>
      </c>
      <c r="M115" s="106" t="s">
        <v>970</v>
      </c>
      <c r="N115" s="275"/>
      <c r="O115" s="277" t="s">
        <v>19</v>
      </c>
      <c r="P115" s="322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56" t="s">
        <v>963</v>
      </c>
      <c r="B116" s="56" t="s">
        <v>902</v>
      </c>
      <c r="C116" s="284">
        <v>45757.426388888889</v>
      </c>
      <c r="D116" s="56">
        <v>20</v>
      </c>
      <c r="E116" s="56">
        <v>9.2938000000000007E-2</v>
      </c>
      <c r="F116" s="56" t="s">
        <v>903</v>
      </c>
      <c r="G116" s="56">
        <v>25.4</v>
      </c>
      <c r="H116" s="56">
        <v>7928.1080000000002</v>
      </c>
      <c r="I116" s="56">
        <v>0.99986299999999995</v>
      </c>
      <c r="J116" s="56">
        <v>0.60722100000000001</v>
      </c>
      <c r="K116" s="279">
        <v>2821.7</v>
      </c>
      <c r="L116" s="56">
        <v>0.18</v>
      </c>
      <c r="M116" s="106" t="s">
        <v>970</v>
      </c>
      <c r="N116" s="275"/>
      <c r="O116" s="277" t="s">
        <v>19</v>
      </c>
      <c r="P116" s="322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5">
      <c r="A117" s="56" t="s">
        <v>971</v>
      </c>
      <c r="B117" s="56" t="s">
        <v>902</v>
      </c>
      <c r="C117" s="284">
        <v>45757.433333333334</v>
      </c>
      <c r="D117" s="56">
        <v>20</v>
      </c>
      <c r="E117" s="56">
        <v>9.2938000000000007E-2</v>
      </c>
      <c r="F117" s="56" t="s">
        <v>903</v>
      </c>
      <c r="G117" s="56">
        <v>25.4</v>
      </c>
      <c r="H117" s="56">
        <v>7939.7139999999999</v>
      </c>
      <c r="I117" s="56">
        <v>0.99986399999999998</v>
      </c>
      <c r="J117" s="56">
        <v>0.60661900000000002</v>
      </c>
      <c r="K117" s="279">
        <v>2818.9</v>
      </c>
      <c r="L117" s="56">
        <v>1.9785999999999999</v>
      </c>
      <c r="M117" s="106" t="s">
        <v>970</v>
      </c>
      <c r="N117" s="275"/>
      <c r="O117" s="277" t="s">
        <v>19</v>
      </c>
      <c r="P117" s="322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5">
      <c r="A118" s="56" t="s">
        <v>964</v>
      </c>
      <c r="B118" s="56" t="s">
        <v>534</v>
      </c>
      <c r="C118" s="284">
        <v>45757.443055555559</v>
      </c>
      <c r="D118" s="56">
        <v>20</v>
      </c>
      <c r="E118" s="56">
        <v>9.2941999999999997E-2</v>
      </c>
      <c r="F118" s="56">
        <v>1021.8</v>
      </c>
      <c r="G118" s="56">
        <v>25.4</v>
      </c>
      <c r="H118" s="56">
        <v>6496.1909999999998</v>
      </c>
      <c r="I118" s="56">
        <v>0.99953400000000003</v>
      </c>
      <c r="J118" s="56">
        <v>0.48644199999999999</v>
      </c>
      <c r="K118" s="279">
        <v>2260.5</v>
      </c>
      <c r="L118" s="56" t="s">
        <v>584</v>
      </c>
      <c r="M118" s="106" t="s">
        <v>970</v>
      </c>
      <c r="N118" s="275" t="s">
        <v>915</v>
      </c>
      <c r="O118" s="277" t="s">
        <v>610</v>
      </c>
      <c r="P118" s="322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56" t="s">
        <v>965</v>
      </c>
      <c r="B119" s="56" t="s">
        <v>534</v>
      </c>
      <c r="C119" s="284">
        <v>45757.449305555558</v>
      </c>
      <c r="D119" s="56">
        <v>20</v>
      </c>
      <c r="E119" s="56">
        <v>9.3178999999999998E-2</v>
      </c>
      <c r="F119" s="56">
        <v>1021.8</v>
      </c>
      <c r="G119" s="56">
        <v>25.4</v>
      </c>
      <c r="H119" s="56">
        <v>6499.47</v>
      </c>
      <c r="I119" s="56">
        <v>0.99962499999999999</v>
      </c>
      <c r="J119" s="56">
        <v>0.485203</v>
      </c>
      <c r="K119" s="279">
        <v>2260.5</v>
      </c>
      <c r="L119" s="320">
        <v>2.9999999999999997E-4</v>
      </c>
      <c r="M119" s="106" t="s">
        <v>970</v>
      </c>
      <c r="N119" s="275" t="s">
        <v>915</v>
      </c>
      <c r="O119" s="277" t="s">
        <v>610</v>
      </c>
      <c r="P119" s="322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5">
      <c r="A120" s="56" t="s">
        <v>966</v>
      </c>
      <c r="B120" s="56" t="s">
        <v>534</v>
      </c>
      <c r="C120" s="284">
        <v>45757.455555555556</v>
      </c>
      <c r="D120" s="56">
        <v>20</v>
      </c>
      <c r="E120" s="56">
        <v>9.3136999999999998E-2</v>
      </c>
      <c r="F120" s="56">
        <v>1021.8</v>
      </c>
      <c r="G120" s="56">
        <v>25.4</v>
      </c>
      <c r="H120" s="56">
        <v>6505.567</v>
      </c>
      <c r="I120" s="56">
        <v>0.99961599999999995</v>
      </c>
      <c r="J120" s="56">
        <v>0.48542299999999999</v>
      </c>
      <c r="K120" s="279">
        <v>2260.5</v>
      </c>
      <c r="L120" s="320">
        <v>2.9999999999999997E-4</v>
      </c>
      <c r="M120" s="106" t="s">
        <v>970</v>
      </c>
      <c r="N120" s="275" t="s">
        <v>915</v>
      </c>
      <c r="O120" s="277" t="s">
        <v>610</v>
      </c>
      <c r="P120" s="322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5">
      <c r="A121" s="56" t="s">
        <v>907</v>
      </c>
      <c r="B121" s="56" t="s">
        <v>534</v>
      </c>
      <c r="C121" s="284">
        <v>45757.463888888888</v>
      </c>
      <c r="D121" s="56">
        <v>20</v>
      </c>
      <c r="E121" s="56">
        <v>9.3158000000000005E-2</v>
      </c>
      <c r="F121" s="56">
        <v>33.1</v>
      </c>
      <c r="G121" s="56">
        <v>25.4</v>
      </c>
      <c r="H121" s="56">
        <v>6592.1289999999999</v>
      </c>
      <c r="I121" s="56">
        <v>0.99954600000000005</v>
      </c>
      <c r="J121" s="56">
        <v>0.48744300000000002</v>
      </c>
      <c r="K121" s="279">
        <v>2270.5</v>
      </c>
      <c r="L121" s="56"/>
      <c r="M121" s="106" t="s">
        <v>970</v>
      </c>
      <c r="N121" s="275"/>
      <c r="O121" s="277" t="s">
        <v>610</v>
      </c>
      <c r="P121" s="322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5">
      <c r="A122" s="56" t="s">
        <v>958</v>
      </c>
      <c r="B122" s="56" t="s">
        <v>537</v>
      </c>
      <c r="C122" s="284">
        <v>45757.472916666666</v>
      </c>
      <c r="D122" s="56">
        <v>20</v>
      </c>
      <c r="E122" s="56">
        <v>9.3158000000000005E-2</v>
      </c>
      <c r="F122" s="56">
        <v>33.1</v>
      </c>
      <c r="G122" s="56">
        <v>25.4</v>
      </c>
      <c r="H122" s="56">
        <v>6528.2920000000004</v>
      </c>
      <c r="I122" s="56">
        <v>0.99961699999999998</v>
      </c>
      <c r="J122" s="56">
        <v>0.487759</v>
      </c>
      <c r="K122" s="279">
        <v>2271.9</v>
      </c>
      <c r="L122" s="56"/>
      <c r="M122" s="106" t="s">
        <v>970</v>
      </c>
      <c r="N122" s="275"/>
      <c r="O122" s="277" t="s">
        <v>610</v>
      </c>
      <c r="P122" s="322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5">
      <c r="A123" s="56" t="s">
        <v>972</v>
      </c>
      <c r="B123" s="56" t="s">
        <v>537</v>
      </c>
      <c r="C123" s="284">
        <v>45757.484027777777</v>
      </c>
      <c r="D123" s="56">
        <v>20</v>
      </c>
      <c r="E123" s="56">
        <v>9.2537999999999995E-2</v>
      </c>
      <c r="F123" s="56">
        <v>33.1</v>
      </c>
      <c r="G123" s="56">
        <v>25.4</v>
      </c>
      <c r="H123" s="56">
        <v>6585.866</v>
      </c>
      <c r="I123" s="56">
        <v>0.99964299999999995</v>
      </c>
      <c r="J123" s="56">
        <v>0.488624</v>
      </c>
      <c r="K123" s="279">
        <v>2260.8000000000002</v>
      </c>
      <c r="L123" s="56" t="s">
        <v>904</v>
      </c>
      <c r="M123" s="106" t="s">
        <v>970</v>
      </c>
      <c r="N123" s="275" t="s">
        <v>915</v>
      </c>
      <c r="O123" s="277" t="s">
        <v>610</v>
      </c>
      <c r="P123" s="322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5">
      <c r="A124" s="56" t="s">
        <v>973</v>
      </c>
      <c r="B124" s="56" t="s">
        <v>537</v>
      </c>
      <c r="C124" s="284">
        <v>45757.490277777775</v>
      </c>
      <c r="D124" s="56">
        <v>20</v>
      </c>
      <c r="E124" s="56">
        <v>9.2537999999999995E-2</v>
      </c>
      <c r="F124" s="56">
        <v>33.1</v>
      </c>
      <c r="G124" s="56">
        <v>25.4</v>
      </c>
      <c r="H124" s="56">
        <v>6506.07</v>
      </c>
      <c r="I124" s="56">
        <v>0.99964299999999995</v>
      </c>
      <c r="J124" s="56">
        <v>0.488624</v>
      </c>
      <c r="K124" s="279">
        <v>2260.8000000000002</v>
      </c>
      <c r="L124" s="56" t="s">
        <v>904</v>
      </c>
      <c r="M124" s="106" t="s">
        <v>970</v>
      </c>
      <c r="N124" s="275" t="s">
        <v>915</v>
      </c>
      <c r="O124" s="277" t="s">
        <v>610</v>
      </c>
      <c r="P124" s="322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5">
      <c r="A125" s="56" t="s">
        <v>974</v>
      </c>
      <c r="B125" s="56" t="s">
        <v>537</v>
      </c>
      <c r="C125" s="284">
        <v>45757.496527777781</v>
      </c>
      <c r="D125" s="56">
        <v>20</v>
      </c>
      <c r="E125" s="56">
        <v>9.2795000000000002E-2</v>
      </c>
      <c r="F125" s="56">
        <v>33.1</v>
      </c>
      <c r="G125" s="56">
        <v>25.4</v>
      </c>
      <c r="H125" s="56">
        <v>6552.7529999999997</v>
      </c>
      <c r="I125" s="56">
        <v>0.99960000000000004</v>
      </c>
      <c r="J125" s="56">
        <v>0.48726999999999998</v>
      </c>
      <c r="K125" s="279">
        <v>2260.8000000000002</v>
      </c>
      <c r="L125" s="56" t="s">
        <v>904</v>
      </c>
      <c r="M125" s="106" t="s">
        <v>970</v>
      </c>
      <c r="N125" s="275" t="s">
        <v>915</v>
      </c>
      <c r="O125" s="277" t="s">
        <v>610</v>
      </c>
      <c r="P125" s="322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5">
      <c r="A126" s="56" t="s">
        <v>975</v>
      </c>
      <c r="B126" s="56" t="s">
        <v>537</v>
      </c>
      <c r="C126" s="284">
        <v>45757.50277777778</v>
      </c>
      <c r="D126" s="56">
        <v>20</v>
      </c>
      <c r="E126" s="56">
        <v>9.2572000000000002E-2</v>
      </c>
      <c r="F126" s="56">
        <v>33.1</v>
      </c>
      <c r="G126" s="56">
        <v>25.4</v>
      </c>
      <c r="H126" s="56">
        <v>6554.3459999999995</v>
      </c>
      <c r="I126" s="56">
        <v>0.99961999999999995</v>
      </c>
      <c r="J126" s="56">
        <v>0.48844100000000001</v>
      </c>
      <c r="K126" s="279">
        <v>2260.8000000000002</v>
      </c>
      <c r="L126" s="56" t="s">
        <v>904</v>
      </c>
      <c r="M126" s="106" t="s">
        <v>970</v>
      </c>
      <c r="N126" s="275" t="s">
        <v>915</v>
      </c>
      <c r="O126" s="277" t="s">
        <v>610</v>
      </c>
      <c r="P126" s="322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5">
      <c r="A127" s="56" t="s">
        <v>976</v>
      </c>
      <c r="B127" s="56" t="s">
        <v>537</v>
      </c>
      <c r="C127" s="284">
        <v>45757.520833333336</v>
      </c>
      <c r="D127" s="56">
        <v>20</v>
      </c>
      <c r="E127" s="56">
        <v>9.2688000000000006E-2</v>
      </c>
      <c r="F127" s="56">
        <v>33.1</v>
      </c>
      <c r="G127" s="56">
        <v>25.4</v>
      </c>
      <c r="H127" s="56">
        <v>6486.625</v>
      </c>
      <c r="I127" s="56">
        <v>0.99951400000000001</v>
      </c>
      <c r="J127" s="56">
        <v>0.48782999999999999</v>
      </c>
      <c r="K127" s="279">
        <v>2260.8000000000002</v>
      </c>
      <c r="L127" s="56" t="s">
        <v>904</v>
      </c>
      <c r="M127" s="106" t="s">
        <v>970</v>
      </c>
      <c r="N127" s="275" t="s">
        <v>915</v>
      </c>
      <c r="O127" s="277" t="s">
        <v>610</v>
      </c>
      <c r="P127" s="322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5">
      <c r="A128" s="56" t="s">
        <v>977</v>
      </c>
      <c r="B128" s="56" t="s">
        <v>537</v>
      </c>
      <c r="C128" s="284">
        <v>45757.52847222222</v>
      </c>
      <c r="D128" s="56">
        <v>20</v>
      </c>
      <c r="E128" s="56">
        <v>9.2759999999999995E-2</v>
      </c>
      <c r="F128" s="56">
        <v>33.1</v>
      </c>
      <c r="G128" s="56">
        <v>25.4</v>
      </c>
      <c r="H128" s="56">
        <v>6461.5</v>
      </c>
      <c r="I128" s="56">
        <v>0.99963299999999999</v>
      </c>
      <c r="J128" s="56">
        <v>0.48745100000000002</v>
      </c>
      <c r="K128" s="279">
        <v>2260.8000000000002</v>
      </c>
      <c r="L128" s="56" t="s">
        <v>904</v>
      </c>
      <c r="M128" s="106" t="s">
        <v>970</v>
      </c>
      <c r="N128" s="275" t="s">
        <v>915</v>
      </c>
      <c r="O128" s="277" t="s">
        <v>610</v>
      </c>
      <c r="P128" s="322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5">
      <c r="A129" s="56" t="s">
        <v>978</v>
      </c>
      <c r="B129" s="56" t="s">
        <v>537</v>
      </c>
      <c r="C129" s="284">
        <v>45757.535416666666</v>
      </c>
      <c r="D129" s="56">
        <v>20</v>
      </c>
      <c r="E129" s="56">
        <v>9.3618000000000007E-2</v>
      </c>
      <c r="F129" s="56">
        <v>33.1</v>
      </c>
      <c r="G129" s="56">
        <v>25.4</v>
      </c>
      <c r="H129" s="56">
        <v>6579.2820000000002</v>
      </c>
      <c r="I129" s="56">
        <v>0.99947200000000003</v>
      </c>
      <c r="J129" s="56">
        <v>0.48298200000000002</v>
      </c>
      <c r="K129" s="279">
        <v>2260.8000000000002</v>
      </c>
      <c r="L129" s="56" t="s">
        <v>904</v>
      </c>
      <c r="M129" s="106" t="s">
        <v>970</v>
      </c>
      <c r="N129" s="275" t="s">
        <v>915</v>
      </c>
      <c r="O129" s="277" t="s">
        <v>610</v>
      </c>
      <c r="P129" s="327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5">
      <c r="A130" s="56" t="s">
        <v>979</v>
      </c>
      <c r="B130" s="56" t="s">
        <v>537</v>
      </c>
      <c r="C130" s="284">
        <v>45757.541666666664</v>
      </c>
      <c r="D130" s="56">
        <v>20</v>
      </c>
      <c r="E130" s="56">
        <v>9.4080999999999998E-2</v>
      </c>
      <c r="F130" s="56">
        <v>33.1</v>
      </c>
      <c r="G130" s="56">
        <v>25.4</v>
      </c>
      <c r="H130" s="56">
        <v>6639.3710000000001</v>
      </c>
      <c r="I130" s="56">
        <v>0.99957099999999999</v>
      </c>
      <c r="J130" s="56">
        <v>0.48060700000000001</v>
      </c>
      <c r="K130" s="279">
        <v>2260.8000000000002</v>
      </c>
      <c r="L130" s="56" t="s">
        <v>904</v>
      </c>
      <c r="M130" s="106" t="s">
        <v>970</v>
      </c>
      <c r="N130" s="275" t="s">
        <v>915</v>
      </c>
      <c r="O130" s="277" t="s">
        <v>610</v>
      </c>
      <c r="P130" s="327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5">
      <c r="A131" s="56" t="s">
        <v>980</v>
      </c>
      <c r="B131" s="56" t="s">
        <v>537</v>
      </c>
      <c r="C131" s="284">
        <v>45757.572916666664</v>
      </c>
      <c r="D131" s="56">
        <v>20</v>
      </c>
      <c r="E131" s="56">
        <v>9.5866000000000007E-2</v>
      </c>
      <c r="F131" s="56">
        <v>33.1</v>
      </c>
      <c r="G131" s="56">
        <v>25.4</v>
      </c>
      <c r="H131" s="56">
        <v>6933.6440000000002</v>
      </c>
      <c r="I131" s="56">
        <v>0.99953800000000004</v>
      </c>
      <c r="J131" s="56">
        <v>0.47160299999999999</v>
      </c>
      <c r="K131" s="279">
        <v>2260.5</v>
      </c>
      <c r="L131" s="56" t="s">
        <v>584</v>
      </c>
      <c r="M131" s="106" t="s">
        <v>970</v>
      </c>
      <c r="N131" s="275" t="s">
        <v>915</v>
      </c>
      <c r="O131" s="277" t="s">
        <v>19</v>
      </c>
      <c r="P131" s="327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5">
      <c r="A132" s="56" t="s">
        <v>981</v>
      </c>
      <c r="B132" s="56" t="s">
        <v>537</v>
      </c>
      <c r="C132" s="284">
        <v>45757.578472222223</v>
      </c>
      <c r="D132" s="56">
        <v>20</v>
      </c>
      <c r="E132" s="56">
        <v>9.7312999999999997E-2</v>
      </c>
      <c r="F132" s="56">
        <v>33.1</v>
      </c>
      <c r="G132" s="56">
        <v>25.4</v>
      </c>
      <c r="H132" s="56">
        <v>6944.6030000000001</v>
      </c>
      <c r="I132" s="56">
        <v>0.99959399999999998</v>
      </c>
      <c r="J132" s="56">
        <v>0.464592</v>
      </c>
      <c r="K132" s="279">
        <v>2260.5</v>
      </c>
      <c r="L132" s="56" t="s">
        <v>584</v>
      </c>
      <c r="M132" s="106" t="s">
        <v>970</v>
      </c>
      <c r="N132" s="275" t="s">
        <v>915</v>
      </c>
      <c r="O132" s="277" t="s">
        <v>19</v>
      </c>
      <c r="P132" s="327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5">
      <c r="A133" s="56" t="s">
        <v>982</v>
      </c>
      <c r="B133" s="56" t="s">
        <v>537</v>
      </c>
      <c r="C133" s="284">
        <v>45757.584027777775</v>
      </c>
      <c r="D133" s="56">
        <v>20</v>
      </c>
      <c r="E133" s="56">
        <v>9.7655000000000006E-2</v>
      </c>
      <c r="F133" s="56">
        <v>33.1</v>
      </c>
      <c r="G133" s="56">
        <v>25.4</v>
      </c>
      <c r="H133" s="56">
        <v>6935.183</v>
      </c>
      <c r="I133" s="56">
        <v>0.99963800000000003</v>
      </c>
      <c r="J133" s="56">
        <v>0.46296599999999999</v>
      </c>
      <c r="K133" s="279">
        <v>2260.5</v>
      </c>
      <c r="L133" s="320">
        <v>5.9999999999999995E-4</v>
      </c>
      <c r="M133" s="106" t="s">
        <v>970</v>
      </c>
      <c r="N133" s="275" t="s">
        <v>915</v>
      </c>
      <c r="O133" s="277" t="s">
        <v>19</v>
      </c>
      <c r="P133" s="327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5">
      <c r="A134" s="56" t="s">
        <v>983</v>
      </c>
      <c r="B134" s="56" t="s">
        <v>537</v>
      </c>
      <c r="C134" s="284">
        <v>45757.590277777781</v>
      </c>
      <c r="D134" s="56">
        <v>20</v>
      </c>
      <c r="E134" s="56">
        <v>9.7568000000000002E-2</v>
      </c>
      <c r="F134" s="56">
        <v>33.1</v>
      </c>
      <c r="G134" s="56">
        <v>25.4</v>
      </c>
      <c r="H134" s="56">
        <v>6970.9539999999997</v>
      </c>
      <c r="I134" s="56">
        <v>0.99960000000000004</v>
      </c>
      <c r="J134" s="56">
        <v>0.46337600000000001</v>
      </c>
      <c r="K134" s="279">
        <v>2260.5</v>
      </c>
      <c r="L134" s="320">
        <v>5.9999999999999995E-4</v>
      </c>
      <c r="M134" s="106" t="s">
        <v>970</v>
      </c>
      <c r="N134" s="275" t="s">
        <v>915</v>
      </c>
      <c r="O134" s="277" t="s">
        <v>19</v>
      </c>
      <c r="P134" s="327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5">
      <c r="A135" s="280" t="s">
        <v>921</v>
      </c>
      <c r="B135" s="280" t="s">
        <v>537</v>
      </c>
      <c r="C135" s="285">
        <v>45757.59652777778</v>
      </c>
      <c r="D135" s="280">
        <v>20</v>
      </c>
      <c r="E135" s="280">
        <v>9.7611000000000003E-2</v>
      </c>
      <c r="F135" s="280">
        <v>33.1</v>
      </c>
      <c r="G135" s="280">
        <v>25.4</v>
      </c>
      <c r="H135" s="280">
        <v>6999.0110000000004</v>
      </c>
      <c r="I135" s="280">
        <v>0.99954600000000005</v>
      </c>
      <c r="J135" s="280">
        <v>0.46335399999999999</v>
      </c>
      <c r="K135" s="321">
        <v>2261.4</v>
      </c>
      <c r="L135" s="18"/>
      <c r="M135" s="104" t="s">
        <v>970</v>
      </c>
      <c r="N135" s="275"/>
      <c r="O135" s="277" t="s">
        <v>19</v>
      </c>
      <c r="P135" s="327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5">
      <c r="A136" s="56" t="s">
        <v>922</v>
      </c>
      <c r="B136" s="56">
        <v>379</v>
      </c>
      <c r="C136" s="284">
        <v>45757.604166666664</v>
      </c>
      <c r="D136" s="56">
        <v>20</v>
      </c>
      <c r="E136" s="56">
        <v>9.7611000000000003E-2</v>
      </c>
      <c r="F136" s="56">
        <v>33.299999999999997</v>
      </c>
      <c r="G136" s="56">
        <v>25.4</v>
      </c>
      <c r="H136" s="56">
        <v>6985.7240000000002</v>
      </c>
      <c r="I136" s="56">
        <v>0.99957300000000004</v>
      </c>
      <c r="J136" s="56">
        <v>0.49190800000000001</v>
      </c>
      <c r="K136" s="279">
        <v>2400.8000000000002</v>
      </c>
      <c r="L136" s="18"/>
      <c r="M136" s="104" t="s">
        <v>970</v>
      </c>
      <c r="N136" s="275"/>
      <c r="O136" s="277" t="s">
        <v>19</v>
      </c>
      <c r="P136" s="327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5">
      <c r="A137" s="56" t="s">
        <v>923</v>
      </c>
      <c r="B137" s="56">
        <v>300</v>
      </c>
      <c r="C137" s="284">
        <v>45757.609722222223</v>
      </c>
      <c r="D137" s="56">
        <v>20</v>
      </c>
      <c r="E137" s="56">
        <v>9.7611000000000003E-2</v>
      </c>
      <c r="F137" s="56">
        <v>36.1</v>
      </c>
      <c r="G137" s="56">
        <v>25.4</v>
      </c>
      <c r="H137" s="56">
        <v>6959.509</v>
      </c>
      <c r="I137" s="56">
        <v>0.999552</v>
      </c>
      <c r="J137" s="56">
        <v>0.49152499999999999</v>
      </c>
      <c r="K137" s="279">
        <v>2398.9</v>
      </c>
      <c r="L137" s="18"/>
      <c r="M137" s="104" t="s">
        <v>970</v>
      </c>
      <c r="N137" s="275"/>
      <c r="O137" s="277" t="s">
        <v>19</v>
      </c>
      <c r="P137" s="327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5">
      <c r="A138" s="56" t="s">
        <v>924</v>
      </c>
      <c r="B138" s="56">
        <v>301</v>
      </c>
      <c r="C138" s="284">
        <v>45757.615277777775</v>
      </c>
      <c r="D138" s="56">
        <v>20</v>
      </c>
      <c r="E138" s="56">
        <v>9.7611000000000003E-2</v>
      </c>
      <c r="F138" s="56">
        <v>36.1</v>
      </c>
      <c r="G138" s="56">
        <v>25.4</v>
      </c>
      <c r="H138" s="56">
        <v>6825.1540000000005</v>
      </c>
      <c r="I138" s="56">
        <v>0.99951800000000002</v>
      </c>
      <c r="J138" s="56">
        <v>0.49068200000000001</v>
      </c>
      <c r="K138" s="279">
        <v>2394.8000000000002</v>
      </c>
      <c r="L138" s="18"/>
      <c r="M138" s="104" t="s">
        <v>970</v>
      </c>
      <c r="N138" s="275"/>
      <c r="O138" s="277" t="s">
        <v>19</v>
      </c>
      <c r="P138" s="327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5">
      <c r="A139" s="56" t="s">
        <v>925</v>
      </c>
      <c r="B139" s="56">
        <v>209</v>
      </c>
      <c r="C139" s="284">
        <v>45757.620833333334</v>
      </c>
      <c r="D139" s="56">
        <v>20</v>
      </c>
      <c r="E139" s="56">
        <v>9.7611000000000003E-2</v>
      </c>
      <c r="F139" s="56">
        <v>36.1</v>
      </c>
      <c r="G139" s="56">
        <v>25.4</v>
      </c>
      <c r="H139" s="56">
        <v>7047.0529999999999</v>
      </c>
      <c r="I139" s="56">
        <v>0.99951900000000005</v>
      </c>
      <c r="J139" s="56">
        <v>0.48921599999999998</v>
      </c>
      <c r="K139" s="279">
        <v>2387.6999999999998</v>
      </c>
      <c r="L139" s="18"/>
      <c r="M139" s="104" t="s">
        <v>970</v>
      </c>
      <c r="N139" s="275"/>
      <c r="O139" s="277" t="s">
        <v>19</v>
      </c>
      <c r="P139" s="327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5">
      <c r="A140" s="56" t="s">
        <v>926</v>
      </c>
      <c r="B140" s="56">
        <v>210</v>
      </c>
      <c r="C140" s="284">
        <v>45757.626388888886</v>
      </c>
      <c r="D140" s="56">
        <v>20</v>
      </c>
      <c r="E140" s="56">
        <v>9.7611000000000003E-2</v>
      </c>
      <c r="F140" s="56">
        <v>36.1</v>
      </c>
      <c r="G140" s="56">
        <v>25.4</v>
      </c>
      <c r="H140" s="56">
        <v>7008.5209999999997</v>
      </c>
      <c r="I140" s="56">
        <v>0.99958000000000002</v>
      </c>
      <c r="J140" s="56">
        <v>0.48855999999999999</v>
      </c>
      <c r="K140" s="279">
        <v>2384.5</v>
      </c>
      <c r="L140" s="18"/>
      <c r="M140" s="104" t="s">
        <v>970</v>
      </c>
      <c r="N140" s="275"/>
      <c r="O140" s="277" t="s">
        <v>19</v>
      </c>
      <c r="P140" s="327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5">
      <c r="A141" s="56" t="s">
        <v>927</v>
      </c>
      <c r="B141" s="56">
        <v>651</v>
      </c>
      <c r="C141" s="284">
        <v>45757.631249999999</v>
      </c>
      <c r="D141" s="56">
        <v>20</v>
      </c>
      <c r="E141" s="56">
        <v>9.7611000000000003E-2</v>
      </c>
      <c r="F141" s="56">
        <v>36.299999999999997</v>
      </c>
      <c r="G141" s="56">
        <v>25.4</v>
      </c>
      <c r="H141" s="56">
        <v>7048.82</v>
      </c>
      <c r="I141" s="56">
        <v>0.99956599999999995</v>
      </c>
      <c r="J141" s="56">
        <v>0.489562</v>
      </c>
      <c r="K141" s="279">
        <v>2389.3000000000002</v>
      </c>
      <c r="L141" s="18"/>
      <c r="M141" s="104" t="s">
        <v>970</v>
      </c>
      <c r="N141" s="275"/>
      <c r="O141" s="277" t="s">
        <v>19</v>
      </c>
      <c r="P141" s="327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5">
      <c r="A142" s="56" t="s">
        <v>928</v>
      </c>
      <c r="B142" s="56">
        <v>652</v>
      </c>
      <c r="C142" s="284">
        <v>45757.636111111111</v>
      </c>
      <c r="D142" s="56">
        <v>20</v>
      </c>
      <c r="E142" s="56">
        <v>9.7611000000000003E-2</v>
      </c>
      <c r="F142" s="56">
        <v>36.200000000000003</v>
      </c>
      <c r="G142" s="56">
        <v>25.4</v>
      </c>
      <c r="H142" s="56">
        <v>6869.2529999999997</v>
      </c>
      <c r="I142" s="56">
        <v>0.99956800000000001</v>
      </c>
      <c r="J142" s="56">
        <v>0.48872500000000002</v>
      </c>
      <c r="K142" s="279">
        <v>2385.3000000000002</v>
      </c>
      <c r="L142" s="18"/>
      <c r="M142" s="104" t="s">
        <v>970</v>
      </c>
      <c r="N142" s="275"/>
      <c r="O142" s="277" t="s">
        <v>19</v>
      </c>
      <c r="P142" s="327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5">
      <c r="A143" s="56" t="s">
        <v>929</v>
      </c>
      <c r="B143" s="56">
        <v>482</v>
      </c>
      <c r="C143" s="284">
        <v>45757.642361111109</v>
      </c>
      <c r="D143" s="56">
        <v>20</v>
      </c>
      <c r="E143" s="56">
        <v>9.7611000000000003E-2</v>
      </c>
      <c r="F143" s="56">
        <v>36.200000000000003</v>
      </c>
      <c r="G143" s="56">
        <v>25.4</v>
      </c>
      <c r="H143" s="56">
        <v>7020.5079999999998</v>
      </c>
      <c r="I143" s="56">
        <v>0.99959200000000004</v>
      </c>
      <c r="J143" s="56">
        <v>0.48944500000000002</v>
      </c>
      <c r="K143" s="279">
        <v>2388.8000000000002</v>
      </c>
      <c r="L143" s="18"/>
      <c r="M143" s="104" t="s">
        <v>970</v>
      </c>
      <c r="N143" s="275"/>
      <c r="O143" s="277" t="s">
        <v>19</v>
      </c>
      <c r="P143" s="327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5">
      <c r="A144" s="56" t="s">
        <v>930</v>
      </c>
      <c r="B144" s="56">
        <v>483</v>
      </c>
      <c r="C144" s="284">
        <v>45757.647916666669</v>
      </c>
      <c r="D144" s="56">
        <v>20</v>
      </c>
      <c r="E144" s="56">
        <v>9.7611000000000003E-2</v>
      </c>
      <c r="F144" s="56">
        <v>36.200000000000003</v>
      </c>
      <c r="G144" s="56">
        <v>25.4</v>
      </c>
      <c r="H144" s="56">
        <v>6956.1940000000004</v>
      </c>
      <c r="I144" s="56">
        <v>0.99955000000000005</v>
      </c>
      <c r="J144" s="56">
        <v>0.49004300000000001</v>
      </c>
      <c r="K144" s="279">
        <v>2391.6999999999998</v>
      </c>
      <c r="L144" s="18"/>
      <c r="M144" s="104" t="s">
        <v>970</v>
      </c>
      <c r="N144" s="275"/>
      <c r="O144" s="277" t="s">
        <v>19</v>
      </c>
      <c r="P144" s="327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5">
      <c r="A145" s="280" t="s">
        <v>984</v>
      </c>
      <c r="B145" s="280" t="s">
        <v>534</v>
      </c>
      <c r="C145" s="285">
        <v>45757.662499999999</v>
      </c>
      <c r="D145" s="280">
        <v>20</v>
      </c>
      <c r="E145" s="280">
        <v>9.7611000000000003E-2</v>
      </c>
      <c r="F145" s="280">
        <v>33.1</v>
      </c>
      <c r="G145" s="280">
        <v>25.4</v>
      </c>
      <c r="H145" s="280">
        <v>7001.2610000000004</v>
      </c>
      <c r="I145" s="280">
        <v>0.99956500000000004</v>
      </c>
      <c r="J145" s="280">
        <v>0.463426</v>
      </c>
      <c r="K145" s="321">
        <v>2261.8000000000002</v>
      </c>
      <c r="L145" s="18"/>
      <c r="M145" s="104" t="s">
        <v>970</v>
      </c>
      <c r="N145" s="275"/>
      <c r="O145" s="277" t="s">
        <v>19</v>
      </c>
      <c r="P145" s="327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5">
      <c r="A146" s="56" t="s">
        <v>932</v>
      </c>
      <c r="B146" s="56">
        <v>638</v>
      </c>
      <c r="C146" s="284">
        <v>45757.668749999997</v>
      </c>
      <c r="D146" s="56">
        <v>20</v>
      </c>
      <c r="E146" s="56">
        <v>9.7611000000000003E-2</v>
      </c>
      <c r="F146" s="56">
        <v>36.299999999999997</v>
      </c>
      <c r="G146" s="56">
        <v>25.4</v>
      </c>
      <c r="H146" s="56">
        <v>7016.3710000000001</v>
      </c>
      <c r="I146" s="56">
        <v>0.99960800000000005</v>
      </c>
      <c r="J146" s="56">
        <v>0.48935800000000002</v>
      </c>
      <c r="K146" s="279">
        <v>2388.3000000000002</v>
      </c>
      <c r="L146" s="18"/>
      <c r="M146" s="104" t="s">
        <v>970</v>
      </c>
      <c r="N146" s="275"/>
      <c r="O146" s="277" t="s">
        <v>19</v>
      </c>
      <c r="P146" s="327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5">
      <c r="A147" s="56" t="s">
        <v>933</v>
      </c>
      <c r="B147" s="56">
        <v>639</v>
      </c>
      <c r="C147" s="284">
        <v>45757.674305555556</v>
      </c>
      <c r="D147" s="56">
        <v>20</v>
      </c>
      <c r="E147" s="56">
        <v>9.7611000000000003E-2</v>
      </c>
      <c r="F147" s="56">
        <v>36.200000000000003</v>
      </c>
      <c r="G147" s="56">
        <v>25.4</v>
      </c>
      <c r="H147" s="56">
        <v>6992.2870000000003</v>
      </c>
      <c r="I147" s="56">
        <v>0.99972000000000005</v>
      </c>
      <c r="J147" s="56">
        <v>0.49012600000000001</v>
      </c>
      <c r="K147" s="279">
        <v>2392.1</v>
      </c>
      <c r="L147" s="18"/>
      <c r="M147" s="104" t="s">
        <v>970</v>
      </c>
      <c r="N147" s="275"/>
      <c r="O147" s="277" t="s">
        <v>19</v>
      </c>
      <c r="P147" s="327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5">
      <c r="A148" s="56" t="s">
        <v>934</v>
      </c>
      <c r="B148" s="56">
        <v>534</v>
      </c>
      <c r="C148" s="284">
        <v>45757.679861111108</v>
      </c>
      <c r="D148" s="56">
        <v>20</v>
      </c>
      <c r="E148" s="56">
        <v>9.7611000000000003E-2</v>
      </c>
      <c r="F148" s="56">
        <v>36.200000000000003</v>
      </c>
      <c r="G148" s="56">
        <v>25.4</v>
      </c>
      <c r="H148" s="56">
        <v>6961.6670000000004</v>
      </c>
      <c r="I148" s="56">
        <v>0.99971900000000002</v>
      </c>
      <c r="J148" s="56">
        <v>0.49108299999999999</v>
      </c>
      <c r="K148" s="279">
        <v>2396.8000000000002</v>
      </c>
      <c r="L148" s="18"/>
      <c r="M148" s="104" t="s">
        <v>970</v>
      </c>
      <c r="N148" s="275"/>
      <c r="O148" s="277" t="s">
        <v>19</v>
      </c>
      <c r="P148" s="327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5">
      <c r="A149" s="56" t="s">
        <v>935</v>
      </c>
      <c r="B149" s="56">
        <v>535</v>
      </c>
      <c r="C149" s="284">
        <v>45757.688194444447</v>
      </c>
      <c r="D149" s="56">
        <v>20</v>
      </c>
      <c r="E149" s="56">
        <v>9.7611000000000003E-2</v>
      </c>
      <c r="F149" s="56">
        <v>36.200000000000003</v>
      </c>
      <c r="G149" s="56">
        <v>25.4</v>
      </c>
      <c r="H149" s="56">
        <v>6925.9440000000004</v>
      </c>
      <c r="I149" s="56">
        <v>0.99956</v>
      </c>
      <c r="J149" s="56">
        <v>0.48910900000000002</v>
      </c>
      <c r="K149" s="279">
        <v>2387.1</v>
      </c>
      <c r="L149" s="18"/>
      <c r="M149" s="104" t="s">
        <v>970</v>
      </c>
      <c r="N149" s="275"/>
      <c r="O149" s="277" t="s">
        <v>19</v>
      </c>
      <c r="P149" s="327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5">
      <c r="A150" s="56" t="s">
        <v>936</v>
      </c>
      <c r="B150" s="56">
        <v>599</v>
      </c>
      <c r="C150" s="284">
        <v>45757.693749999999</v>
      </c>
      <c r="D150" s="56">
        <v>20</v>
      </c>
      <c r="E150" s="56">
        <v>9.7611000000000003E-2</v>
      </c>
      <c r="F150" s="56">
        <v>36.200000000000003</v>
      </c>
      <c r="G150" s="56">
        <v>25.4</v>
      </c>
      <c r="H150" s="56">
        <v>6986.68</v>
      </c>
      <c r="I150" s="56">
        <v>0.999579</v>
      </c>
      <c r="J150" s="56">
        <v>0.49126599999999998</v>
      </c>
      <c r="K150" s="279">
        <v>2397.6999999999998</v>
      </c>
      <c r="L150" s="18"/>
      <c r="M150" s="104" t="s">
        <v>970</v>
      </c>
      <c r="N150" s="275"/>
      <c r="O150" s="277" t="s">
        <v>19</v>
      </c>
      <c r="P150" s="327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5">
      <c r="A151" s="56" t="s">
        <v>937</v>
      </c>
      <c r="B151" s="56">
        <v>600</v>
      </c>
      <c r="C151" s="284">
        <v>45757.7</v>
      </c>
      <c r="D151" s="56">
        <v>20</v>
      </c>
      <c r="E151" s="56">
        <v>9.7611000000000003E-2</v>
      </c>
      <c r="F151" s="56">
        <v>36.200000000000003</v>
      </c>
      <c r="G151" s="56">
        <v>25.4</v>
      </c>
      <c r="H151" s="56">
        <v>6884.0820000000003</v>
      </c>
      <c r="I151" s="56">
        <v>0.99951100000000004</v>
      </c>
      <c r="J151" s="56">
        <v>0.48985000000000001</v>
      </c>
      <c r="K151" s="279">
        <v>2390.6999999999998</v>
      </c>
      <c r="L151" s="18"/>
      <c r="M151" s="104" t="s">
        <v>970</v>
      </c>
      <c r="N151" s="275"/>
      <c r="O151" s="277" t="s">
        <v>19</v>
      </c>
      <c r="P151" s="327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5">
      <c r="A152" s="56" t="s">
        <v>938</v>
      </c>
      <c r="B152" s="56">
        <v>664</v>
      </c>
      <c r="C152" s="284">
        <v>45757.706944444442</v>
      </c>
      <c r="D152" s="56">
        <v>20</v>
      </c>
      <c r="E152" s="56">
        <v>9.7611000000000003E-2</v>
      </c>
      <c r="F152" s="56">
        <v>36.299999999999997</v>
      </c>
      <c r="G152" s="56">
        <v>25.4</v>
      </c>
      <c r="H152" s="56">
        <v>6967.3680000000004</v>
      </c>
      <c r="I152" s="56">
        <v>0.99953899999999996</v>
      </c>
      <c r="J152" s="56">
        <v>0.49125999999999997</v>
      </c>
      <c r="K152" s="279">
        <v>2397.6</v>
      </c>
      <c r="L152" s="18"/>
      <c r="M152" s="104" t="s">
        <v>970</v>
      </c>
      <c r="N152" s="275"/>
      <c r="O152" s="277" t="s">
        <v>19</v>
      </c>
      <c r="P152" s="327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5">
      <c r="A153" s="56" t="s">
        <v>939</v>
      </c>
      <c r="B153" s="56">
        <v>665</v>
      </c>
      <c r="C153" s="284">
        <v>45757.713194444441</v>
      </c>
      <c r="D153" s="56">
        <v>20</v>
      </c>
      <c r="E153" s="56">
        <v>9.7611000000000003E-2</v>
      </c>
      <c r="F153" s="56">
        <v>36.299999999999997</v>
      </c>
      <c r="G153" s="56">
        <v>25.4</v>
      </c>
      <c r="H153" s="56">
        <v>6895.1040000000003</v>
      </c>
      <c r="I153" s="56">
        <v>0.99963100000000005</v>
      </c>
      <c r="J153" s="56">
        <v>0.49096499999999998</v>
      </c>
      <c r="K153" s="279">
        <v>2396.1999999999998</v>
      </c>
      <c r="L153" s="18"/>
      <c r="M153" s="104" t="s">
        <v>970</v>
      </c>
      <c r="N153" s="275"/>
      <c r="O153" s="277" t="s">
        <v>19</v>
      </c>
      <c r="P153" s="327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5">
      <c r="A154" s="56" t="s">
        <v>940</v>
      </c>
      <c r="B154" s="56">
        <v>521</v>
      </c>
      <c r="C154" s="284">
        <v>45757.720138888886</v>
      </c>
      <c r="D154" s="56">
        <v>20</v>
      </c>
      <c r="E154" s="56">
        <v>9.7611000000000003E-2</v>
      </c>
      <c r="F154" s="56">
        <v>36.200000000000003</v>
      </c>
      <c r="G154" s="56">
        <v>25.4</v>
      </c>
      <c r="H154" s="56">
        <v>6971.8850000000002</v>
      </c>
      <c r="I154" s="56">
        <v>0.99974700000000005</v>
      </c>
      <c r="J154" s="56">
        <v>0.491448</v>
      </c>
      <c r="K154" s="279">
        <v>2398.5</v>
      </c>
      <c r="L154" s="18"/>
      <c r="M154" s="104" t="s">
        <v>970</v>
      </c>
      <c r="N154" s="275"/>
      <c r="O154" s="277" t="s">
        <v>19</v>
      </c>
      <c r="P154" s="327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5">
      <c r="A155" s="56" t="s">
        <v>941</v>
      </c>
      <c r="B155" s="56">
        <v>522</v>
      </c>
      <c r="C155" s="284">
        <v>45757.727083333331</v>
      </c>
      <c r="D155" s="56">
        <v>20</v>
      </c>
      <c r="E155" s="56">
        <v>9.7611000000000003E-2</v>
      </c>
      <c r="F155" s="56">
        <v>36.200000000000003</v>
      </c>
      <c r="G155" s="56">
        <v>25.4</v>
      </c>
      <c r="H155" s="56">
        <v>6967.7359999999999</v>
      </c>
      <c r="I155" s="56">
        <v>0.99970700000000001</v>
      </c>
      <c r="J155" s="56">
        <v>0.491867</v>
      </c>
      <c r="K155" s="279">
        <v>2400.6</v>
      </c>
      <c r="L155" s="18"/>
      <c r="M155" s="104" t="s">
        <v>970</v>
      </c>
      <c r="N155" s="275"/>
      <c r="O155" s="277" t="s">
        <v>19</v>
      </c>
      <c r="P155" s="327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5">
      <c r="A156" s="280" t="s">
        <v>942</v>
      </c>
      <c r="B156" s="280" t="s">
        <v>534</v>
      </c>
      <c r="C156" s="285">
        <v>45757.73333333333</v>
      </c>
      <c r="D156" s="280">
        <v>20</v>
      </c>
      <c r="E156" s="280">
        <v>9.7611000000000003E-2</v>
      </c>
      <c r="F156" s="280">
        <v>36.200000000000003</v>
      </c>
      <c r="G156" s="280">
        <v>25.4</v>
      </c>
      <c r="H156" s="280">
        <v>6953.4049999999997</v>
      </c>
      <c r="I156" s="280">
        <v>0.99970599999999998</v>
      </c>
      <c r="J156" s="280">
        <v>0.46499600000000002</v>
      </c>
      <c r="K156" s="321">
        <v>2263.6</v>
      </c>
      <c r="L156" s="18"/>
      <c r="M156" s="104" t="s">
        <v>970</v>
      </c>
      <c r="N156" s="275"/>
      <c r="O156" s="277" t="s">
        <v>19</v>
      </c>
      <c r="P156" s="327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5">
      <c r="A157" s="56" t="s">
        <v>901</v>
      </c>
      <c r="B157" s="56" t="s">
        <v>902</v>
      </c>
      <c r="C157" s="284">
        <v>45758.468055555553</v>
      </c>
      <c r="D157" s="56">
        <v>20</v>
      </c>
      <c r="E157" s="56">
        <v>9.7611000000000003E-2</v>
      </c>
      <c r="F157" s="56" t="s">
        <v>903</v>
      </c>
      <c r="G157" s="56">
        <v>25.4</v>
      </c>
      <c r="H157" s="56">
        <v>8277.7690000000002</v>
      </c>
      <c r="I157" s="56">
        <v>0.99990000000000001</v>
      </c>
      <c r="J157" s="56">
        <v>0.57526100000000002</v>
      </c>
      <c r="K157" s="279">
        <v>2807.6</v>
      </c>
      <c r="L157" s="18"/>
      <c r="M157" s="104" t="s">
        <v>20</v>
      </c>
      <c r="N157" s="328"/>
      <c r="O157" s="277" t="s">
        <v>19</v>
      </c>
      <c r="P157" s="327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5">
      <c r="A158" s="56" t="s">
        <v>952</v>
      </c>
      <c r="B158" s="56" t="s">
        <v>902</v>
      </c>
      <c r="C158" s="284">
        <v>45758.474999999999</v>
      </c>
      <c r="D158" s="56">
        <v>20</v>
      </c>
      <c r="E158" s="56">
        <v>9.7611000000000003E-2</v>
      </c>
      <c r="F158" s="56" t="s">
        <v>903</v>
      </c>
      <c r="G158" s="56">
        <v>25.4</v>
      </c>
      <c r="H158" s="56">
        <v>8341.7800000000007</v>
      </c>
      <c r="I158" s="56">
        <v>0.99989799999999995</v>
      </c>
      <c r="J158" s="56">
        <v>0.57500799999999996</v>
      </c>
      <c r="K158" s="279">
        <v>2806.4</v>
      </c>
      <c r="L158" s="18">
        <v>0.87070000000000003</v>
      </c>
      <c r="M158" s="104" t="s">
        <v>20</v>
      </c>
      <c r="N158" s="328"/>
      <c r="O158" s="277" t="s">
        <v>19</v>
      </c>
      <c r="P158" s="327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5">
      <c r="A159" s="56" t="s">
        <v>953</v>
      </c>
      <c r="B159" s="56" t="s">
        <v>902</v>
      </c>
      <c r="C159" s="284">
        <v>45758.486805555556</v>
      </c>
      <c r="D159" s="56">
        <v>20</v>
      </c>
      <c r="E159" s="56">
        <v>9.7611000000000003E-2</v>
      </c>
      <c r="F159" s="56" t="s">
        <v>903</v>
      </c>
      <c r="G159" s="56">
        <v>25.4</v>
      </c>
      <c r="H159" s="56">
        <v>8339.2970000000005</v>
      </c>
      <c r="I159" s="56">
        <v>0.99984600000000001</v>
      </c>
      <c r="J159" s="56">
        <v>0.57496899999999995</v>
      </c>
      <c r="K159" s="279">
        <v>2806.2</v>
      </c>
      <c r="L159" s="18">
        <v>0.1366</v>
      </c>
      <c r="M159" s="104" t="s">
        <v>20</v>
      </c>
      <c r="N159" s="328"/>
      <c r="O159" s="277" t="s">
        <v>19</v>
      </c>
      <c r="P159" s="327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5">
      <c r="A160" s="280" t="s">
        <v>905</v>
      </c>
      <c r="B160" s="280" t="s">
        <v>532</v>
      </c>
      <c r="C160" s="285">
        <v>45758.500694444447</v>
      </c>
      <c r="D160" s="280">
        <v>20</v>
      </c>
      <c r="E160" s="280">
        <v>9.7611000000000003E-2</v>
      </c>
      <c r="F160" s="280">
        <v>33.1</v>
      </c>
      <c r="G160" s="280">
        <v>25.4</v>
      </c>
      <c r="H160" s="280">
        <v>6883.3050000000003</v>
      </c>
      <c r="I160" s="280">
        <v>0.99957099999999999</v>
      </c>
      <c r="J160" s="280">
        <v>0.46322999999999998</v>
      </c>
      <c r="K160" s="321">
        <v>2260.8000000000002</v>
      </c>
      <c r="L160" s="18"/>
      <c r="M160" s="104" t="s">
        <v>20</v>
      </c>
      <c r="N160" s="328"/>
      <c r="O160" s="277" t="s">
        <v>19</v>
      </c>
      <c r="P160" s="327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5">
      <c r="A161" s="56" t="s">
        <v>907</v>
      </c>
      <c r="B161" s="56">
        <v>612</v>
      </c>
      <c r="C161" s="284">
        <v>45758.511805555558</v>
      </c>
      <c r="D161" s="56">
        <v>20</v>
      </c>
      <c r="E161" s="56">
        <v>9.7611000000000003E-2</v>
      </c>
      <c r="F161" s="56">
        <v>36.299999999999997</v>
      </c>
      <c r="G161" s="56">
        <v>25.4</v>
      </c>
      <c r="H161" s="56">
        <v>6946.0240000000003</v>
      </c>
      <c r="I161" s="56">
        <v>0.99972000000000005</v>
      </c>
      <c r="J161" s="56">
        <v>0.49046299999999998</v>
      </c>
      <c r="K161" s="279">
        <v>2393.6999999999998</v>
      </c>
      <c r="L161" s="18"/>
      <c r="M161" s="104" t="s">
        <v>20</v>
      </c>
      <c r="N161" s="328"/>
      <c r="O161" s="277" t="s">
        <v>19</v>
      </c>
      <c r="P161" s="327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5">
      <c r="A162" s="56" t="s">
        <v>958</v>
      </c>
      <c r="B162" s="56">
        <v>613</v>
      </c>
      <c r="C162" s="284">
        <v>45758.517361111109</v>
      </c>
      <c r="D162" s="56">
        <v>20</v>
      </c>
      <c r="E162" s="56">
        <v>9.7611000000000003E-2</v>
      </c>
      <c r="F162" s="56">
        <v>36.299999999999997</v>
      </c>
      <c r="G162" s="56">
        <v>25.4</v>
      </c>
      <c r="H162" s="56">
        <v>6946.1480000000001</v>
      </c>
      <c r="I162" s="56">
        <v>0.99966999999999995</v>
      </c>
      <c r="J162" s="56">
        <v>0.48939899999999997</v>
      </c>
      <c r="K162" s="279">
        <v>2388.5</v>
      </c>
      <c r="L162" s="18"/>
      <c r="M162" s="104" t="s">
        <v>20</v>
      </c>
      <c r="N162" s="328"/>
      <c r="O162" s="277" t="s">
        <v>19</v>
      </c>
      <c r="P162" s="327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5">
      <c r="A163" s="56" t="s">
        <v>918</v>
      </c>
      <c r="B163" s="56">
        <v>677</v>
      </c>
      <c r="C163" s="284">
        <v>45758.523611111108</v>
      </c>
      <c r="D163" s="56">
        <v>20</v>
      </c>
      <c r="E163" s="56">
        <v>9.7611000000000003E-2</v>
      </c>
      <c r="F163" s="56">
        <v>36.299999999999997</v>
      </c>
      <c r="G163" s="56">
        <v>25.4</v>
      </c>
      <c r="H163" s="56">
        <v>6841.348</v>
      </c>
      <c r="I163" s="56">
        <v>0.99961</v>
      </c>
      <c r="J163" s="56">
        <v>0.48422300000000001</v>
      </c>
      <c r="K163" s="279">
        <v>2363.3000000000002</v>
      </c>
      <c r="L163" s="18"/>
      <c r="M163" s="104" t="s">
        <v>20</v>
      </c>
      <c r="N163" s="328"/>
      <c r="O163" s="277" t="s">
        <v>19</v>
      </c>
      <c r="P163" s="327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5">
      <c r="A164" s="56" t="s">
        <v>919</v>
      </c>
      <c r="B164" s="56">
        <v>678</v>
      </c>
      <c r="C164" s="284">
        <v>45758.52847222222</v>
      </c>
      <c r="D164" s="56">
        <v>20</v>
      </c>
      <c r="E164" s="56">
        <v>9.7611000000000003E-2</v>
      </c>
      <c r="F164" s="56">
        <v>36.299999999999997</v>
      </c>
      <c r="G164" s="56">
        <v>25.4</v>
      </c>
      <c r="H164" s="56">
        <v>6926.6959999999999</v>
      </c>
      <c r="I164" s="56">
        <v>0.99961299999999997</v>
      </c>
      <c r="J164" s="56">
        <v>0.486514</v>
      </c>
      <c r="K164" s="279">
        <v>2374.5</v>
      </c>
      <c r="L164" s="18"/>
      <c r="M164" s="104" t="s">
        <v>20</v>
      </c>
      <c r="N164" s="328"/>
      <c r="O164" s="277" t="s">
        <v>19</v>
      </c>
      <c r="P164" s="327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56" t="s">
        <v>920</v>
      </c>
      <c r="B165" s="56">
        <v>690</v>
      </c>
      <c r="C165" s="284">
        <v>45758.537499999999</v>
      </c>
      <c r="D165" s="56">
        <v>20</v>
      </c>
      <c r="E165" s="56">
        <v>9.7611000000000003E-2</v>
      </c>
      <c r="F165" s="56">
        <v>36.6</v>
      </c>
      <c r="G165" s="56">
        <v>25.4</v>
      </c>
      <c r="H165" s="56">
        <v>6968.44</v>
      </c>
      <c r="I165" s="56">
        <v>0.99964600000000003</v>
      </c>
      <c r="J165" s="56">
        <v>0.49689100000000003</v>
      </c>
      <c r="K165" s="279">
        <v>2425.1</v>
      </c>
      <c r="L165" s="18"/>
      <c r="M165" s="104" t="s">
        <v>20</v>
      </c>
      <c r="N165" s="328"/>
      <c r="O165" s="277" t="s">
        <v>19</v>
      </c>
      <c r="P165" s="327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5">
      <c r="A166" s="280" t="s">
        <v>921</v>
      </c>
      <c r="B166" s="280">
        <v>691</v>
      </c>
      <c r="C166" s="285">
        <v>45758.543749999997</v>
      </c>
      <c r="D166" s="280">
        <v>20</v>
      </c>
      <c r="E166" s="280">
        <v>9.7611000000000003E-2</v>
      </c>
      <c r="F166" s="280">
        <v>36.700000000000003</v>
      </c>
      <c r="G166" s="280">
        <v>25.4</v>
      </c>
      <c r="H166" s="280" t="s">
        <v>985</v>
      </c>
      <c r="I166" s="280" t="s">
        <v>985</v>
      </c>
      <c r="J166" s="280" t="s">
        <v>985</v>
      </c>
      <c r="K166" s="321" t="s">
        <v>985</v>
      </c>
      <c r="L166" s="18"/>
      <c r="M166" s="104" t="s">
        <v>20</v>
      </c>
      <c r="N166" s="329" t="s">
        <v>986</v>
      </c>
      <c r="O166" s="327" t="s">
        <v>610</v>
      </c>
      <c r="P166" s="327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5">
      <c r="A167" s="56" t="s">
        <v>922</v>
      </c>
      <c r="B167" s="56">
        <v>443</v>
      </c>
      <c r="C167" s="284">
        <v>45758.552083333336</v>
      </c>
      <c r="D167" s="56">
        <v>20</v>
      </c>
      <c r="E167" s="56">
        <v>9.7611000000000003E-2</v>
      </c>
      <c r="F167" s="56">
        <v>36.6</v>
      </c>
      <c r="G167" s="56">
        <v>25.4</v>
      </c>
      <c r="H167" s="56">
        <v>6902.4390000000003</v>
      </c>
      <c r="I167" s="56">
        <v>0.99957700000000005</v>
      </c>
      <c r="J167" s="56">
        <v>0.49637500000000001</v>
      </c>
      <c r="K167" s="279">
        <v>2422.6</v>
      </c>
      <c r="L167" s="18"/>
      <c r="M167" s="104" t="s">
        <v>20</v>
      </c>
      <c r="N167" s="328"/>
      <c r="O167" s="277" t="s">
        <v>19</v>
      </c>
      <c r="P167" s="327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5">
      <c r="A168" s="56" t="s">
        <v>923</v>
      </c>
      <c r="B168" s="56">
        <v>444</v>
      </c>
      <c r="C168" s="284">
        <v>45758.5625</v>
      </c>
      <c r="D168" s="56">
        <v>20</v>
      </c>
      <c r="E168" s="56">
        <v>9.7611000000000003E-2</v>
      </c>
      <c r="F168" s="56">
        <v>36.6</v>
      </c>
      <c r="G168" s="56">
        <v>25.4</v>
      </c>
      <c r="H168" s="56">
        <v>6936.09</v>
      </c>
      <c r="I168" s="56">
        <v>0.99965999999999999</v>
      </c>
      <c r="J168" s="56">
        <v>0.49613000000000002</v>
      </c>
      <c r="K168" s="279">
        <v>2421.4</v>
      </c>
      <c r="L168" s="18"/>
      <c r="M168" s="104" t="s">
        <v>20</v>
      </c>
      <c r="N168" s="328"/>
      <c r="O168" s="277" t="s">
        <v>19</v>
      </c>
      <c r="P168" s="327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5">
      <c r="A169" s="56" t="s">
        <v>924</v>
      </c>
      <c r="B169" s="56">
        <v>703</v>
      </c>
      <c r="C169" s="284">
        <v>45758.568055555559</v>
      </c>
      <c r="D169" s="56">
        <v>20</v>
      </c>
      <c r="E169" s="56">
        <v>9.7611000000000003E-2</v>
      </c>
      <c r="F169" s="56">
        <v>36.700000000000003</v>
      </c>
      <c r="G169" s="56">
        <v>25.4</v>
      </c>
      <c r="H169" s="56">
        <v>6960.4309999999996</v>
      </c>
      <c r="I169" s="56">
        <v>0.99958100000000005</v>
      </c>
      <c r="J169" s="56">
        <v>0.49304300000000001</v>
      </c>
      <c r="K169" s="279">
        <v>2406.3000000000002</v>
      </c>
      <c r="L169" s="18"/>
      <c r="M169" s="104" t="s">
        <v>20</v>
      </c>
      <c r="N169" s="328"/>
      <c r="O169" s="277" t="s">
        <v>19</v>
      </c>
      <c r="P169" s="327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5">
      <c r="A170" s="56" t="s">
        <v>925</v>
      </c>
      <c r="B170" s="56">
        <v>704</v>
      </c>
      <c r="C170" s="284">
        <v>45758.573611111111</v>
      </c>
      <c r="D170" s="56">
        <v>20</v>
      </c>
      <c r="E170" s="56">
        <v>9.7611000000000003E-2</v>
      </c>
      <c r="F170" s="56">
        <v>36.700000000000003</v>
      </c>
      <c r="G170" s="56">
        <v>25.4</v>
      </c>
      <c r="H170" s="56">
        <v>6954.5919999999996</v>
      </c>
      <c r="I170" s="56">
        <v>0.99958000000000002</v>
      </c>
      <c r="J170" s="56">
        <v>0.49310700000000002</v>
      </c>
      <c r="K170" s="279">
        <v>2406.6</v>
      </c>
      <c r="L170" s="18"/>
      <c r="M170" s="104" t="s">
        <v>20</v>
      </c>
      <c r="N170" s="328"/>
      <c r="O170" s="277" t="s">
        <v>19</v>
      </c>
      <c r="P170" s="327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5">
      <c r="A171" s="280" t="s">
        <v>926</v>
      </c>
      <c r="B171" s="280" t="s">
        <v>532</v>
      </c>
      <c r="C171" s="285">
        <v>45758.579861111109</v>
      </c>
      <c r="D171" s="280">
        <v>20</v>
      </c>
      <c r="E171" s="280">
        <v>9.7611000000000003E-2</v>
      </c>
      <c r="F171" s="280">
        <v>33.1</v>
      </c>
      <c r="G171" s="280">
        <v>25.4</v>
      </c>
      <c r="H171" s="280">
        <v>6881.0919999999996</v>
      </c>
      <c r="I171" s="280">
        <v>0.99955300000000002</v>
      </c>
      <c r="J171" s="280">
        <v>0.46315800000000001</v>
      </c>
      <c r="K171" s="321">
        <v>2260.5</v>
      </c>
      <c r="L171" s="18"/>
      <c r="M171" s="104" t="s">
        <v>20</v>
      </c>
      <c r="N171" s="328"/>
      <c r="O171" s="277" t="s">
        <v>19</v>
      </c>
      <c r="P171" s="327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5">
      <c r="A172" s="56" t="s">
        <v>927</v>
      </c>
      <c r="B172" s="56">
        <v>716</v>
      </c>
      <c r="C172" s="284">
        <v>45758.586805555555</v>
      </c>
      <c r="D172" s="56">
        <v>20</v>
      </c>
      <c r="E172" s="56">
        <v>9.7611000000000003E-2</v>
      </c>
      <c r="F172" s="56">
        <v>36.700000000000003</v>
      </c>
      <c r="G172" s="56">
        <v>25.4</v>
      </c>
      <c r="H172" s="56">
        <v>6963.46</v>
      </c>
      <c r="I172" s="56">
        <v>0.99959900000000002</v>
      </c>
      <c r="J172" s="56">
        <v>0.49515900000000002</v>
      </c>
      <c r="K172" s="279">
        <v>2416.6999999999998</v>
      </c>
      <c r="L172" s="18"/>
      <c r="M172" s="104" t="s">
        <v>20</v>
      </c>
      <c r="N172" s="328"/>
      <c r="O172" s="277" t="s">
        <v>19</v>
      </c>
      <c r="P172" s="327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5">
      <c r="A173" s="56" t="s">
        <v>928</v>
      </c>
      <c r="B173" s="56">
        <v>717</v>
      </c>
      <c r="C173" s="284">
        <v>45758.592361111114</v>
      </c>
      <c r="D173" s="56">
        <v>20</v>
      </c>
      <c r="E173" s="56">
        <v>9.7611000000000003E-2</v>
      </c>
      <c r="F173" s="56">
        <v>36.700000000000003</v>
      </c>
      <c r="G173" s="56">
        <v>25.4</v>
      </c>
      <c r="H173" s="56">
        <v>6976.4009999999998</v>
      </c>
      <c r="I173" s="56">
        <v>0.99965499999999996</v>
      </c>
      <c r="J173" s="56">
        <v>0.49581199999999997</v>
      </c>
      <c r="K173" s="279">
        <v>2419.8000000000002</v>
      </c>
      <c r="L173" s="18"/>
      <c r="M173" s="104" t="s">
        <v>20</v>
      </c>
      <c r="N173" s="328"/>
      <c r="O173" s="277" t="s">
        <v>19</v>
      </c>
      <c r="P173" s="327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5">
      <c r="A174" s="56" t="s">
        <v>929</v>
      </c>
      <c r="B174" s="56">
        <v>691</v>
      </c>
      <c r="C174" s="284">
        <v>45758.599305555559</v>
      </c>
      <c r="D174" s="56">
        <v>20</v>
      </c>
      <c r="E174" s="56">
        <v>9.7611000000000003E-2</v>
      </c>
      <c r="F174" s="56">
        <v>36.700000000000003</v>
      </c>
      <c r="G174" s="56">
        <v>25.4</v>
      </c>
      <c r="H174" s="56">
        <v>6970.335</v>
      </c>
      <c r="I174" s="56">
        <v>0.99960000000000004</v>
      </c>
      <c r="J174" s="56">
        <v>0.49690200000000001</v>
      </c>
      <c r="K174" s="279">
        <v>2425.1999999999998</v>
      </c>
      <c r="L174" s="18"/>
      <c r="M174" s="104" t="s">
        <v>20</v>
      </c>
      <c r="N174" s="328"/>
      <c r="O174" s="277" t="s">
        <v>19</v>
      </c>
      <c r="P174" s="327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5">
      <c r="A175" s="280" t="s">
        <v>930</v>
      </c>
      <c r="B175" s="280" t="s">
        <v>532</v>
      </c>
      <c r="C175" s="285">
        <v>45758.609027777777</v>
      </c>
      <c r="D175" s="280">
        <v>20</v>
      </c>
      <c r="E175" s="280">
        <v>9.7611000000000003E-2</v>
      </c>
      <c r="F175" s="280">
        <v>33.1</v>
      </c>
      <c r="G175" s="280">
        <v>25.4</v>
      </c>
      <c r="H175" s="280">
        <v>6933.48</v>
      </c>
      <c r="I175" s="280">
        <v>0.99956699999999998</v>
      </c>
      <c r="J175" s="280">
        <v>0.463196</v>
      </c>
      <c r="K175" s="321">
        <v>2260.6999999999998</v>
      </c>
      <c r="L175" s="280"/>
      <c r="M175" s="325" t="s">
        <v>20</v>
      </c>
      <c r="N175" s="328"/>
      <c r="O175" s="277" t="s">
        <v>19</v>
      </c>
      <c r="P175" s="327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5">
      <c r="A176" s="213"/>
      <c r="B176" s="227"/>
      <c r="C176" s="227"/>
      <c r="D176" s="227"/>
      <c r="E176" s="227"/>
      <c r="F176" s="227"/>
      <c r="G176" s="227"/>
      <c r="H176" s="227"/>
      <c r="I176" s="227"/>
      <c r="J176" s="227"/>
      <c r="K176" s="330"/>
      <c r="L176" s="227"/>
      <c r="M176" s="331"/>
      <c r="N176" s="327"/>
      <c r="O176" s="327"/>
      <c r="P176" s="327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5">
      <c r="A177" s="213"/>
      <c r="B177" s="227"/>
      <c r="C177" s="227"/>
      <c r="D177" s="227"/>
      <c r="E177" s="227"/>
      <c r="F177" s="227"/>
      <c r="G177" s="227"/>
      <c r="H177" s="227"/>
      <c r="I177" s="227"/>
      <c r="J177" s="227"/>
      <c r="K177" s="330"/>
      <c r="L177" s="227"/>
      <c r="M177" s="331"/>
      <c r="N177" s="327"/>
      <c r="O177" s="327"/>
      <c r="P177" s="327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5">
      <c r="A178" s="213"/>
      <c r="B178" s="227"/>
      <c r="C178" s="227"/>
      <c r="D178" s="227"/>
      <c r="E178" s="227"/>
      <c r="F178" s="227"/>
      <c r="G178" s="227"/>
      <c r="H178" s="227"/>
      <c r="I178" s="227"/>
      <c r="J178" s="227"/>
      <c r="K178" s="330"/>
      <c r="L178" s="227"/>
      <c r="M178" s="331"/>
      <c r="N178" s="327"/>
      <c r="O178" s="327"/>
      <c r="P178" s="327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5">
      <c r="A179" s="213"/>
      <c r="B179" s="227"/>
      <c r="C179" s="227"/>
      <c r="D179" s="227"/>
      <c r="E179" s="227"/>
      <c r="F179" s="227"/>
      <c r="G179" s="227"/>
      <c r="H179" s="227"/>
      <c r="I179" s="227"/>
      <c r="J179" s="227"/>
      <c r="K179" s="330"/>
      <c r="L179" s="227"/>
      <c r="M179" s="331"/>
      <c r="N179" s="327"/>
      <c r="O179" s="327"/>
      <c r="P179" s="327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5">
      <c r="A180" s="213"/>
      <c r="B180" s="227"/>
      <c r="C180" s="227"/>
      <c r="D180" s="227"/>
      <c r="E180" s="227"/>
      <c r="F180" s="227"/>
      <c r="G180" s="227"/>
      <c r="H180" s="227"/>
      <c r="I180" s="227"/>
      <c r="J180" s="227"/>
      <c r="K180" s="330"/>
      <c r="L180" s="227"/>
      <c r="M180" s="331"/>
      <c r="N180" s="327"/>
      <c r="O180" s="327"/>
      <c r="P180" s="327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5">
      <c r="A181" s="213"/>
      <c r="B181" s="227"/>
      <c r="C181" s="227"/>
      <c r="D181" s="227"/>
      <c r="E181" s="227"/>
      <c r="F181" s="227"/>
      <c r="G181" s="227"/>
      <c r="H181" s="227"/>
      <c r="I181" s="227"/>
      <c r="J181" s="227"/>
      <c r="K181" s="330"/>
      <c r="L181" s="227"/>
      <c r="M181" s="331"/>
      <c r="N181" s="327"/>
      <c r="O181" s="327"/>
      <c r="P181" s="327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5">
      <c r="A182" s="213"/>
      <c r="B182" s="227"/>
      <c r="C182" s="227"/>
      <c r="D182" s="227"/>
      <c r="E182" s="227"/>
      <c r="F182" s="227"/>
      <c r="G182" s="227"/>
      <c r="H182" s="227"/>
      <c r="I182" s="227"/>
      <c r="J182" s="227"/>
      <c r="K182" s="330"/>
      <c r="L182" s="227"/>
      <c r="M182" s="331"/>
      <c r="N182" s="327"/>
      <c r="O182" s="327"/>
      <c r="P182" s="327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5">
      <c r="A183" s="213"/>
      <c r="B183" s="227"/>
      <c r="C183" s="227"/>
      <c r="D183" s="227"/>
      <c r="E183" s="227"/>
      <c r="F183" s="227"/>
      <c r="G183" s="227"/>
      <c r="H183" s="227"/>
      <c r="I183" s="227"/>
      <c r="J183" s="227"/>
      <c r="K183" s="330"/>
      <c r="L183" s="227"/>
      <c r="M183" s="331"/>
      <c r="N183" s="327"/>
      <c r="O183" s="327"/>
      <c r="P183" s="327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5">
      <c r="A184" s="213"/>
      <c r="B184" s="227"/>
      <c r="C184" s="227"/>
      <c r="D184" s="227"/>
      <c r="E184" s="227"/>
      <c r="F184" s="227"/>
      <c r="G184" s="227"/>
      <c r="H184" s="227"/>
      <c r="I184" s="227"/>
      <c r="J184" s="227"/>
      <c r="K184" s="330"/>
      <c r="L184" s="227"/>
      <c r="M184" s="331"/>
      <c r="N184" s="327"/>
      <c r="O184" s="327"/>
      <c r="P184" s="327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5">
      <c r="A185" s="213"/>
      <c r="B185" s="227"/>
      <c r="C185" s="227"/>
      <c r="D185" s="227"/>
      <c r="E185" s="227"/>
      <c r="F185" s="227"/>
      <c r="G185" s="227"/>
      <c r="H185" s="227"/>
      <c r="I185" s="227"/>
      <c r="J185" s="227"/>
      <c r="K185" s="330"/>
      <c r="L185" s="227"/>
      <c r="M185" s="331"/>
      <c r="N185" s="327"/>
      <c r="O185" s="327"/>
      <c r="P185" s="327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5">
      <c r="A186" s="213"/>
      <c r="B186" s="227"/>
      <c r="C186" s="227"/>
      <c r="D186" s="227"/>
      <c r="E186" s="227"/>
      <c r="F186" s="227"/>
      <c r="G186" s="227"/>
      <c r="H186" s="227"/>
      <c r="I186" s="227"/>
      <c r="J186" s="227"/>
      <c r="K186" s="330"/>
      <c r="L186" s="227"/>
      <c r="M186" s="331"/>
      <c r="N186" s="327"/>
      <c r="O186" s="327"/>
      <c r="P186" s="327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5">
      <c r="A187" s="213"/>
      <c r="B187" s="227"/>
      <c r="C187" s="227"/>
      <c r="D187" s="227"/>
      <c r="E187" s="227"/>
      <c r="F187" s="227"/>
      <c r="G187" s="227"/>
      <c r="H187" s="227"/>
      <c r="I187" s="227"/>
      <c r="J187" s="227"/>
      <c r="K187" s="330"/>
      <c r="L187" s="227"/>
      <c r="M187" s="331"/>
      <c r="N187" s="327"/>
      <c r="O187" s="327"/>
      <c r="P187" s="327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5">
      <c r="A188" s="213"/>
      <c r="B188" s="227"/>
      <c r="C188" s="227"/>
      <c r="D188" s="227"/>
      <c r="E188" s="227"/>
      <c r="F188" s="227"/>
      <c r="G188" s="227"/>
      <c r="H188" s="227"/>
      <c r="I188" s="227"/>
      <c r="J188" s="227"/>
      <c r="K188" s="330"/>
      <c r="L188" s="227"/>
      <c r="M188" s="331"/>
      <c r="N188" s="327"/>
      <c r="O188" s="327"/>
      <c r="P188" s="327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5">
      <c r="A189" s="213"/>
      <c r="B189" s="227"/>
      <c r="C189" s="227"/>
      <c r="D189" s="227"/>
      <c r="E189" s="227"/>
      <c r="F189" s="227"/>
      <c r="G189" s="227"/>
      <c r="H189" s="227"/>
      <c r="I189" s="227"/>
      <c r="J189" s="227"/>
      <c r="K189" s="330"/>
      <c r="L189" s="227"/>
      <c r="M189" s="331"/>
      <c r="N189" s="327"/>
      <c r="O189" s="327"/>
      <c r="P189" s="327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5">
      <c r="A190" s="213"/>
      <c r="B190" s="227"/>
      <c r="C190" s="227"/>
      <c r="D190" s="227"/>
      <c r="E190" s="227"/>
      <c r="F190" s="227"/>
      <c r="G190" s="227"/>
      <c r="H190" s="227"/>
      <c r="I190" s="227"/>
      <c r="J190" s="227"/>
      <c r="K190" s="330"/>
      <c r="L190" s="227"/>
      <c r="M190" s="331"/>
      <c r="N190" s="327"/>
      <c r="O190" s="327"/>
      <c r="P190" s="327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5">
      <c r="A191" s="213"/>
      <c r="B191" s="227"/>
      <c r="C191" s="227"/>
      <c r="D191" s="227"/>
      <c r="E191" s="227"/>
      <c r="F191" s="227"/>
      <c r="G191" s="227"/>
      <c r="H191" s="227"/>
      <c r="I191" s="227"/>
      <c r="J191" s="227"/>
      <c r="K191" s="330"/>
      <c r="L191" s="227"/>
      <c r="M191" s="331"/>
      <c r="N191" s="327"/>
      <c r="O191" s="327"/>
      <c r="P191" s="327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5">
      <c r="A192" s="213"/>
      <c r="B192" s="227"/>
      <c r="C192" s="227"/>
      <c r="D192" s="227"/>
      <c r="E192" s="227"/>
      <c r="F192" s="227"/>
      <c r="G192" s="227"/>
      <c r="H192" s="227"/>
      <c r="I192" s="227"/>
      <c r="J192" s="227"/>
      <c r="K192" s="330"/>
      <c r="L192" s="227"/>
      <c r="M192" s="331"/>
      <c r="N192" s="327"/>
      <c r="O192" s="327"/>
      <c r="P192" s="327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5">
      <c r="A193" s="213"/>
      <c r="B193" s="227"/>
      <c r="C193" s="227"/>
      <c r="D193" s="227"/>
      <c r="E193" s="227"/>
      <c r="F193" s="227"/>
      <c r="G193" s="227"/>
      <c r="H193" s="227"/>
      <c r="I193" s="227"/>
      <c r="J193" s="227"/>
      <c r="K193" s="330"/>
      <c r="L193" s="227"/>
      <c r="M193" s="331"/>
      <c r="N193" s="327"/>
      <c r="O193" s="327"/>
      <c r="P193" s="327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5">
      <c r="A194" s="213"/>
      <c r="B194" s="227"/>
      <c r="C194" s="227"/>
      <c r="D194" s="227"/>
      <c r="E194" s="227"/>
      <c r="F194" s="227"/>
      <c r="G194" s="227"/>
      <c r="H194" s="227"/>
      <c r="I194" s="227"/>
      <c r="J194" s="227"/>
      <c r="K194" s="330"/>
      <c r="L194" s="227"/>
      <c r="M194" s="331"/>
      <c r="N194" s="327"/>
      <c r="O194" s="327"/>
      <c r="P194" s="327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5">
      <c r="A195" s="213"/>
      <c r="B195" s="227"/>
      <c r="C195" s="227"/>
      <c r="D195" s="227"/>
      <c r="E195" s="227"/>
      <c r="F195" s="227"/>
      <c r="G195" s="227"/>
      <c r="H195" s="227"/>
      <c r="I195" s="227"/>
      <c r="J195" s="227"/>
      <c r="K195" s="330"/>
      <c r="L195" s="227"/>
      <c r="M195" s="331"/>
      <c r="N195" s="327"/>
      <c r="O195" s="327"/>
      <c r="P195" s="327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5">
      <c r="A196" s="213"/>
      <c r="B196" s="227"/>
      <c r="C196" s="227"/>
      <c r="D196" s="227"/>
      <c r="E196" s="227"/>
      <c r="F196" s="227"/>
      <c r="G196" s="227"/>
      <c r="H196" s="227"/>
      <c r="I196" s="227"/>
      <c r="J196" s="227"/>
      <c r="K196" s="330"/>
      <c r="L196" s="227"/>
      <c r="M196" s="331"/>
      <c r="N196" s="327"/>
      <c r="O196" s="327"/>
      <c r="P196" s="327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5">
      <c r="A197" s="213"/>
      <c r="B197" s="227"/>
      <c r="C197" s="227"/>
      <c r="D197" s="227"/>
      <c r="E197" s="227"/>
      <c r="F197" s="227"/>
      <c r="G197" s="227"/>
      <c r="H197" s="227"/>
      <c r="I197" s="227"/>
      <c r="J197" s="227"/>
      <c r="K197" s="330"/>
      <c r="L197" s="227"/>
      <c r="M197" s="331"/>
      <c r="N197" s="327"/>
      <c r="O197" s="327"/>
      <c r="P197" s="327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5">
      <c r="A198" s="213"/>
      <c r="B198" s="227"/>
      <c r="C198" s="227"/>
      <c r="D198" s="227"/>
      <c r="E198" s="227"/>
      <c r="F198" s="227"/>
      <c r="G198" s="227"/>
      <c r="H198" s="227"/>
      <c r="I198" s="227"/>
      <c r="J198" s="227"/>
      <c r="K198" s="330"/>
      <c r="L198" s="227"/>
      <c r="M198" s="331"/>
      <c r="N198" s="327"/>
      <c r="O198" s="327"/>
      <c r="P198" s="327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5">
      <c r="A199" s="213"/>
      <c r="B199" s="227"/>
      <c r="C199" s="227"/>
      <c r="D199" s="227"/>
      <c r="E199" s="227"/>
      <c r="F199" s="227"/>
      <c r="G199" s="227"/>
      <c r="H199" s="227"/>
      <c r="I199" s="227"/>
      <c r="J199" s="227"/>
      <c r="K199" s="330"/>
      <c r="L199" s="227"/>
      <c r="M199" s="331"/>
      <c r="N199" s="327"/>
      <c r="O199" s="327"/>
      <c r="P199" s="327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5">
      <c r="A200" s="213"/>
      <c r="B200" s="227"/>
      <c r="C200" s="227"/>
      <c r="D200" s="227"/>
      <c r="E200" s="227"/>
      <c r="F200" s="227"/>
      <c r="G200" s="227"/>
      <c r="H200" s="227"/>
      <c r="I200" s="227"/>
      <c r="J200" s="227"/>
      <c r="K200" s="330"/>
      <c r="L200" s="227"/>
      <c r="M200" s="331"/>
      <c r="N200" s="327"/>
      <c r="O200" s="327"/>
      <c r="P200" s="327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5">
      <c r="A201" s="213"/>
      <c r="B201" s="227"/>
      <c r="C201" s="227"/>
      <c r="D201" s="227"/>
      <c r="E201" s="227"/>
      <c r="F201" s="227"/>
      <c r="G201" s="227"/>
      <c r="H201" s="227"/>
      <c r="I201" s="227"/>
      <c r="J201" s="227"/>
      <c r="K201" s="330"/>
      <c r="L201" s="227"/>
      <c r="M201" s="331"/>
      <c r="N201" s="327"/>
      <c r="O201" s="327"/>
      <c r="P201" s="327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5">
      <c r="A202" s="213"/>
      <c r="B202" s="227"/>
      <c r="C202" s="227"/>
      <c r="D202" s="227"/>
      <c r="E202" s="227"/>
      <c r="F202" s="227"/>
      <c r="G202" s="227"/>
      <c r="H202" s="227"/>
      <c r="I202" s="227"/>
      <c r="J202" s="227"/>
      <c r="K202" s="330"/>
      <c r="L202" s="227"/>
      <c r="M202" s="331"/>
      <c r="N202" s="327"/>
      <c r="O202" s="327"/>
      <c r="P202" s="327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5">
      <c r="A203" s="213"/>
      <c r="B203" s="227"/>
      <c r="C203" s="227"/>
      <c r="D203" s="227"/>
      <c r="E203" s="227"/>
      <c r="F203" s="227"/>
      <c r="G203" s="227"/>
      <c r="H203" s="227"/>
      <c r="I203" s="227"/>
      <c r="J203" s="227"/>
      <c r="K203" s="330"/>
      <c r="L203" s="227"/>
      <c r="M203" s="331"/>
      <c r="N203" s="327"/>
      <c r="O203" s="327"/>
      <c r="P203" s="327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5">
      <c r="A204" s="213"/>
      <c r="B204" s="227"/>
      <c r="C204" s="227"/>
      <c r="D204" s="227"/>
      <c r="E204" s="227"/>
      <c r="F204" s="227"/>
      <c r="G204" s="227"/>
      <c r="H204" s="227"/>
      <c r="I204" s="227"/>
      <c r="J204" s="227"/>
      <c r="K204" s="330"/>
      <c r="L204" s="227"/>
      <c r="M204" s="331"/>
      <c r="N204" s="327"/>
      <c r="O204" s="327"/>
      <c r="P204" s="327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5">
      <c r="A205" s="213"/>
      <c r="B205" s="227"/>
      <c r="C205" s="227"/>
      <c r="D205" s="227"/>
      <c r="E205" s="227"/>
      <c r="F205" s="227"/>
      <c r="G205" s="227"/>
      <c r="H205" s="227"/>
      <c r="I205" s="227"/>
      <c r="J205" s="227"/>
      <c r="K205" s="330"/>
      <c r="L205" s="227"/>
      <c r="M205" s="331"/>
      <c r="N205" s="327"/>
      <c r="O205" s="327"/>
      <c r="P205" s="327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5">
      <c r="A206" s="213"/>
      <c r="B206" s="227"/>
      <c r="C206" s="227"/>
      <c r="D206" s="227"/>
      <c r="E206" s="227"/>
      <c r="F206" s="227"/>
      <c r="G206" s="227"/>
      <c r="H206" s="227"/>
      <c r="I206" s="227"/>
      <c r="J206" s="227"/>
      <c r="K206" s="330"/>
      <c r="L206" s="227"/>
      <c r="M206" s="331"/>
      <c r="N206" s="327"/>
      <c r="O206" s="327"/>
      <c r="P206" s="327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5">
      <c r="A207" s="213"/>
      <c r="B207" s="227"/>
      <c r="C207" s="227"/>
      <c r="D207" s="227"/>
      <c r="E207" s="227"/>
      <c r="F207" s="227"/>
      <c r="G207" s="227"/>
      <c r="H207" s="227"/>
      <c r="I207" s="227"/>
      <c r="J207" s="227"/>
      <c r="K207" s="330"/>
      <c r="L207" s="227"/>
      <c r="M207" s="331"/>
      <c r="N207" s="327"/>
      <c r="O207" s="327"/>
      <c r="P207" s="327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5">
      <c r="A208" s="213"/>
      <c r="B208" s="227"/>
      <c r="C208" s="227"/>
      <c r="D208" s="227"/>
      <c r="E208" s="227"/>
      <c r="F208" s="227"/>
      <c r="G208" s="227"/>
      <c r="H208" s="227"/>
      <c r="I208" s="227"/>
      <c r="J208" s="227"/>
      <c r="K208" s="330"/>
      <c r="L208" s="227"/>
      <c r="M208" s="331"/>
      <c r="N208" s="327"/>
      <c r="O208" s="327"/>
      <c r="P208" s="327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5">
      <c r="A209" s="213"/>
      <c r="B209" s="227"/>
      <c r="C209" s="227"/>
      <c r="D209" s="227"/>
      <c r="E209" s="227"/>
      <c r="F209" s="227"/>
      <c r="G209" s="227"/>
      <c r="H209" s="227"/>
      <c r="I209" s="227"/>
      <c r="J209" s="227"/>
      <c r="K209" s="330"/>
      <c r="L209" s="227"/>
      <c r="M209" s="331"/>
      <c r="N209" s="327"/>
      <c r="O209" s="327"/>
      <c r="P209" s="327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5">
      <c r="A210" s="213"/>
      <c r="B210" s="227"/>
      <c r="C210" s="227"/>
      <c r="D210" s="227"/>
      <c r="E210" s="227"/>
      <c r="F210" s="227"/>
      <c r="G210" s="227"/>
      <c r="H210" s="227"/>
      <c r="I210" s="227"/>
      <c r="J210" s="227"/>
      <c r="K210" s="330"/>
      <c r="L210" s="227"/>
      <c r="M210" s="331"/>
      <c r="N210" s="327"/>
      <c r="O210" s="327"/>
      <c r="P210" s="327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5">
      <c r="A211" s="213"/>
      <c r="B211" s="227"/>
      <c r="C211" s="227"/>
      <c r="D211" s="227"/>
      <c r="E211" s="227"/>
      <c r="F211" s="227"/>
      <c r="G211" s="227"/>
      <c r="H211" s="227"/>
      <c r="I211" s="227"/>
      <c r="J211" s="227"/>
      <c r="K211" s="330"/>
      <c r="L211" s="227"/>
      <c r="M211" s="331"/>
      <c r="N211" s="327"/>
      <c r="O211" s="327"/>
      <c r="P211" s="327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5">
      <c r="A212" s="213"/>
      <c r="B212" s="227"/>
      <c r="C212" s="227"/>
      <c r="D212" s="227"/>
      <c r="E212" s="227"/>
      <c r="F212" s="227"/>
      <c r="G212" s="227"/>
      <c r="H212" s="227"/>
      <c r="I212" s="227"/>
      <c r="J212" s="227"/>
      <c r="K212" s="330"/>
      <c r="L212" s="227"/>
      <c r="M212" s="331"/>
      <c r="N212" s="327"/>
      <c r="O212" s="327"/>
      <c r="P212" s="327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5">
      <c r="A213" s="213"/>
      <c r="B213" s="227"/>
      <c r="C213" s="227"/>
      <c r="D213" s="227"/>
      <c r="E213" s="227"/>
      <c r="F213" s="227"/>
      <c r="G213" s="227"/>
      <c r="H213" s="227"/>
      <c r="I213" s="227"/>
      <c r="J213" s="227"/>
      <c r="K213" s="330"/>
      <c r="L213" s="227"/>
      <c r="M213" s="331"/>
      <c r="N213" s="327"/>
      <c r="O213" s="327"/>
      <c r="P213" s="327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5">
      <c r="A214" s="213"/>
      <c r="B214" s="227"/>
      <c r="C214" s="227"/>
      <c r="D214" s="227"/>
      <c r="E214" s="227"/>
      <c r="F214" s="227"/>
      <c r="G214" s="227"/>
      <c r="H214" s="227"/>
      <c r="I214" s="227"/>
      <c r="J214" s="227"/>
      <c r="K214" s="330"/>
      <c r="L214" s="227"/>
      <c r="M214" s="331"/>
      <c r="N214" s="327"/>
      <c r="O214" s="327"/>
      <c r="P214" s="327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5">
      <c r="A215" s="213"/>
      <c r="B215" s="227"/>
      <c r="C215" s="227"/>
      <c r="D215" s="227"/>
      <c r="E215" s="227"/>
      <c r="F215" s="227"/>
      <c r="G215" s="227"/>
      <c r="H215" s="227"/>
      <c r="I215" s="227"/>
      <c r="J215" s="227"/>
      <c r="K215" s="330"/>
      <c r="L215" s="227"/>
      <c r="M215" s="331"/>
      <c r="N215" s="327"/>
      <c r="O215" s="327"/>
      <c r="P215" s="327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5">
      <c r="A216" s="213"/>
      <c r="B216" s="227"/>
      <c r="C216" s="227"/>
      <c r="D216" s="227"/>
      <c r="E216" s="227"/>
      <c r="F216" s="227"/>
      <c r="G216" s="227"/>
      <c r="H216" s="227"/>
      <c r="I216" s="227"/>
      <c r="J216" s="227"/>
      <c r="K216" s="330"/>
      <c r="L216" s="227"/>
      <c r="M216" s="331"/>
      <c r="N216" s="327"/>
      <c r="O216" s="327"/>
      <c r="P216" s="327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x14ac:dyDescent="0.25">
      <c r="A217" s="213"/>
      <c r="B217" s="227"/>
      <c r="C217" s="227"/>
      <c r="D217" s="227"/>
      <c r="E217" s="227"/>
      <c r="F217" s="227"/>
      <c r="G217" s="227"/>
      <c r="H217" s="227"/>
      <c r="I217" s="227"/>
      <c r="J217" s="227"/>
      <c r="K217" s="330"/>
      <c r="L217" s="227"/>
      <c r="M217" s="331"/>
      <c r="N217" s="327"/>
      <c r="O217" s="327"/>
      <c r="P217" s="327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x14ac:dyDescent="0.25">
      <c r="A218" s="213"/>
      <c r="B218" s="227"/>
      <c r="C218" s="227"/>
      <c r="D218" s="227"/>
      <c r="E218" s="227"/>
      <c r="F218" s="227"/>
      <c r="G218" s="227"/>
      <c r="H218" s="227"/>
      <c r="I218" s="227"/>
      <c r="J218" s="227"/>
      <c r="K218" s="330"/>
      <c r="L218" s="227"/>
      <c r="M218" s="331"/>
      <c r="N218" s="327"/>
      <c r="O218" s="327"/>
      <c r="P218" s="327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x14ac:dyDescent="0.25">
      <c r="A219" s="213"/>
      <c r="B219" s="227"/>
      <c r="C219" s="227"/>
      <c r="D219" s="227"/>
      <c r="E219" s="227"/>
      <c r="F219" s="227"/>
      <c r="G219" s="227"/>
      <c r="H219" s="227"/>
      <c r="I219" s="227"/>
      <c r="J219" s="227"/>
      <c r="K219" s="330"/>
      <c r="L219" s="227"/>
      <c r="M219" s="331"/>
      <c r="N219" s="327"/>
      <c r="O219" s="327"/>
      <c r="P219" s="327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x14ac:dyDescent="0.25">
      <c r="A220" s="213"/>
      <c r="B220" s="227"/>
      <c r="C220" s="227"/>
      <c r="D220" s="227"/>
      <c r="E220" s="227"/>
      <c r="F220" s="227"/>
      <c r="G220" s="227"/>
      <c r="H220" s="227"/>
      <c r="I220" s="227"/>
      <c r="J220" s="227"/>
      <c r="K220" s="330"/>
      <c r="L220" s="227"/>
      <c r="M220" s="331"/>
      <c r="N220" s="327"/>
      <c r="O220" s="327"/>
      <c r="P220" s="327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x14ac:dyDescent="0.25">
      <c r="A221" s="213"/>
      <c r="B221" s="227"/>
      <c r="C221" s="227"/>
      <c r="D221" s="227"/>
      <c r="E221" s="227"/>
      <c r="F221" s="227"/>
      <c r="G221" s="227"/>
      <c r="H221" s="227"/>
      <c r="I221" s="227"/>
      <c r="J221" s="227"/>
      <c r="K221" s="330"/>
      <c r="L221" s="227"/>
      <c r="M221" s="331"/>
      <c r="N221" s="327"/>
      <c r="O221" s="327"/>
      <c r="P221" s="327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x14ac:dyDescent="0.25">
      <c r="A222" s="213"/>
      <c r="B222" s="227"/>
      <c r="C222" s="227"/>
      <c r="D222" s="227"/>
      <c r="E222" s="227"/>
      <c r="F222" s="227"/>
      <c r="G222" s="227"/>
      <c r="H222" s="227"/>
      <c r="I222" s="227"/>
      <c r="J222" s="227"/>
      <c r="K222" s="330"/>
      <c r="L222" s="227"/>
      <c r="M222" s="331"/>
      <c r="N222" s="327"/>
      <c r="O222" s="327"/>
      <c r="P222" s="327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x14ac:dyDescent="0.25">
      <c r="A223" s="213"/>
      <c r="B223" s="227"/>
      <c r="C223" s="227"/>
      <c r="D223" s="227"/>
      <c r="E223" s="227"/>
      <c r="F223" s="227"/>
      <c r="G223" s="227"/>
      <c r="H223" s="227"/>
      <c r="I223" s="227"/>
      <c r="J223" s="227"/>
      <c r="K223" s="330"/>
      <c r="L223" s="227"/>
      <c r="M223" s="331"/>
      <c r="N223" s="327"/>
      <c r="O223" s="327"/>
      <c r="P223" s="327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x14ac:dyDescent="0.25">
      <c r="A224" s="213"/>
      <c r="B224" s="227"/>
      <c r="C224" s="227"/>
      <c r="D224" s="227"/>
      <c r="E224" s="227"/>
      <c r="F224" s="227"/>
      <c r="G224" s="227"/>
      <c r="H224" s="227"/>
      <c r="I224" s="227"/>
      <c r="J224" s="227"/>
      <c r="K224" s="330"/>
      <c r="L224" s="227"/>
      <c r="M224" s="331"/>
      <c r="N224" s="327"/>
      <c r="O224" s="327"/>
      <c r="P224" s="327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x14ac:dyDescent="0.25">
      <c r="A225" s="213"/>
      <c r="B225" s="227"/>
      <c r="C225" s="227"/>
      <c r="D225" s="227"/>
      <c r="E225" s="227"/>
      <c r="F225" s="227"/>
      <c r="G225" s="227"/>
      <c r="H225" s="227"/>
      <c r="I225" s="227"/>
      <c r="J225" s="227"/>
      <c r="K225" s="330"/>
      <c r="L225" s="227"/>
      <c r="M225" s="331"/>
      <c r="N225" s="327"/>
      <c r="O225" s="327"/>
      <c r="P225" s="327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x14ac:dyDescent="0.25">
      <c r="A226" s="213"/>
      <c r="B226" s="227"/>
      <c r="C226" s="227"/>
      <c r="D226" s="227"/>
      <c r="E226" s="227"/>
      <c r="F226" s="227"/>
      <c r="G226" s="227"/>
      <c r="H226" s="227"/>
      <c r="I226" s="227"/>
      <c r="J226" s="227"/>
      <c r="K226" s="330"/>
      <c r="L226" s="227"/>
      <c r="M226" s="331"/>
      <c r="N226" s="327"/>
      <c r="O226" s="327"/>
      <c r="P226" s="327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x14ac:dyDescent="0.25">
      <c r="A227" s="213"/>
      <c r="B227" s="227"/>
      <c r="C227" s="227"/>
      <c r="D227" s="227"/>
      <c r="E227" s="227"/>
      <c r="F227" s="227"/>
      <c r="G227" s="227"/>
      <c r="H227" s="227"/>
      <c r="I227" s="227"/>
      <c r="J227" s="227"/>
      <c r="K227" s="330"/>
      <c r="L227" s="227"/>
      <c r="M227" s="331"/>
      <c r="N227" s="327"/>
      <c r="O227" s="327"/>
      <c r="P227" s="327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x14ac:dyDescent="0.25">
      <c r="A228" s="213"/>
      <c r="B228" s="227"/>
      <c r="C228" s="227"/>
      <c r="D228" s="227"/>
      <c r="E228" s="227"/>
      <c r="F228" s="227"/>
      <c r="G228" s="227"/>
      <c r="H228" s="227"/>
      <c r="I228" s="227"/>
      <c r="J228" s="227"/>
      <c r="K228" s="330"/>
      <c r="L228" s="227"/>
      <c r="M228" s="331"/>
      <c r="N228" s="327"/>
      <c r="O228" s="327"/>
      <c r="P228" s="327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x14ac:dyDescent="0.25">
      <c r="A229" s="213"/>
      <c r="B229" s="227"/>
      <c r="C229" s="227"/>
      <c r="D229" s="227"/>
      <c r="E229" s="227"/>
      <c r="F229" s="227"/>
      <c r="G229" s="227"/>
      <c r="H229" s="227"/>
      <c r="I229" s="227"/>
      <c r="J229" s="227"/>
      <c r="K229" s="330"/>
      <c r="L229" s="227"/>
      <c r="M229" s="331"/>
      <c r="N229" s="327"/>
      <c r="O229" s="327"/>
      <c r="P229" s="327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x14ac:dyDescent="0.25">
      <c r="A230" s="213"/>
      <c r="B230" s="227"/>
      <c r="C230" s="227"/>
      <c r="D230" s="227"/>
      <c r="E230" s="227"/>
      <c r="F230" s="227"/>
      <c r="G230" s="227"/>
      <c r="H230" s="227"/>
      <c r="I230" s="227"/>
      <c r="J230" s="227"/>
      <c r="K230" s="330"/>
      <c r="L230" s="227"/>
      <c r="M230" s="331"/>
      <c r="N230" s="327"/>
      <c r="O230" s="327"/>
      <c r="P230" s="327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x14ac:dyDescent="0.25">
      <c r="A231" s="213"/>
      <c r="B231" s="227"/>
      <c r="C231" s="227"/>
      <c r="D231" s="227"/>
      <c r="E231" s="227"/>
      <c r="F231" s="227"/>
      <c r="G231" s="227"/>
      <c r="H231" s="227"/>
      <c r="I231" s="227"/>
      <c r="J231" s="227"/>
      <c r="K231" s="330"/>
      <c r="L231" s="227"/>
      <c r="M231" s="331"/>
      <c r="N231" s="327"/>
      <c r="O231" s="327"/>
      <c r="P231" s="327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5">
      <c r="A232" s="213"/>
      <c r="B232" s="227"/>
      <c r="C232" s="227"/>
      <c r="D232" s="227"/>
      <c r="E232" s="227"/>
      <c r="F232" s="227"/>
      <c r="G232" s="227"/>
      <c r="H232" s="227"/>
      <c r="I232" s="227"/>
      <c r="J232" s="227"/>
      <c r="K232" s="330"/>
      <c r="L232" s="227"/>
      <c r="M232" s="331"/>
      <c r="N232" s="327"/>
      <c r="O232" s="327"/>
      <c r="P232" s="327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x14ac:dyDescent="0.25">
      <c r="A233" s="213"/>
      <c r="B233" s="227"/>
      <c r="C233" s="227"/>
      <c r="D233" s="227"/>
      <c r="E233" s="227"/>
      <c r="F233" s="227"/>
      <c r="G233" s="227"/>
      <c r="H233" s="227"/>
      <c r="I233" s="227"/>
      <c r="J233" s="227"/>
      <c r="K233" s="330"/>
      <c r="L233" s="227"/>
      <c r="M233" s="331"/>
      <c r="N233" s="327"/>
      <c r="O233" s="327"/>
      <c r="P233" s="327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x14ac:dyDescent="0.25">
      <c r="A234" s="213"/>
      <c r="B234" s="227"/>
      <c r="C234" s="227"/>
      <c r="D234" s="227"/>
      <c r="E234" s="227"/>
      <c r="F234" s="227"/>
      <c r="G234" s="227"/>
      <c r="H234" s="227"/>
      <c r="I234" s="227"/>
      <c r="J234" s="227"/>
      <c r="K234" s="330"/>
      <c r="L234" s="227"/>
      <c r="M234" s="331"/>
      <c r="N234" s="327"/>
      <c r="O234" s="327"/>
      <c r="P234" s="327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x14ac:dyDescent="0.25">
      <c r="A235" s="213"/>
      <c r="B235" s="227"/>
      <c r="C235" s="227"/>
      <c r="D235" s="227"/>
      <c r="E235" s="227"/>
      <c r="F235" s="227"/>
      <c r="G235" s="227"/>
      <c r="H235" s="227"/>
      <c r="I235" s="227"/>
      <c r="J235" s="227"/>
      <c r="K235" s="330"/>
      <c r="L235" s="227"/>
      <c r="M235" s="331"/>
      <c r="N235" s="327"/>
      <c r="O235" s="327"/>
      <c r="P235" s="327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x14ac:dyDescent="0.25">
      <c r="A236" s="213"/>
      <c r="B236" s="227"/>
      <c r="C236" s="227"/>
      <c r="D236" s="227"/>
      <c r="E236" s="227"/>
      <c r="F236" s="227"/>
      <c r="G236" s="227"/>
      <c r="H236" s="227"/>
      <c r="I236" s="227"/>
      <c r="J236" s="227"/>
      <c r="K236" s="330"/>
      <c r="L236" s="227"/>
      <c r="M236" s="331"/>
      <c r="N236" s="327"/>
      <c r="O236" s="327"/>
      <c r="P236" s="327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x14ac:dyDescent="0.25">
      <c r="A237" s="213"/>
      <c r="B237" s="227"/>
      <c r="C237" s="227"/>
      <c r="D237" s="227"/>
      <c r="E237" s="227"/>
      <c r="F237" s="227"/>
      <c r="G237" s="227"/>
      <c r="H237" s="227"/>
      <c r="I237" s="227"/>
      <c r="J237" s="227"/>
      <c r="K237" s="330"/>
      <c r="L237" s="227"/>
      <c r="M237" s="331"/>
      <c r="N237" s="327"/>
      <c r="O237" s="327"/>
      <c r="P237" s="327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x14ac:dyDescent="0.25">
      <c r="A238" s="213"/>
      <c r="B238" s="227"/>
      <c r="C238" s="227"/>
      <c r="D238" s="227"/>
      <c r="E238" s="227"/>
      <c r="F238" s="227"/>
      <c r="G238" s="227"/>
      <c r="H238" s="227"/>
      <c r="I238" s="227"/>
      <c r="J238" s="227"/>
      <c r="K238" s="330"/>
      <c r="L238" s="227"/>
      <c r="M238" s="331"/>
      <c r="N238" s="327"/>
      <c r="O238" s="327"/>
      <c r="P238" s="327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5">
      <c r="A239" s="213"/>
      <c r="B239" s="227"/>
      <c r="C239" s="227"/>
      <c r="D239" s="227"/>
      <c r="E239" s="227"/>
      <c r="F239" s="227"/>
      <c r="G239" s="227"/>
      <c r="H239" s="227"/>
      <c r="I239" s="227"/>
      <c r="J239" s="227"/>
      <c r="K239" s="330"/>
      <c r="L239" s="227"/>
      <c r="M239" s="331"/>
      <c r="N239" s="327"/>
      <c r="O239" s="327"/>
      <c r="P239" s="327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5">
      <c r="A240" s="213"/>
      <c r="B240" s="227"/>
      <c r="C240" s="227"/>
      <c r="D240" s="227"/>
      <c r="E240" s="227"/>
      <c r="F240" s="227"/>
      <c r="G240" s="227"/>
      <c r="H240" s="227"/>
      <c r="I240" s="227"/>
      <c r="J240" s="227"/>
      <c r="K240" s="330"/>
      <c r="L240" s="227"/>
      <c r="M240" s="331"/>
      <c r="N240" s="327"/>
      <c r="O240" s="327"/>
      <c r="P240" s="327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x14ac:dyDescent="0.25">
      <c r="A241" s="213"/>
      <c r="B241" s="227"/>
      <c r="C241" s="227"/>
      <c r="D241" s="227"/>
      <c r="E241" s="227"/>
      <c r="F241" s="227"/>
      <c r="G241" s="227"/>
      <c r="H241" s="227"/>
      <c r="I241" s="227"/>
      <c r="J241" s="227"/>
      <c r="K241" s="330"/>
      <c r="L241" s="227"/>
      <c r="M241" s="331"/>
      <c r="N241" s="327"/>
      <c r="O241" s="327"/>
      <c r="P241" s="327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5">
      <c r="A242" s="213"/>
      <c r="B242" s="227"/>
      <c r="C242" s="227"/>
      <c r="D242" s="227"/>
      <c r="E242" s="227"/>
      <c r="F242" s="227"/>
      <c r="G242" s="227"/>
      <c r="H242" s="227"/>
      <c r="I242" s="227"/>
      <c r="J242" s="227"/>
      <c r="K242" s="330"/>
      <c r="L242" s="227"/>
      <c r="M242" s="331"/>
      <c r="N242" s="327"/>
      <c r="O242" s="327"/>
      <c r="P242" s="327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x14ac:dyDescent="0.25">
      <c r="A243" s="213"/>
      <c r="B243" s="227"/>
      <c r="C243" s="227"/>
      <c r="D243" s="227"/>
      <c r="E243" s="227"/>
      <c r="F243" s="227"/>
      <c r="G243" s="227"/>
      <c r="H243" s="227"/>
      <c r="I243" s="227"/>
      <c r="J243" s="227"/>
      <c r="K243" s="330"/>
      <c r="L243" s="227"/>
      <c r="M243" s="331"/>
      <c r="N243" s="327"/>
      <c r="O243" s="327"/>
      <c r="P243" s="327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5">
      <c r="A244" s="213"/>
      <c r="B244" s="227"/>
      <c r="C244" s="227"/>
      <c r="D244" s="227"/>
      <c r="E244" s="227"/>
      <c r="F244" s="227"/>
      <c r="G244" s="227"/>
      <c r="H244" s="227"/>
      <c r="I244" s="227"/>
      <c r="J244" s="227"/>
      <c r="K244" s="330"/>
      <c r="L244" s="227"/>
      <c r="M244" s="331"/>
      <c r="N244" s="327"/>
      <c r="O244" s="327"/>
      <c r="P244" s="327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5">
      <c r="A245" s="213"/>
      <c r="B245" s="227"/>
      <c r="C245" s="227"/>
      <c r="D245" s="227"/>
      <c r="E245" s="227"/>
      <c r="F245" s="227"/>
      <c r="G245" s="227"/>
      <c r="H245" s="227"/>
      <c r="I245" s="227"/>
      <c r="J245" s="227"/>
      <c r="K245" s="330"/>
      <c r="L245" s="227"/>
      <c r="M245" s="331"/>
      <c r="N245" s="327"/>
      <c r="O245" s="327"/>
      <c r="P245" s="327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x14ac:dyDescent="0.25">
      <c r="A246" s="213"/>
      <c r="B246" s="227"/>
      <c r="C246" s="227"/>
      <c r="D246" s="227"/>
      <c r="E246" s="227"/>
      <c r="F246" s="227"/>
      <c r="G246" s="227"/>
      <c r="H246" s="227"/>
      <c r="I246" s="227"/>
      <c r="J246" s="227"/>
      <c r="K246" s="330"/>
      <c r="L246" s="227"/>
      <c r="M246" s="331"/>
      <c r="N246" s="327"/>
      <c r="O246" s="327"/>
      <c r="P246" s="327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x14ac:dyDescent="0.25">
      <c r="A247" s="213"/>
      <c r="B247" s="227"/>
      <c r="C247" s="227"/>
      <c r="D247" s="227"/>
      <c r="E247" s="227"/>
      <c r="F247" s="227"/>
      <c r="G247" s="227"/>
      <c r="H247" s="227"/>
      <c r="I247" s="227"/>
      <c r="J247" s="227"/>
      <c r="K247" s="330"/>
      <c r="L247" s="227"/>
      <c r="M247" s="331"/>
      <c r="N247" s="327"/>
      <c r="O247" s="327"/>
      <c r="P247" s="327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x14ac:dyDescent="0.25">
      <c r="A248" s="213"/>
      <c r="B248" s="227"/>
      <c r="C248" s="227"/>
      <c r="D248" s="227"/>
      <c r="E248" s="227"/>
      <c r="F248" s="227"/>
      <c r="G248" s="227"/>
      <c r="H248" s="227"/>
      <c r="I248" s="227"/>
      <c r="J248" s="227"/>
      <c r="K248" s="330"/>
      <c r="L248" s="227"/>
      <c r="M248" s="331"/>
      <c r="N248" s="327"/>
      <c r="O248" s="327"/>
      <c r="P248" s="327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x14ac:dyDescent="0.25">
      <c r="A249" s="213"/>
      <c r="B249" s="227"/>
      <c r="C249" s="227"/>
      <c r="D249" s="227"/>
      <c r="E249" s="227"/>
      <c r="F249" s="227"/>
      <c r="G249" s="227"/>
      <c r="H249" s="227"/>
      <c r="I249" s="227"/>
      <c r="J249" s="227"/>
      <c r="K249" s="330"/>
      <c r="L249" s="227"/>
      <c r="M249" s="331"/>
      <c r="N249" s="327"/>
      <c r="O249" s="327"/>
      <c r="P249" s="327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5">
      <c r="A250" s="213"/>
      <c r="B250" s="227"/>
      <c r="C250" s="227"/>
      <c r="D250" s="227"/>
      <c r="E250" s="227"/>
      <c r="F250" s="227"/>
      <c r="G250" s="227"/>
      <c r="H250" s="227"/>
      <c r="I250" s="227"/>
      <c r="J250" s="227"/>
      <c r="K250" s="330"/>
      <c r="L250" s="227"/>
      <c r="M250" s="331"/>
      <c r="N250" s="327"/>
      <c r="O250" s="327"/>
      <c r="P250" s="327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5">
      <c r="A251" s="213"/>
      <c r="B251" s="227"/>
      <c r="C251" s="227"/>
      <c r="D251" s="227"/>
      <c r="E251" s="227"/>
      <c r="F251" s="227"/>
      <c r="G251" s="227"/>
      <c r="H251" s="227"/>
      <c r="I251" s="227"/>
      <c r="J251" s="227"/>
      <c r="K251" s="330"/>
      <c r="L251" s="227"/>
      <c r="M251" s="331"/>
      <c r="N251" s="327"/>
      <c r="O251" s="327"/>
      <c r="P251" s="327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5">
      <c r="A252" s="213"/>
      <c r="B252" s="227"/>
      <c r="C252" s="227"/>
      <c r="D252" s="227"/>
      <c r="E252" s="227"/>
      <c r="F252" s="227"/>
      <c r="G252" s="227"/>
      <c r="H252" s="227"/>
      <c r="I252" s="227"/>
      <c r="J252" s="227"/>
      <c r="K252" s="330"/>
      <c r="L252" s="227"/>
      <c r="M252" s="331"/>
      <c r="N252" s="327"/>
      <c r="O252" s="327"/>
      <c r="P252" s="327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5">
      <c r="A253" s="213"/>
      <c r="B253" s="227"/>
      <c r="C253" s="227"/>
      <c r="D253" s="227"/>
      <c r="E253" s="227"/>
      <c r="F253" s="227"/>
      <c r="G253" s="227"/>
      <c r="H253" s="227"/>
      <c r="I253" s="227"/>
      <c r="J253" s="227"/>
      <c r="K253" s="330"/>
      <c r="L253" s="227"/>
      <c r="M253" s="331"/>
      <c r="N253" s="327"/>
      <c r="O253" s="327"/>
      <c r="P253" s="327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5">
      <c r="A254" s="213"/>
      <c r="B254" s="227"/>
      <c r="C254" s="227"/>
      <c r="D254" s="227"/>
      <c r="E254" s="227"/>
      <c r="F254" s="227"/>
      <c r="G254" s="227"/>
      <c r="H254" s="227"/>
      <c r="I254" s="227"/>
      <c r="J254" s="227"/>
      <c r="K254" s="330"/>
      <c r="L254" s="227"/>
      <c r="M254" s="331"/>
      <c r="N254" s="327"/>
      <c r="O254" s="327"/>
      <c r="P254" s="327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5">
      <c r="A255" s="213"/>
      <c r="B255" s="227"/>
      <c r="C255" s="227"/>
      <c r="D255" s="227"/>
      <c r="E255" s="227"/>
      <c r="F255" s="227"/>
      <c r="G255" s="227"/>
      <c r="H255" s="227"/>
      <c r="I255" s="227"/>
      <c r="J255" s="227"/>
      <c r="K255" s="330"/>
      <c r="L255" s="227"/>
      <c r="M255" s="331"/>
      <c r="N255" s="327"/>
      <c r="O255" s="327"/>
      <c r="P255" s="327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5">
      <c r="A256" s="213"/>
      <c r="B256" s="227"/>
      <c r="C256" s="227"/>
      <c r="D256" s="227"/>
      <c r="E256" s="227"/>
      <c r="F256" s="227"/>
      <c r="G256" s="227"/>
      <c r="H256" s="227"/>
      <c r="I256" s="227"/>
      <c r="J256" s="227"/>
      <c r="K256" s="330"/>
      <c r="L256" s="227"/>
      <c r="M256" s="331"/>
      <c r="N256" s="327"/>
      <c r="O256" s="327"/>
      <c r="P256" s="327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5">
      <c r="A257" s="213"/>
      <c r="B257" s="227"/>
      <c r="C257" s="227"/>
      <c r="D257" s="227"/>
      <c r="E257" s="227"/>
      <c r="F257" s="227"/>
      <c r="G257" s="227"/>
      <c r="H257" s="227"/>
      <c r="I257" s="227"/>
      <c r="J257" s="227"/>
      <c r="K257" s="330"/>
      <c r="L257" s="227"/>
      <c r="M257" s="331"/>
      <c r="N257" s="327"/>
      <c r="O257" s="327"/>
      <c r="P257" s="327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5">
      <c r="A258" s="213"/>
      <c r="B258" s="227"/>
      <c r="C258" s="227"/>
      <c r="D258" s="227"/>
      <c r="E258" s="227"/>
      <c r="F258" s="227"/>
      <c r="G258" s="227"/>
      <c r="H258" s="227"/>
      <c r="I258" s="227"/>
      <c r="J258" s="227"/>
      <c r="K258" s="330"/>
      <c r="L258" s="227"/>
      <c r="M258" s="331"/>
      <c r="N258" s="327"/>
      <c r="O258" s="327"/>
      <c r="P258" s="327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5">
      <c r="A259" s="213"/>
      <c r="B259" s="227"/>
      <c r="C259" s="227"/>
      <c r="D259" s="227"/>
      <c r="E259" s="227"/>
      <c r="F259" s="227"/>
      <c r="G259" s="227"/>
      <c r="H259" s="227"/>
      <c r="I259" s="227"/>
      <c r="J259" s="227"/>
      <c r="K259" s="330"/>
      <c r="L259" s="227"/>
      <c r="M259" s="331"/>
      <c r="N259" s="327"/>
      <c r="O259" s="327"/>
      <c r="P259" s="327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5">
      <c r="A260" s="213"/>
      <c r="B260" s="227"/>
      <c r="C260" s="227"/>
      <c r="D260" s="227"/>
      <c r="E260" s="227"/>
      <c r="F260" s="227"/>
      <c r="G260" s="227"/>
      <c r="H260" s="227"/>
      <c r="I260" s="227"/>
      <c r="J260" s="227"/>
      <c r="K260" s="330"/>
      <c r="L260" s="227"/>
      <c r="M260" s="331"/>
      <c r="N260" s="327"/>
      <c r="O260" s="327"/>
      <c r="P260" s="327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5">
      <c r="A261" s="213"/>
      <c r="B261" s="227"/>
      <c r="C261" s="227"/>
      <c r="D261" s="227"/>
      <c r="E261" s="227"/>
      <c r="F261" s="227"/>
      <c r="G261" s="227"/>
      <c r="H261" s="227"/>
      <c r="I261" s="227"/>
      <c r="J261" s="227"/>
      <c r="K261" s="330"/>
      <c r="L261" s="227"/>
      <c r="M261" s="331"/>
      <c r="N261" s="327"/>
      <c r="O261" s="327"/>
      <c r="P261" s="327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x14ac:dyDescent="0.25">
      <c r="A262" s="213"/>
      <c r="B262" s="227"/>
      <c r="C262" s="227"/>
      <c r="D262" s="227"/>
      <c r="E262" s="227"/>
      <c r="F262" s="227"/>
      <c r="G262" s="227"/>
      <c r="H262" s="227"/>
      <c r="I262" s="227"/>
      <c r="J262" s="227"/>
      <c r="K262" s="330"/>
      <c r="L262" s="227"/>
      <c r="M262" s="331"/>
      <c r="N262" s="327"/>
      <c r="O262" s="327"/>
      <c r="P262" s="327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x14ac:dyDescent="0.25">
      <c r="A263" s="213"/>
      <c r="B263" s="227"/>
      <c r="C263" s="227"/>
      <c r="D263" s="227"/>
      <c r="E263" s="227"/>
      <c r="F263" s="227"/>
      <c r="G263" s="227"/>
      <c r="H263" s="227"/>
      <c r="I263" s="227"/>
      <c r="J263" s="227"/>
      <c r="K263" s="330"/>
      <c r="L263" s="227"/>
      <c r="M263" s="331"/>
      <c r="N263" s="327"/>
      <c r="O263" s="327"/>
      <c r="P263" s="327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x14ac:dyDescent="0.25">
      <c r="A264" s="213"/>
      <c r="B264" s="227"/>
      <c r="C264" s="227"/>
      <c r="D264" s="227"/>
      <c r="E264" s="227"/>
      <c r="F264" s="227"/>
      <c r="G264" s="227"/>
      <c r="H264" s="227"/>
      <c r="I264" s="227"/>
      <c r="J264" s="227"/>
      <c r="K264" s="330"/>
      <c r="L264" s="227"/>
      <c r="M264" s="331"/>
      <c r="N264" s="327"/>
      <c r="O264" s="327"/>
      <c r="P264" s="327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5">
      <c r="A265" s="213"/>
      <c r="B265" s="227"/>
      <c r="C265" s="227"/>
      <c r="D265" s="227"/>
      <c r="E265" s="227"/>
      <c r="F265" s="227"/>
      <c r="G265" s="227"/>
      <c r="H265" s="227"/>
      <c r="I265" s="227"/>
      <c r="J265" s="227"/>
      <c r="K265" s="330"/>
      <c r="L265" s="227"/>
      <c r="M265" s="331"/>
      <c r="N265" s="327"/>
      <c r="O265" s="327"/>
      <c r="P265" s="327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x14ac:dyDescent="0.25">
      <c r="A266" s="213"/>
      <c r="B266" s="227"/>
      <c r="C266" s="227"/>
      <c r="D266" s="227"/>
      <c r="E266" s="227"/>
      <c r="F266" s="227"/>
      <c r="G266" s="227"/>
      <c r="H266" s="227"/>
      <c r="I266" s="227"/>
      <c r="J266" s="227"/>
      <c r="K266" s="330"/>
      <c r="L266" s="227"/>
      <c r="M266" s="331"/>
      <c r="N266" s="327"/>
      <c r="O266" s="327"/>
      <c r="P266" s="327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x14ac:dyDescent="0.25">
      <c r="A267" s="213"/>
      <c r="B267" s="227"/>
      <c r="C267" s="227"/>
      <c r="D267" s="227"/>
      <c r="E267" s="227"/>
      <c r="F267" s="227"/>
      <c r="G267" s="227"/>
      <c r="H267" s="227"/>
      <c r="I267" s="227"/>
      <c r="J267" s="227"/>
      <c r="K267" s="330"/>
      <c r="L267" s="227"/>
      <c r="M267" s="331"/>
      <c r="N267" s="327"/>
      <c r="O267" s="327"/>
      <c r="P267" s="327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x14ac:dyDescent="0.25">
      <c r="A268" s="213"/>
      <c r="B268" s="227"/>
      <c r="C268" s="227"/>
      <c r="D268" s="227"/>
      <c r="E268" s="227"/>
      <c r="F268" s="227"/>
      <c r="G268" s="227"/>
      <c r="H268" s="227"/>
      <c r="I268" s="227"/>
      <c r="J268" s="227"/>
      <c r="K268" s="330"/>
      <c r="L268" s="227"/>
      <c r="M268" s="331"/>
      <c r="N268" s="327"/>
      <c r="O268" s="327"/>
      <c r="P268" s="327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x14ac:dyDescent="0.25">
      <c r="A269" s="213"/>
      <c r="B269" s="227"/>
      <c r="C269" s="227"/>
      <c r="D269" s="227"/>
      <c r="E269" s="227"/>
      <c r="F269" s="227"/>
      <c r="G269" s="227"/>
      <c r="H269" s="227"/>
      <c r="I269" s="227"/>
      <c r="J269" s="227"/>
      <c r="K269" s="330"/>
      <c r="L269" s="227"/>
      <c r="M269" s="331"/>
      <c r="N269" s="327"/>
      <c r="O269" s="327"/>
      <c r="P269" s="327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x14ac:dyDescent="0.25">
      <c r="A270" s="213"/>
      <c r="B270" s="227"/>
      <c r="C270" s="227"/>
      <c r="D270" s="227"/>
      <c r="E270" s="227"/>
      <c r="F270" s="227"/>
      <c r="G270" s="227"/>
      <c r="H270" s="227"/>
      <c r="I270" s="227"/>
      <c r="J270" s="227"/>
      <c r="K270" s="330"/>
      <c r="L270" s="227"/>
      <c r="M270" s="331"/>
      <c r="N270" s="327"/>
      <c r="O270" s="327"/>
      <c r="P270" s="327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x14ac:dyDescent="0.25">
      <c r="A271" s="213"/>
      <c r="B271" s="227"/>
      <c r="C271" s="227"/>
      <c r="D271" s="227"/>
      <c r="E271" s="227"/>
      <c r="F271" s="227"/>
      <c r="G271" s="227"/>
      <c r="H271" s="227"/>
      <c r="I271" s="227"/>
      <c r="J271" s="227"/>
      <c r="K271" s="330"/>
      <c r="L271" s="227"/>
      <c r="M271" s="331"/>
      <c r="N271" s="327"/>
      <c r="O271" s="327"/>
      <c r="P271" s="327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x14ac:dyDescent="0.25">
      <c r="A272" s="213"/>
      <c r="B272" s="227"/>
      <c r="C272" s="227"/>
      <c r="D272" s="227"/>
      <c r="E272" s="227"/>
      <c r="F272" s="227"/>
      <c r="G272" s="227"/>
      <c r="H272" s="227"/>
      <c r="I272" s="227"/>
      <c r="J272" s="227"/>
      <c r="K272" s="330"/>
      <c r="L272" s="227"/>
      <c r="M272" s="331"/>
      <c r="N272" s="327"/>
      <c r="O272" s="327"/>
      <c r="P272" s="327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x14ac:dyDescent="0.25">
      <c r="A273" s="213"/>
      <c r="B273" s="227"/>
      <c r="C273" s="227"/>
      <c r="D273" s="227"/>
      <c r="E273" s="227"/>
      <c r="F273" s="227"/>
      <c r="G273" s="227"/>
      <c r="H273" s="227"/>
      <c r="I273" s="227"/>
      <c r="J273" s="227"/>
      <c r="K273" s="330"/>
      <c r="L273" s="227"/>
      <c r="M273" s="331"/>
      <c r="N273" s="327"/>
      <c r="O273" s="327"/>
      <c r="P273" s="327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x14ac:dyDescent="0.25">
      <c r="A274" s="213"/>
      <c r="B274" s="227"/>
      <c r="C274" s="227"/>
      <c r="D274" s="227"/>
      <c r="E274" s="227"/>
      <c r="F274" s="227"/>
      <c r="G274" s="227"/>
      <c r="H274" s="227"/>
      <c r="I274" s="227"/>
      <c r="J274" s="227"/>
      <c r="K274" s="330"/>
      <c r="L274" s="227"/>
      <c r="M274" s="331"/>
      <c r="N274" s="327"/>
      <c r="O274" s="327"/>
      <c r="P274" s="327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x14ac:dyDescent="0.25">
      <c r="A275" s="213"/>
      <c r="B275" s="227"/>
      <c r="C275" s="227"/>
      <c r="D275" s="227"/>
      <c r="E275" s="227"/>
      <c r="F275" s="227"/>
      <c r="G275" s="227"/>
      <c r="H275" s="227"/>
      <c r="I275" s="227"/>
      <c r="J275" s="227"/>
      <c r="K275" s="330"/>
      <c r="L275" s="227"/>
      <c r="M275" s="331"/>
      <c r="N275" s="327"/>
      <c r="O275" s="327"/>
      <c r="P275" s="327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5">
      <c r="A276" s="213"/>
      <c r="B276" s="227"/>
      <c r="C276" s="227"/>
      <c r="D276" s="227"/>
      <c r="E276" s="227"/>
      <c r="F276" s="227"/>
      <c r="G276" s="227"/>
      <c r="H276" s="227"/>
      <c r="I276" s="227"/>
      <c r="J276" s="227"/>
      <c r="K276" s="330"/>
      <c r="L276" s="227"/>
      <c r="M276" s="331"/>
      <c r="N276" s="327"/>
      <c r="O276" s="327"/>
      <c r="P276" s="327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x14ac:dyDescent="0.25">
      <c r="A277" s="213"/>
      <c r="B277" s="227"/>
      <c r="C277" s="227"/>
      <c r="D277" s="227"/>
      <c r="E277" s="227"/>
      <c r="F277" s="227"/>
      <c r="G277" s="227"/>
      <c r="H277" s="227"/>
      <c r="I277" s="227"/>
      <c r="J277" s="227"/>
      <c r="K277" s="330"/>
      <c r="L277" s="227"/>
      <c r="M277" s="331"/>
      <c r="N277" s="327"/>
      <c r="O277" s="327"/>
      <c r="P277" s="327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5">
      <c r="A278" s="213"/>
      <c r="B278" s="227"/>
      <c r="C278" s="227"/>
      <c r="D278" s="227"/>
      <c r="E278" s="227"/>
      <c r="F278" s="227"/>
      <c r="G278" s="227"/>
      <c r="H278" s="227"/>
      <c r="I278" s="227"/>
      <c r="J278" s="227"/>
      <c r="K278" s="330"/>
      <c r="L278" s="227"/>
      <c r="M278" s="331"/>
      <c r="N278" s="327"/>
      <c r="O278" s="327"/>
      <c r="P278" s="327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5">
      <c r="A279" s="213"/>
      <c r="B279" s="227"/>
      <c r="C279" s="227"/>
      <c r="D279" s="227"/>
      <c r="E279" s="227"/>
      <c r="F279" s="227"/>
      <c r="G279" s="227"/>
      <c r="H279" s="227"/>
      <c r="I279" s="227"/>
      <c r="J279" s="227"/>
      <c r="K279" s="330"/>
      <c r="L279" s="227"/>
      <c r="M279" s="331"/>
      <c r="N279" s="327"/>
      <c r="O279" s="327"/>
      <c r="P279" s="327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5">
      <c r="A280" s="213"/>
      <c r="B280" s="227"/>
      <c r="C280" s="227"/>
      <c r="D280" s="227"/>
      <c r="E280" s="227"/>
      <c r="F280" s="227"/>
      <c r="G280" s="227"/>
      <c r="H280" s="227"/>
      <c r="I280" s="227"/>
      <c r="J280" s="227"/>
      <c r="K280" s="330"/>
      <c r="L280" s="227"/>
      <c r="M280" s="331"/>
      <c r="N280" s="327"/>
      <c r="O280" s="327"/>
      <c r="P280" s="327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5">
      <c r="A281" s="213"/>
      <c r="B281" s="227"/>
      <c r="C281" s="227"/>
      <c r="D281" s="227"/>
      <c r="E281" s="227"/>
      <c r="F281" s="227"/>
      <c r="G281" s="227"/>
      <c r="H281" s="227"/>
      <c r="I281" s="227"/>
      <c r="J281" s="227"/>
      <c r="K281" s="330"/>
      <c r="L281" s="227"/>
      <c r="M281" s="331"/>
      <c r="N281" s="327"/>
      <c r="O281" s="327"/>
      <c r="P281" s="327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5">
      <c r="A282" s="213"/>
      <c r="B282" s="227"/>
      <c r="C282" s="227"/>
      <c r="D282" s="227"/>
      <c r="E282" s="227"/>
      <c r="F282" s="227"/>
      <c r="G282" s="227"/>
      <c r="H282" s="227"/>
      <c r="I282" s="227"/>
      <c r="J282" s="227"/>
      <c r="K282" s="330"/>
      <c r="L282" s="227"/>
      <c r="M282" s="331"/>
      <c r="N282" s="327"/>
      <c r="O282" s="327"/>
      <c r="P282" s="327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5">
      <c r="A283" s="213"/>
      <c r="B283" s="227"/>
      <c r="C283" s="227"/>
      <c r="D283" s="227"/>
      <c r="E283" s="227"/>
      <c r="F283" s="227"/>
      <c r="G283" s="227"/>
      <c r="H283" s="227"/>
      <c r="I283" s="227"/>
      <c r="J283" s="227"/>
      <c r="K283" s="330"/>
      <c r="L283" s="227"/>
      <c r="M283" s="331"/>
      <c r="N283" s="327"/>
      <c r="O283" s="327"/>
      <c r="P283" s="327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5">
      <c r="A284" s="213"/>
      <c r="B284" s="227"/>
      <c r="C284" s="227"/>
      <c r="D284" s="227"/>
      <c r="E284" s="227"/>
      <c r="F284" s="227"/>
      <c r="G284" s="227"/>
      <c r="H284" s="227"/>
      <c r="I284" s="227"/>
      <c r="J284" s="227"/>
      <c r="K284" s="330"/>
      <c r="L284" s="227"/>
      <c r="M284" s="331"/>
      <c r="N284" s="327"/>
      <c r="O284" s="327"/>
      <c r="P284" s="327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5">
      <c r="A285" s="213"/>
      <c r="B285" s="227"/>
      <c r="C285" s="227"/>
      <c r="D285" s="227"/>
      <c r="E285" s="227"/>
      <c r="F285" s="227"/>
      <c r="G285" s="227"/>
      <c r="H285" s="227"/>
      <c r="I285" s="227"/>
      <c r="J285" s="227"/>
      <c r="K285" s="330"/>
      <c r="L285" s="227"/>
      <c r="M285" s="331"/>
      <c r="N285" s="327"/>
      <c r="O285" s="327"/>
      <c r="P285" s="327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213"/>
      <c r="B286" s="227"/>
      <c r="C286" s="227"/>
      <c r="D286" s="227"/>
      <c r="E286" s="227"/>
      <c r="F286" s="227"/>
      <c r="G286" s="227"/>
      <c r="H286" s="227"/>
      <c r="I286" s="227"/>
      <c r="J286" s="227"/>
      <c r="K286" s="330"/>
      <c r="L286" s="227"/>
      <c r="M286" s="331"/>
      <c r="N286" s="327"/>
      <c r="O286" s="327"/>
      <c r="P286" s="327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213"/>
      <c r="B287" s="227"/>
      <c r="C287" s="227"/>
      <c r="D287" s="227"/>
      <c r="E287" s="227"/>
      <c r="F287" s="227"/>
      <c r="G287" s="227"/>
      <c r="H287" s="227"/>
      <c r="I287" s="227"/>
      <c r="J287" s="227"/>
      <c r="K287" s="330"/>
      <c r="L287" s="227"/>
      <c r="M287" s="331"/>
      <c r="N287" s="327"/>
      <c r="O287" s="327"/>
      <c r="P287" s="327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213"/>
      <c r="B288" s="227"/>
      <c r="C288" s="227"/>
      <c r="D288" s="227"/>
      <c r="E288" s="227"/>
      <c r="F288" s="227"/>
      <c r="G288" s="227"/>
      <c r="H288" s="227"/>
      <c r="I288" s="227"/>
      <c r="J288" s="227"/>
      <c r="K288" s="330"/>
      <c r="L288" s="227"/>
      <c r="M288" s="331"/>
      <c r="N288" s="327"/>
      <c r="O288" s="327"/>
      <c r="P288" s="327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213"/>
      <c r="B289" s="227"/>
      <c r="C289" s="227"/>
      <c r="D289" s="227"/>
      <c r="E289" s="227"/>
      <c r="F289" s="227"/>
      <c r="G289" s="227"/>
      <c r="H289" s="227"/>
      <c r="I289" s="227"/>
      <c r="J289" s="227"/>
      <c r="K289" s="330"/>
      <c r="L289" s="227"/>
      <c r="M289" s="331"/>
      <c r="N289" s="327"/>
      <c r="O289" s="327"/>
      <c r="P289" s="327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213"/>
      <c r="B290" s="227"/>
      <c r="C290" s="227"/>
      <c r="D290" s="227"/>
      <c r="E290" s="227"/>
      <c r="F290" s="227"/>
      <c r="G290" s="227"/>
      <c r="H290" s="227"/>
      <c r="I290" s="227"/>
      <c r="J290" s="227"/>
      <c r="K290" s="330"/>
      <c r="L290" s="227"/>
      <c r="M290" s="331"/>
      <c r="N290" s="327"/>
      <c r="O290" s="327"/>
      <c r="P290" s="327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213"/>
      <c r="B291" s="227"/>
      <c r="C291" s="227"/>
      <c r="D291" s="227"/>
      <c r="E291" s="227"/>
      <c r="F291" s="227"/>
      <c r="G291" s="227"/>
      <c r="H291" s="227"/>
      <c r="I291" s="227"/>
      <c r="J291" s="227"/>
      <c r="K291" s="330"/>
      <c r="L291" s="227"/>
      <c r="M291" s="331"/>
      <c r="N291" s="327"/>
      <c r="O291" s="327"/>
      <c r="P291" s="327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213"/>
      <c r="B292" s="227"/>
      <c r="C292" s="227"/>
      <c r="D292" s="227"/>
      <c r="E292" s="227"/>
      <c r="F292" s="227"/>
      <c r="G292" s="227"/>
      <c r="H292" s="227"/>
      <c r="I292" s="227"/>
      <c r="J292" s="227"/>
      <c r="K292" s="330"/>
      <c r="L292" s="227"/>
      <c r="M292" s="331"/>
      <c r="N292" s="327"/>
      <c r="O292" s="327"/>
      <c r="P292" s="327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5">
      <c r="A293" s="213"/>
      <c r="B293" s="227"/>
      <c r="C293" s="227"/>
      <c r="D293" s="227"/>
      <c r="E293" s="227"/>
      <c r="F293" s="227"/>
      <c r="G293" s="227"/>
      <c r="H293" s="227"/>
      <c r="I293" s="227"/>
      <c r="J293" s="227"/>
      <c r="K293" s="330"/>
      <c r="L293" s="227"/>
      <c r="M293" s="331"/>
      <c r="N293" s="327"/>
      <c r="O293" s="327"/>
      <c r="P293" s="327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5">
      <c r="A294" s="213"/>
      <c r="B294" s="227"/>
      <c r="C294" s="227"/>
      <c r="D294" s="227"/>
      <c r="E294" s="227"/>
      <c r="F294" s="227"/>
      <c r="G294" s="227"/>
      <c r="H294" s="227"/>
      <c r="I294" s="227"/>
      <c r="J294" s="227"/>
      <c r="K294" s="330"/>
      <c r="L294" s="227"/>
      <c r="M294" s="331"/>
      <c r="N294" s="327"/>
      <c r="O294" s="327"/>
      <c r="P294" s="327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5">
      <c r="A295" s="213"/>
      <c r="B295" s="227"/>
      <c r="C295" s="227"/>
      <c r="D295" s="227"/>
      <c r="E295" s="227"/>
      <c r="F295" s="227"/>
      <c r="G295" s="227"/>
      <c r="H295" s="227"/>
      <c r="I295" s="227"/>
      <c r="J295" s="227"/>
      <c r="K295" s="330"/>
      <c r="L295" s="227"/>
      <c r="M295" s="331"/>
      <c r="N295" s="327"/>
      <c r="O295" s="327"/>
      <c r="P295" s="327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5">
      <c r="A296" s="213"/>
      <c r="B296" s="227"/>
      <c r="C296" s="227"/>
      <c r="D296" s="227"/>
      <c r="E296" s="227"/>
      <c r="F296" s="227"/>
      <c r="G296" s="227"/>
      <c r="H296" s="227"/>
      <c r="I296" s="227"/>
      <c r="J296" s="227"/>
      <c r="K296" s="330"/>
      <c r="L296" s="227"/>
      <c r="M296" s="331"/>
      <c r="N296" s="327"/>
      <c r="O296" s="327"/>
      <c r="P296" s="327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x14ac:dyDescent="0.25">
      <c r="A297" s="213"/>
      <c r="B297" s="227"/>
      <c r="C297" s="227"/>
      <c r="D297" s="227"/>
      <c r="E297" s="227"/>
      <c r="F297" s="227"/>
      <c r="G297" s="227"/>
      <c r="H297" s="227"/>
      <c r="I297" s="227"/>
      <c r="J297" s="227"/>
      <c r="K297" s="330"/>
      <c r="L297" s="227"/>
      <c r="M297" s="331"/>
      <c r="N297" s="327"/>
      <c r="O297" s="327"/>
      <c r="P297" s="327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x14ac:dyDescent="0.25">
      <c r="A298" s="213"/>
      <c r="B298" s="227"/>
      <c r="C298" s="227"/>
      <c r="D298" s="227"/>
      <c r="E298" s="227"/>
      <c r="F298" s="227"/>
      <c r="G298" s="227"/>
      <c r="H298" s="227"/>
      <c r="I298" s="227"/>
      <c r="J298" s="227"/>
      <c r="K298" s="330"/>
      <c r="L298" s="227"/>
      <c r="M298" s="331"/>
      <c r="N298" s="327"/>
      <c r="O298" s="327"/>
      <c r="P298" s="327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x14ac:dyDescent="0.25">
      <c r="A299" s="213"/>
      <c r="B299" s="227"/>
      <c r="C299" s="227"/>
      <c r="D299" s="227"/>
      <c r="E299" s="227"/>
      <c r="F299" s="227"/>
      <c r="G299" s="227"/>
      <c r="H299" s="227"/>
      <c r="I299" s="227"/>
      <c r="J299" s="227"/>
      <c r="K299" s="330"/>
      <c r="L299" s="227"/>
      <c r="M299" s="331"/>
      <c r="N299" s="327"/>
      <c r="O299" s="327"/>
      <c r="P299" s="327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x14ac:dyDescent="0.25">
      <c r="A300" s="213"/>
      <c r="B300" s="227"/>
      <c r="C300" s="227"/>
      <c r="D300" s="227"/>
      <c r="E300" s="227"/>
      <c r="F300" s="227"/>
      <c r="G300" s="227"/>
      <c r="H300" s="227"/>
      <c r="I300" s="227"/>
      <c r="J300" s="227"/>
      <c r="K300" s="330"/>
      <c r="L300" s="227"/>
      <c r="M300" s="331"/>
      <c r="N300" s="327"/>
      <c r="O300" s="327"/>
      <c r="P300" s="327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x14ac:dyDescent="0.25">
      <c r="A301" s="213"/>
      <c r="B301" s="227"/>
      <c r="C301" s="227"/>
      <c r="D301" s="227"/>
      <c r="E301" s="227"/>
      <c r="F301" s="227"/>
      <c r="G301" s="227"/>
      <c r="H301" s="227"/>
      <c r="I301" s="227"/>
      <c r="J301" s="227"/>
      <c r="K301" s="330"/>
      <c r="L301" s="227"/>
      <c r="M301" s="331"/>
      <c r="N301" s="327"/>
      <c r="O301" s="327"/>
      <c r="P301" s="327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x14ac:dyDescent="0.25">
      <c r="A302" s="213"/>
      <c r="B302" s="227"/>
      <c r="C302" s="227"/>
      <c r="D302" s="227"/>
      <c r="E302" s="227"/>
      <c r="F302" s="227"/>
      <c r="G302" s="227"/>
      <c r="H302" s="227"/>
      <c r="I302" s="227"/>
      <c r="J302" s="227"/>
      <c r="K302" s="330"/>
      <c r="L302" s="227"/>
      <c r="M302" s="331"/>
      <c r="N302" s="327"/>
      <c r="O302" s="327"/>
      <c r="P302" s="327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x14ac:dyDescent="0.25">
      <c r="A303" s="213"/>
      <c r="B303" s="227"/>
      <c r="C303" s="227"/>
      <c r="D303" s="227"/>
      <c r="E303" s="227"/>
      <c r="F303" s="227"/>
      <c r="G303" s="227"/>
      <c r="H303" s="227"/>
      <c r="I303" s="227"/>
      <c r="J303" s="227"/>
      <c r="K303" s="330"/>
      <c r="L303" s="227"/>
      <c r="M303" s="331"/>
      <c r="N303" s="327"/>
      <c r="O303" s="327"/>
      <c r="P303" s="327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x14ac:dyDescent="0.25">
      <c r="A304" s="213"/>
      <c r="B304" s="227"/>
      <c r="C304" s="227"/>
      <c r="D304" s="227"/>
      <c r="E304" s="227"/>
      <c r="F304" s="227"/>
      <c r="G304" s="227"/>
      <c r="H304" s="227"/>
      <c r="I304" s="227"/>
      <c r="J304" s="227"/>
      <c r="K304" s="330"/>
      <c r="L304" s="227"/>
      <c r="M304" s="331"/>
      <c r="N304" s="327"/>
      <c r="O304" s="327"/>
      <c r="P304" s="327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x14ac:dyDescent="0.25">
      <c r="A305" s="213"/>
      <c r="B305" s="227"/>
      <c r="C305" s="227"/>
      <c r="D305" s="227"/>
      <c r="E305" s="227"/>
      <c r="F305" s="227"/>
      <c r="G305" s="227"/>
      <c r="H305" s="227"/>
      <c r="I305" s="227"/>
      <c r="J305" s="227"/>
      <c r="K305" s="330"/>
      <c r="L305" s="227"/>
      <c r="M305" s="331"/>
      <c r="N305" s="327"/>
      <c r="O305" s="327"/>
      <c r="P305" s="327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x14ac:dyDescent="0.25">
      <c r="A306" s="213"/>
      <c r="B306" s="227"/>
      <c r="C306" s="227"/>
      <c r="D306" s="227"/>
      <c r="E306" s="227"/>
      <c r="F306" s="227"/>
      <c r="G306" s="227"/>
      <c r="H306" s="227"/>
      <c r="I306" s="227"/>
      <c r="J306" s="227"/>
      <c r="K306" s="330"/>
      <c r="L306" s="227"/>
      <c r="M306" s="331"/>
      <c r="N306" s="327"/>
      <c r="O306" s="327"/>
      <c r="P306" s="327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x14ac:dyDescent="0.25">
      <c r="A307" s="213"/>
      <c r="B307" s="227"/>
      <c r="C307" s="227"/>
      <c r="D307" s="227"/>
      <c r="E307" s="227"/>
      <c r="F307" s="227"/>
      <c r="G307" s="227"/>
      <c r="H307" s="227"/>
      <c r="I307" s="227"/>
      <c r="J307" s="227"/>
      <c r="K307" s="330"/>
      <c r="L307" s="227"/>
      <c r="M307" s="331"/>
      <c r="N307" s="327"/>
      <c r="O307" s="327"/>
      <c r="P307" s="327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x14ac:dyDescent="0.25">
      <c r="A308" s="213"/>
      <c r="B308" s="227"/>
      <c r="C308" s="227"/>
      <c r="D308" s="227"/>
      <c r="E308" s="227"/>
      <c r="F308" s="227"/>
      <c r="G308" s="227"/>
      <c r="H308" s="227"/>
      <c r="I308" s="227"/>
      <c r="J308" s="227"/>
      <c r="K308" s="330"/>
      <c r="L308" s="227"/>
      <c r="M308" s="331"/>
      <c r="N308" s="327"/>
      <c r="O308" s="327"/>
      <c r="P308" s="327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x14ac:dyDescent="0.25">
      <c r="A309" s="213"/>
      <c r="B309" s="227"/>
      <c r="C309" s="227"/>
      <c r="D309" s="227"/>
      <c r="E309" s="227"/>
      <c r="F309" s="227"/>
      <c r="G309" s="227"/>
      <c r="H309" s="227"/>
      <c r="I309" s="227"/>
      <c r="J309" s="227"/>
      <c r="K309" s="330"/>
      <c r="L309" s="227"/>
      <c r="M309" s="331"/>
      <c r="N309" s="327"/>
      <c r="O309" s="327"/>
      <c r="P309" s="327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x14ac:dyDescent="0.25">
      <c r="A310" s="213"/>
      <c r="B310" s="227"/>
      <c r="C310" s="227"/>
      <c r="D310" s="227"/>
      <c r="E310" s="227"/>
      <c r="F310" s="227"/>
      <c r="G310" s="227"/>
      <c r="H310" s="227"/>
      <c r="I310" s="227"/>
      <c r="J310" s="227"/>
      <c r="K310" s="330"/>
      <c r="L310" s="227"/>
      <c r="M310" s="331"/>
      <c r="N310" s="327"/>
      <c r="O310" s="327"/>
      <c r="P310" s="327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x14ac:dyDescent="0.25">
      <c r="A311" s="213"/>
      <c r="B311" s="227"/>
      <c r="C311" s="227"/>
      <c r="D311" s="227"/>
      <c r="E311" s="227"/>
      <c r="F311" s="227"/>
      <c r="G311" s="227"/>
      <c r="H311" s="227"/>
      <c r="I311" s="227"/>
      <c r="J311" s="227"/>
      <c r="K311" s="330"/>
      <c r="L311" s="227"/>
      <c r="M311" s="331"/>
      <c r="N311" s="327"/>
      <c r="O311" s="327"/>
      <c r="P311" s="327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x14ac:dyDescent="0.25">
      <c r="A312" s="213"/>
      <c r="B312" s="227"/>
      <c r="C312" s="227"/>
      <c r="D312" s="227"/>
      <c r="E312" s="227"/>
      <c r="F312" s="227"/>
      <c r="G312" s="227"/>
      <c r="H312" s="227"/>
      <c r="I312" s="227"/>
      <c r="J312" s="227"/>
      <c r="K312" s="330"/>
      <c r="L312" s="227"/>
      <c r="M312" s="331"/>
      <c r="N312" s="327"/>
      <c r="O312" s="327"/>
      <c r="P312" s="327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x14ac:dyDescent="0.25">
      <c r="A313" s="213"/>
      <c r="B313" s="227"/>
      <c r="C313" s="227"/>
      <c r="D313" s="227"/>
      <c r="E313" s="227"/>
      <c r="F313" s="227"/>
      <c r="G313" s="227"/>
      <c r="H313" s="227"/>
      <c r="I313" s="227"/>
      <c r="J313" s="227"/>
      <c r="K313" s="330"/>
      <c r="L313" s="227"/>
      <c r="M313" s="331"/>
      <c r="N313" s="327"/>
      <c r="O313" s="327"/>
      <c r="P313" s="327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x14ac:dyDescent="0.25">
      <c r="A314" s="213"/>
      <c r="B314" s="227"/>
      <c r="C314" s="227"/>
      <c r="D314" s="227"/>
      <c r="E314" s="227"/>
      <c r="F314" s="227"/>
      <c r="G314" s="227"/>
      <c r="H314" s="227"/>
      <c r="I314" s="227"/>
      <c r="J314" s="227"/>
      <c r="K314" s="330"/>
      <c r="L314" s="227"/>
      <c r="M314" s="331"/>
      <c r="N314" s="327"/>
      <c r="O314" s="327"/>
      <c r="P314" s="327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x14ac:dyDescent="0.25">
      <c r="A315" s="213"/>
      <c r="B315" s="227"/>
      <c r="C315" s="227"/>
      <c r="D315" s="227"/>
      <c r="E315" s="227"/>
      <c r="F315" s="227"/>
      <c r="G315" s="227"/>
      <c r="H315" s="227"/>
      <c r="I315" s="227"/>
      <c r="J315" s="227"/>
      <c r="K315" s="330"/>
      <c r="L315" s="227"/>
      <c r="M315" s="331"/>
      <c r="N315" s="327"/>
      <c r="O315" s="327"/>
      <c r="P315" s="327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x14ac:dyDescent="0.25">
      <c r="A316" s="213"/>
      <c r="B316" s="227"/>
      <c r="C316" s="227"/>
      <c r="D316" s="227"/>
      <c r="E316" s="227"/>
      <c r="F316" s="227"/>
      <c r="G316" s="227"/>
      <c r="H316" s="227"/>
      <c r="I316" s="227"/>
      <c r="J316" s="227"/>
      <c r="K316" s="330"/>
      <c r="L316" s="227"/>
      <c r="M316" s="331"/>
      <c r="N316" s="327"/>
      <c r="O316" s="327"/>
      <c r="P316" s="327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x14ac:dyDescent="0.25">
      <c r="A317" s="213"/>
      <c r="B317" s="227"/>
      <c r="C317" s="227"/>
      <c r="D317" s="227"/>
      <c r="E317" s="227"/>
      <c r="F317" s="227"/>
      <c r="G317" s="227"/>
      <c r="H317" s="227"/>
      <c r="I317" s="227"/>
      <c r="J317" s="227"/>
      <c r="K317" s="330"/>
      <c r="L317" s="227"/>
      <c r="M317" s="331"/>
      <c r="N317" s="327"/>
      <c r="O317" s="327"/>
      <c r="P317" s="327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x14ac:dyDescent="0.25">
      <c r="A318" s="213"/>
      <c r="B318" s="227"/>
      <c r="C318" s="227"/>
      <c r="D318" s="227"/>
      <c r="E318" s="227"/>
      <c r="F318" s="227"/>
      <c r="G318" s="227"/>
      <c r="H318" s="227"/>
      <c r="I318" s="227"/>
      <c r="J318" s="227"/>
      <c r="K318" s="330"/>
      <c r="L318" s="227"/>
      <c r="M318" s="331"/>
      <c r="N318" s="327"/>
      <c r="O318" s="327"/>
      <c r="P318" s="327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x14ac:dyDescent="0.25">
      <c r="A319" s="213"/>
      <c r="B319" s="227"/>
      <c r="C319" s="227"/>
      <c r="D319" s="227"/>
      <c r="E319" s="227"/>
      <c r="F319" s="227"/>
      <c r="G319" s="227"/>
      <c r="H319" s="227"/>
      <c r="I319" s="227"/>
      <c r="J319" s="227"/>
      <c r="K319" s="330"/>
      <c r="L319" s="227"/>
      <c r="M319" s="331"/>
      <c r="N319" s="327"/>
      <c r="O319" s="327"/>
      <c r="P319" s="327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x14ac:dyDescent="0.25">
      <c r="A320" s="213"/>
      <c r="B320" s="227"/>
      <c r="C320" s="227"/>
      <c r="D320" s="227"/>
      <c r="E320" s="227"/>
      <c r="F320" s="227"/>
      <c r="G320" s="227"/>
      <c r="H320" s="227"/>
      <c r="I320" s="227"/>
      <c r="J320" s="227"/>
      <c r="K320" s="330"/>
      <c r="L320" s="227"/>
      <c r="M320" s="331"/>
      <c r="N320" s="327"/>
      <c r="O320" s="327"/>
      <c r="P320" s="327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5">
      <c r="A321" s="213"/>
      <c r="B321" s="227"/>
      <c r="C321" s="227"/>
      <c r="D321" s="227"/>
      <c r="E321" s="227"/>
      <c r="F321" s="227"/>
      <c r="G321" s="227"/>
      <c r="H321" s="227"/>
      <c r="I321" s="227"/>
      <c r="J321" s="227"/>
      <c r="K321" s="330"/>
      <c r="L321" s="227"/>
      <c r="M321" s="331"/>
      <c r="N321" s="327"/>
      <c r="O321" s="327"/>
      <c r="P321" s="327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x14ac:dyDescent="0.25">
      <c r="A322" s="213"/>
      <c r="B322" s="227"/>
      <c r="C322" s="227"/>
      <c r="D322" s="227"/>
      <c r="E322" s="227"/>
      <c r="F322" s="227"/>
      <c r="G322" s="227"/>
      <c r="H322" s="227"/>
      <c r="I322" s="227"/>
      <c r="J322" s="227"/>
      <c r="K322" s="330"/>
      <c r="L322" s="227"/>
      <c r="M322" s="331"/>
      <c r="N322" s="327"/>
      <c r="O322" s="327"/>
      <c r="P322" s="327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x14ac:dyDescent="0.25">
      <c r="A323" s="213"/>
      <c r="B323" s="227"/>
      <c r="C323" s="227"/>
      <c r="D323" s="227"/>
      <c r="E323" s="227"/>
      <c r="F323" s="227"/>
      <c r="G323" s="227"/>
      <c r="H323" s="227"/>
      <c r="I323" s="227"/>
      <c r="J323" s="227"/>
      <c r="K323" s="330"/>
      <c r="L323" s="227"/>
      <c r="M323" s="331"/>
      <c r="N323" s="327"/>
      <c r="O323" s="327"/>
      <c r="P323" s="327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x14ac:dyDescent="0.25">
      <c r="A324" s="213"/>
      <c r="B324" s="227"/>
      <c r="C324" s="227"/>
      <c r="D324" s="227"/>
      <c r="E324" s="227"/>
      <c r="F324" s="227"/>
      <c r="G324" s="227"/>
      <c r="H324" s="227"/>
      <c r="I324" s="227"/>
      <c r="J324" s="227"/>
      <c r="K324" s="330"/>
      <c r="L324" s="227"/>
      <c r="M324" s="331"/>
      <c r="N324" s="327"/>
      <c r="O324" s="327"/>
      <c r="P324" s="327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x14ac:dyDescent="0.25">
      <c r="A325" s="213"/>
      <c r="B325" s="227"/>
      <c r="C325" s="227"/>
      <c r="D325" s="227"/>
      <c r="E325" s="227"/>
      <c r="F325" s="227"/>
      <c r="G325" s="227"/>
      <c r="H325" s="227"/>
      <c r="I325" s="227"/>
      <c r="J325" s="227"/>
      <c r="K325" s="330"/>
      <c r="L325" s="227"/>
      <c r="M325" s="331"/>
      <c r="N325" s="327"/>
      <c r="O325" s="327"/>
      <c r="P325" s="327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x14ac:dyDescent="0.25">
      <c r="A326" s="213"/>
      <c r="B326" s="227"/>
      <c r="C326" s="227"/>
      <c r="D326" s="227"/>
      <c r="E326" s="227"/>
      <c r="F326" s="227"/>
      <c r="G326" s="227"/>
      <c r="H326" s="227"/>
      <c r="I326" s="227"/>
      <c r="J326" s="227"/>
      <c r="K326" s="330"/>
      <c r="L326" s="227"/>
      <c r="M326" s="331"/>
      <c r="N326" s="327"/>
      <c r="O326" s="327"/>
      <c r="P326" s="327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x14ac:dyDescent="0.25">
      <c r="A327" s="213"/>
      <c r="B327" s="227"/>
      <c r="C327" s="227"/>
      <c r="D327" s="227"/>
      <c r="E327" s="227"/>
      <c r="F327" s="227"/>
      <c r="G327" s="227"/>
      <c r="H327" s="227"/>
      <c r="I327" s="227"/>
      <c r="J327" s="227"/>
      <c r="K327" s="330"/>
      <c r="L327" s="227"/>
      <c r="M327" s="331"/>
      <c r="N327" s="327"/>
      <c r="O327" s="327"/>
      <c r="P327" s="327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x14ac:dyDescent="0.25">
      <c r="A328" s="213"/>
      <c r="B328" s="227"/>
      <c r="C328" s="227"/>
      <c r="D328" s="227"/>
      <c r="E328" s="227"/>
      <c r="F328" s="227"/>
      <c r="G328" s="227"/>
      <c r="H328" s="227"/>
      <c r="I328" s="227"/>
      <c r="J328" s="227"/>
      <c r="K328" s="330"/>
      <c r="L328" s="227"/>
      <c r="M328" s="331"/>
      <c r="N328" s="327"/>
      <c r="O328" s="327"/>
      <c r="P328" s="327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x14ac:dyDescent="0.25">
      <c r="A329" s="213"/>
      <c r="B329" s="227"/>
      <c r="C329" s="227"/>
      <c r="D329" s="227"/>
      <c r="E329" s="227"/>
      <c r="F329" s="227"/>
      <c r="G329" s="227"/>
      <c r="H329" s="227"/>
      <c r="I329" s="227"/>
      <c r="J329" s="227"/>
      <c r="K329" s="330"/>
      <c r="L329" s="227"/>
      <c r="M329" s="331"/>
      <c r="N329" s="327"/>
      <c r="O329" s="327"/>
      <c r="P329" s="327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x14ac:dyDescent="0.25">
      <c r="A330" s="213"/>
      <c r="B330" s="227"/>
      <c r="C330" s="227"/>
      <c r="D330" s="227"/>
      <c r="E330" s="227"/>
      <c r="F330" s="227"/>
      <c r="G330" s="227"/>
      <c r="H330" s="227"/>
      <c r="I330" s="227"/>
      <c r="J330" s="227"/>
      <c r="K330" s="330"/>
      <c r="L330" s="227"/>
      <c r="M330" s="331"/>
      <c r="N330" s="327"/>
      <c r="O330" s="327"/>
      <c r="P330" s="327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x14ac:dyDescent="0.25">
      <c r="A331" s="213"/>
      <c r="B331" s="227"/>
      <c r="C331" s="227"/>
      <c r="D331" s="227"/>
      <c r="E331" s="227"/>
      <c r="F331" s="227"/>
      <c r="G331" s="227"/>
      <c r="H331" s="227"/>
      <c r="I331" s="227"/>
      <c r="J331" s="227"/>
      <c r="K331" s="330"/>
      <c r="L331" s="227"/>
      <c r="M331" s="331"/>
      <c r="N331" s="327"/>
      <c r="O331" s="327"/>
      <c r="P331" s="327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5">
      <c r="A332" s="213"/>
      <c r="B332" s="227"/>
      <c r="C332" s="227"/>
      <c r="D332" s="227"/>
      <c r="E332" s="227"/>
      <c r="F332" s="227"/>
      <c r="G332" s="227"/>
      <c r="H332" s="227"/>
      <c r="I332" s="227"/>
      <c r="J332" s="227"/>
      <c r="K332" s="330"/>
      <c r="L332" s="227"/>
      <c r="M332" s="331"/>
      <c r="N332" s="327"/>
      <c r="O332" s="327"/>
      <c r="P332" s="327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5">
      <c r="A333" s="213"/>
      <c r="B333" s="227"/>
      <c r="C333" s="227"/>
      <c r="D333" s="227"/>
      <c r="E333" s="227"/>
      <c r="F333" s="227"/>
      <c r="G333" s="227"/>
      <c r="H333" s="227"/>
      <c r="I333" s="227"/>
      <c r="J333" s="227"/>
      <c r="K333" s="330"/>
      <c r="L333" s="227"/>
      <c r="M333" s="331"/>
      <c r="N333" s="327"/>
      <c r="O333" s="327"/>
      <c r="P333" s="327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5">
      <c r="A334" s="213"/>
      <c r="B334" s="227"/>
      <c r="C334" s="227"/>
      <c r="D334" s="227"/>
      <c r="E334" s="227"/>
      <c r="F334" s="227"/>
      <c r="G334" s="227"/>
      <c r="H334" s="227"/>
      <c r="I334" s="227"/>
      <c r="J334" s="227"/>
      <c r="K334" s="330"/>
      <c r="L334" s="227"/>
      <c r="M334" s="331"/>
      <c r="N334" s="327"/>
      <c r="O334" s="327"/>
      <c r="P334" s="327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5">
      <c r="A335" s="213"/>
      <c r="B335" s="227"/>
      <c r="C335" s="227"/>
      <c r="D335" s="227"/>
      <c r="E335" s="227"/>
      <c r="F335" s="227"/>
      <c r="G335" s="227"/>
      <c r="H335" s="227"/>
      <c r="I335" s="227"/>
      <c r="J335" s="227"/>
      <c r="K335" s="330"/>
      <c r="L335" s="227"/>
      <c r="M335" s="331"/>
      <c r="N335" s="327"/>
      <c r="O335" s="327"/>
      <c r="P335" s="327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x14ac:dyDescent="0.25">
      <c r="A336" s="213"/>
      <c r="B336" s="227"/>
      <c r="C336" s="227"/>
      <c r="D336" s="227"/>
      <c r="E336" s="227"/>
      <c r="F336" s="227"/>
      <c r="G336" s="227"/>
      <c r="H336" s="227"/>
      <c r="I336" s="227"/>
      <c r="J336" s="227"/>
      <c r="K336" s="330"/>
      <c r="L336" s="227"/>
      <c r="M336" s="331"/>
      <c r="N336" s="327"/>
      <c r="O336" s="327"/>
      <c r="P336" s="327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5">
      <c r="A337" s="213"/>
      <c r="B337" s="227"/>
      <c r="C337" s="227"/>
      <c r="D337" s="227"/>
      <c r="E337" s="227"/>
      <c r="F337" s="227"/>
      <c r="G337" s="227"/>
      <c r="H337" s="227"/>
      <c r="I337" s="227"/>
      <c r="J337" s="227"/>
      <c r="K337" s="330"/>
      <c r="L337" s="227"/>
      <c r="M337" s="331"/>
      <c r="N337" s="327"/>
      <c r="O337" s="327"/>
      <c r="P337" s="327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x14ac:dyDescent="0.25">
      <c r="A338" s="213"/>
      <c r="B338" s="227"/>
      <c r="C338" s="227"/>
      <c r="D338" s="227"/>
      <c r="E338" s="227"/>
      <c r="F338" s="227"/>
      <c r="G338" s="227"/>
      <c r="H338" s="227"/>
      <c r="I338" s="227"/>
      <c r="J338" s="227"/>
      <c r="K338" s="330"/>
      <c r="L338" s="227"/>
      <c r="M338" s="331"/>
      <c r="N338" s="327"/>
      <c r="O338" s="327"/>
      <c r="P338" s="327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x14ac:dyDescent="0.25">
      <c r="A339" s="213"/>
      <c r="B339" s="227"/>
      <c r="C339" s="227"/>
      <c r="D339" s="227"/>
      <c r="E339" s="227"/>
      <c r="F339" s="227"/>
      <c r="G339" s="227"/>
      <c r="H339" s="227"/>
      <c r="I339" s="227"/>
      <c r="J339" s="227"/>
      <c r="K339" s="330"/>
      <c r="L339" s="227"/>
      <c r="M339" s="331"/>
      <c r="N339" s="327"/>
      <c r="O339" s="327"/>
      <c r="P339" s="327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5">
      <c r="A340" s="213"/>
      <c r="B340" s="227"/>
      <c r="C340" s="227"/>
      <c r="D340" s="227"/>
      <c r="E340" s="227"/>
      <c r="F340" s="227"/>
      <c r="G340" s="227"/>
      <c r="H340" s="227"/>
      <c r="I340" s="227"/>
      <c r="J340" s="227"/>
      <c r="K340" s="330"/>
      <c r="L340" s="227"/>
      <c r="M340" s="331"/>
      <c r="N340" s="327"/>
      <c r="O340" s="327"/>
      <c r="P340" s="327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x14ac:dyDescent="0.25">
      <c r="A341" s="213"/>
      <c r="B341" s="227"/>
      <c r="C341" s="227"/>
      <c r="D341" s="227"/>
      <c r="E341" s="227"/>
      <c r="F341" s="227"/>
      <c r="G341" s="227"/>
      <c r="H341" s="227"/>
      <c r="I341" s="227"/>
      <c r="J341" s="227"/>
      <c r="K341" s="330"/>
      <c r="L341" s="227"/>
      <c r="M341" s="331"/>
      <c r="N341" s="327"/>
      <c r="O341" s="327"/>
      <c r="P341" s="327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5">
      <c r="A342" s="213"/>
      <c r="B342" s="227"/>
      <c r="C342" s="227"/>
      <c r="D342" s="227"/>
      <c r="E342" s="227"/>
      <c r="F342" s="227"/>
      <c r="G342" s="227"/>
      <c r="H342" s="227"/>
      <c r="I342" s="227"/>
      <c r="J342" s="227"/>
      <c r="K342" s="330"/>
      <c r="L342" s="227"/>
      <c r="M342" s="331"/>
      <c r="N342" s="327"/>
      <c r="O342" s="327"/>
      <c r="P342" s="327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x14ac:dyDescent="0.25">
      <c r="A343" s="213"/>
      <c r="B343" s="227"/>
      <c r="C343" s="227"/>
      <c r="D343" s="227"/>
      <c r="E343" s="227"/>
      <c r="F343" s="227"/>
      <c r="G343" s="227"/>
      <c r="H343" s="227"/>
      <c r="I343" s="227"/>
      <c r="J343" s="227"/>
      <c r="K343" s="330"/>
      <c r="L343" s="227"/>
      <c r="M343" s="331"/>
      <c r="N343" s="327"/>
      <c r="O343" s="327"/>
      <c r="P343" s="327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x14ac:dyDescent="0.25">
      <c r="A344" s="213"/>
      <c r="B344" s="227"/>
      <c r="C344" s="227"/>
      <c r="D344" s="227"/>
      <c r="E344" s="227"/>
      <c r="F344" s="227"/>
      <c r="G344" s="227"/>
      <c r="H344" s="227"/>
      <c r="I344" s="227"/>
      <c r="J344" s="227"/>
      <c r="K344" s="330"/>
      <c r="L344" s="227"/>
      <c r="M344" s="331"/>
      <c r="N344" s="327"/>
      <c r="O344" s="327"/>
      <c r="P344" s="327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x14ac:dyDescent="0.25">
      <c r="A345" s="213"/>
      <c r="B345" s="227"/>
      <c r="C345" s="227"/>
      <c r="D345" s="227"/>
      <c r="E345" s="227"/>
      <c r="F345" s="227"/>
      <c r="G345" s="227"/>
      <c r="H345" s="227"/>
      <c r="I345" s="227"/>
      <c r="J345" s="227"/>
      <c r="K345" s="330"/>
      <c r="L345" s="227"/>
      <c r="M345" s="331"/>
      <c r="N345" s="327"/>
      <c r="O345" s="327"/>
      <c r="P345" s="327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5">
      <c r="A346" s="213"/>
      <c r="B346" s="227"/>
      <c r="C346" s="227"/>
      <c r="D346" s="227"/>
      <c r="E346" s="227"/>
      <c r="F346" s="227"/>
      <c r="G346" s="227"/>
      <c r="H346" s="227"/>
      <c r="I346" s="227"/>
      <c r="J346" s="227"/>
      <c r="K346" s="330"/>
      <c r="L346" s="227"/>
      <c r="M346" s="331"/>
      <c r="N346" s="327"/>
      <c r="O346" s="327"/>
      <c r="P346" s="327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5">
      <c r="A347" s="213"/>
      <c r="B347" s="227"/>
      <c r="C347" s="227"/>
      <c r="D347" s="227"/>
      <c r="E347" s="227"/>
      <c r="F347" s="227"/>
      <c r="G347" s="227"/>
      <c r="H347" s="227"/>
      <c r="I347" s="227"/>
      <c r="J347" s="227"/>
      <c r="K347" s="330"/>
      <c r="L347" s="227"/>
      <c r="M347" s="331"/>
      <c r="N347" s="327"/>
      <c r="O347" s="327"/>
      <c r="P347" s="327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5">
      <c r="A348" s="213"/>
      <c r="B348" s="227"/>
      <c r="C348" s="227"/>
      <c r="D348" s="227"/>
      <c r="E348" s="227"/>
      <c r="F348" s="227"/>
      <c r="G348" s="227"/>
      <c r="H348" s="227"/>
      <c r="I348" s="227"/>
      <c r="J348" s="227"/>
      <c r="K348" s="330"/>
      <c r="L348" s="227"/>
      <c r="M348" s="331"/>
      <c r="N348" s="327"/>
      <c r="O348" s="327"/>
      <c r="P348" s="327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x14ac:dyDescent="0.25">
      <c r="A349" s="213"/>
      <c r="B349" s="227"/>
      <c r="C349" s="227"/>
      <c r="D349" s="227"/>
      <c r="E349" s="227"/>
      <c r="F349" s="227"/>
      <c r="G349" s="227"/>
      <c r="H349" s="227"/>
      <c r="I349" s="227"/>
      <c r="J349" s="227"/>
      <c r="K349" s="330"/>
      <c r="L349" s="227"/>
      <c r="M349" s="331"/>
      <c r="N349" s="327"/>
      <c r="O349" s="327"/>
      <c r="P349" s="327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x14ac:dyDescent="0.25">
      <c r="A350" s="213"/>
      <c r="B350" s="227"/>
      <c r="C350" s="227"/>
      <c r="D350" s="227"/>
      <c r="E350" s="227"/>
      <c r="F350" s="227"/>
      <c r="G350" s="227"/>
      <c r="H350" s="227"/>
      <c r="I350" s="227"/>
      <c r="J350" s="227"/>
      <c r="K350" s="330"/>
      <c r="L350" s="227"/>
      <c r="M350" s="331"/>
      <c r="N350" s="327"/>
      <c r="O350" s="327"/>
      <c r="P350" s="327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x14ac:dyDescent="0.25">
      <c r="A351" s="213"/>
      <c r="B351" s="227"/>
      <c r="C351" s="227"/>
      <c r="D351" s="227"/>
      <c r="E351" s="227"/>
      <c r="F351" s="227"/>
      <c r="G351" s="227"/>
      <c r="H351" s="227"/>
      <c r="I351" s="227"/>
      <c r="J351" s="227"/>
      <c r="K351" s="330"/>
      <c r="L351" s="227"/>
      <c r="M351" s="331"/>
      <c r="N351" s="327"/>
      <c r="O351" s="327"/>
      <c r="P351" s="327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x14ac:dyDescent="0.25">
      <c r="A352" s="213"/>
      <c r="B352" s="227"/>
      <c r="C352" s="227"/>
      <c r="D352" s="227"/>
      <c r="E352" s="227"/>
      <c r="F352" s="227"/>
      <c r="G352" s="227"/>
      <c r="H352" s="227"/>
      <c r="I352" s="227"/>
      <c r="J352" s="227"/>
      <c r="K352" s="330"/>
      <c r="L352" s="227"/>
      <c r="M352" s="331"/>
      <c r="N352" s="327"/>
      <c r="O352" s="327"/>
      <c r="P352" s="327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x14ac:dyDescent="0.25">
      <c r="A353" s="213"/>
      <c r="B353" s="227"/>
      <c r="C353" s="227"/>
      <c r="D353" s="227"/>
      <c r="E353" s="227"/>
      <c r="F353" s="227"/>
      <c r="G353" s="227"/>
      <c r="H353" s="227"/>
      <c r="I353" s="227"/>
      <c r="J353" s="227"/>
      <c r="K353" s="330"/>
      <c r="L353" s="227"/>
      <c r="M353" s="331"/>
      <c r="N353" s="327"/>
      <c r="O353" s="327"/>
      <c r="P353" s="327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x14ac:dyDescent="0.25">
      <c r="A354" s="213"/>
      <c r="B354" s="227"/>
      <c r="C354" s="227"/>
      <c r="D354" s="227"/>
      <c r="E354" s="227"/>
      <c r="F354" s="227"/>
      <c r="G354" s="227"/>
      <c r="H354" s="227"/>
      <c r="I354" s="227"/>
      <c r="J354" s="227"/>
      <c r="K354" s="330"/>
      <c r="L354" s="227"/>
      <c r="M354" s="331"/>
      <c r="N354" s="327"/>
      <c r="O354" s="327"/>
      <c r="P354" s="327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5">
      <c r="A355" s="213"/>
      <c r="B355" s="227"/>
      <c r="C355" s="227"/>
      <c r="D355" s="227"/>
      <c r="E355" s="227"/>
      <c r="F355" s="227"/>
      <c r="G355" s="227"/>
      <c r="H355" s="227"/>
      <c r="I355" s="227"/>
      <c r="J355" s="227"/>
      <c r="K355" s="330"/>
      <c r="L355" s="227"/>
      <c r="M355" s="331"/>
      <c r="N355" s="327"/>
      <c r="O355" s="327"/>
      <c r="P355" s="327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5">
      <c r="A356" s="213"/>
      <c r="B356" s="227"/>
      <c r="C356" s="227"/>
      <c r="D356" s="227"/>
      <c r="E356" s="227"/>
      <c r="F356" s="227"/>
      <c r="G356" s="227"/>
      <c r="H356" s="227"/>
      <c r="I356" s="227"/>
      <c r="J356" s="227"/>
      <c r="K356" s="330"/>
      <c r="L356" s="227"/>
      <c r="M356" s="331"/>
      <c r="N356" s="327"/>
      <c r="O356" s="327"/>
      <c r="P356" s="327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5">
      <c r="A357" s="213"/>
      <c r="B357" s="227"/>
      <c r="C357" s="227"/>
      <c r="D357" s="227"/>
      <c r="E357" s="227"/>
      <c r="F357" s="227"/>
      <c r="G357" s="227"/>
      <c r="H357" s="227"/>
      <c r="I357" s="227"/>
      <c r="J357" s="227"/>
      <c r="K357" s="330"/>
      <c r="L357" s="227"/>
      <c r="M357" s="331"/>
      <c r="N357" s="327"/>
      <c r="O357" s="327"/>
      <c r="P357" s="327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5">
      <c r="A358" s="213"/>
      <c r="B358" s="227"/>
      <c r="C358" s="227"/>
      <c r="D358" s="227"/>
      <c r="E358" s="227"/>
      <c r="F358" s="227"/>
      <c r="G358" s="227"/>
      <c r="H358" s="227"/>
      <c r="I358" s="227"/>
      <c r="J358" s="227"/>
      <c r="K358" s="330"/>
      <c r="L358" s="227"/>
      <c r="M358" s="331"/>
      <c r="N358" s="327"/>
      <c r="O358" s="327"/>
      <c r="P358" s="327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x14ac:dyDescent="0.25">
      <c r="A359" s="213"/>
      <c r="B359" s="227"/>
      <c r="C359" s="227"/>
      <c r="D359" s="227"/>
      <c r="E359" s="227"/>
      <c r="F359" s="227"/>
      <c r="G359" s="227"/>
      <c r="H359" s="227"/>
      <c r="I359" s="227"/>
      <c r="J359" s="227"/>
      <c r="K359" s="330"/>
      <c r="L359" s="227"/>
      <c r="M359" s="331"/>
      <c r="N359" s="327"/>
      <c r="O359" s="327"/>
      <c r="P359" s="327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x14ac:dyDescent="0.25">
      <c r="A360" s="213"/>
      <c r="B360" s="227"/>
      <c r="C360" s="227"/>
      <c r="D360" s="227"/>
      <c r="E360" s="227"/>
      <c r="F360" s="227"/>
      <c r="G360" s="227"/>
      <c r="H360" s="227"/>
      <c r="I360" s="227"/>
      <c r="J360" s="227"/>
      <c r="K360" s="330"/>
      <c r="L360" s="227"/>
      <c r="M360" s="331"/>
      <c r="N360" s="327"/>
      <c r="O360" s="327"/>
      <c r="P360" s="327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x14ac:dyDescent="0.25">
      <c r="A361" s="213"/>
      <c r="B361" s="227"/>
      <c r="C361" s="227"/>
      <c r="D361" s="227"/>
      <c r="E361" s="227"/>
      <c r="F361" s="227"/>
      <c r="G361" s="227"/>
      <c r="H361" s="227"/>
      <c r="I361" s="227"/>
      <c r="J361" s="227"/>
      <c r="K361" s="330"/>
      <c r="L361" s="227"/>
      <c r="M361" s="331"/>
      <c r="N361" s="327"/>
      <c r="O361" s="327"/>
      <c r="P361" s="327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x14ac:dyDescent="0.25">
      <c r="A362" s="213"/>
      <c r="B362" s="227"/>
      <c r="C362" s="227"/>
      <c r="D362" s="227"/>
      <c r="E362" s="227"/>
      <c r="F362" s="227"/>
      <c r="G362" s="227"/>
      <c r="H362" s="227"/>
      <c r="I362" s="227"/>
      <c r="J362" s="227"/>
      <c r="K362" s="330"/>
      <c r="L362" s="227"/>
      <c r="M362" s="331"/>
      <c r="N362" s="327"/>
      <c r="O362" s="327"/>
      <c r="P362" s="327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x14ac:dyDescent="0.25">
      <c r="A363" s="213"/>
      <c r="B363" s="227"/>
      <c r="C363" s="227"/>
      <c r="D363" s="227"/>
      <c r="E363" s="227"/>
      <c r="F363" s="227"/>
      <c r="G363" s="227"/>
      <c r="H363" s="227"/>
      <c r="I363" s="227"/>
      <c r="J363" s="227"/>
      <c r="K363" s="330"/>
      <c r="L363" s="227"/>
      <c r="M363" s="331"/>
      <c r="N363" s="327"/>
      <c r="O363" s="327"/>
      <c r="P363" s="327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x14ac:dyDescent="0.25">
      <c r="A364" s="213"/>
      <c r="B364" s="227"/>
      <c r="C364" s="227"/>
      <c r="D364" s="227"/>
      <c r="E364" s="227"/>
      <c r="F364" s="227"/>
      <c r="G364" s="227"/>
      <c r="H364" s="227"/>
      <c r="I364" s="227"/>
      <c r="J364" s="227"/>
      <c r="K364" s="330"/>
      <c r="L364" s="227"/>
      <c r="M364" s="331"/>
      <c r="N364" s="327"/>
      <c r="O364" s="327"/>
      <c r="P364" s="327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x14ac:dyDescent="0.25">
      <c r="A365" s="213"/>
      <c r="B365" s="227"/>
      <c r="C365" s="227"/>
      <c r="D365" s="227"/>
      <c r="E365" s="227"/>
      <c r="F365" s="227"/>
      <c r="G365" s="227"/>
      <c r="H365" s="227"/>
      <c r="I365" s="227"/>
      <c r="J365" s="227"/>
      <c r="K365" s="330"/>
      <c r="L365" s="227"/>
      <c r="M365" s="331"/>
      <c r="N365" s="327"/>
      <c r="O365" s="327"/>
      <c r="P365" s="327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x14ac:dyDescent="0.25">
      <c r="A366" s="213"/>
      <c r="B366" s="227"/>
      <c r="C366" s="227"/>
      <c r="D366" s="227"/>
      <c r="E366" s="227"/>
      <c r="F366" s="227"/>
      <c r="G366" s="227"/>
      <c r="H366" s="227"/>
      <c r="I366" s="227"/>
      <c r="J366" s="227"/>
      <c r="K366" s="330"/>
      <c r="L366" s="227"/>
      <c r="M366" s="331"/>
      <c r="N366" s="327"/>
      <c r="O366" s="327"/>
      <c r="P366" s="327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x14ac:dyDescent="0.25">
      <c r="A367" s="213"/>
      <c r="B367" s="227"/>
      <c r="C367" s="227"/>
      <c r="D367" s="227"/>
      <c r="E367" s="227"/>
      <c r="F367" s="227"/>
      <c r="G367" s="227"/>
      <c r="H367" s="227"/>
      <c r="I367" s="227"/>
      <c r="J367" s="227"/>
      <c r="K367" s="330"/>
      <c r="L367" s="227"/>
      <c r="M367" s="331"/>
      <c r="N367" s="327"/>
      <c r="O367" s="327"/>
      <c r="P367" s="327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x14ac:dyDescent="0.25">
      <c r="A368" s="213"/>
      <c r="B368" s="227"/>
      <c r="C368" s="227"/>
      <c r="D368" s="227"/>
      <c r="E368" s="227"/>
      <c r="F368" s="227"/>
      <c r="G368" s="227"/>
      <c r="H368" s="227"/>
      <c r="I368" s="227"/>
      <c r="J368" s="227"/>
      <c r="K368" s="330"/>
      <c r="L368" s="227"/>
      <c r="M368" s="331"/>
      <c r="N368" s="327"/>
      <c r="O368" s="327"/>
      <c r="P368" s="327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x14ac:dyDescent="0.25">
      <c r="A369" s="213"/>
      <c r="B369" s="227"/>
      <c r="C369" s="227"/>
      <c r="D369" s="227"/>
      <c r="E369" s="227"/>
      <c r="F369" s="227"/>
      <c r="G369" s="227"/>
      <c r="H369" s="227"/>
      <c r="I369" s="227"/>
      <c r="J369" s="227"/>
      <c r="K369" s="330"/>
      <c r="L369" s="227"/>
      <c r="M369" s="331"/>
      <c r="N369" s="327"/>
      <c r="O369" s="327"/>
      <c r="P369" s="327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x14ac:dyDescent="0.25">
      <c r="A370" s="213"/>
      <c r="B370" s="227"/>
      <c r="C370" s="227"/>
      <c r="D370" s="227"/>
      <c r="E370" s="227"/>
      <c r="F370" s="227"/>
      <c r="G370" s="227"/>
      <c r="H370" s="227"/>
      <c r="I370" s="227"/>
      <c r="J370" s="227"/>
      <c r="K370" s="330"/>
      <c r="L370" s="227"/>
      <c r="M370" s="331"/>
      <c r="N370" s="327"/>
      <c r="O370" s="327"/>
      <c r="P370" s="327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x14ac:dyDescent="0.25">
      <c r="A371" s="213"/>
      <c r="B371" s="227"/>
      <c r="C371" s="227"/>
      <c r="D371" s="227"/>
      <c r="E371" s="227"/>
      <c r="F371" s="227"/>
      <c r="G371" s="227"/>
      <c r="H371" s="227"/>
      <c r="I371" s="227"/>
      <c r="J371" s="227"/>
      <c r="K371" s="330"/>
      <c r="L371" s="227"/>
      <c r="M371" s="331"/>
      <c r="N371" s="327"/>
      <c r="O371" s="327"/>
      <c r="P371" s="327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x14ac:dyDescent="0.25">
      <c r="A372" s="213"/>
      <c r="B372" s="227"/>
      <c r="C372" s="227"/>
      <c r="D372" s="227"/>
      <c r="E372" s="227"/>
      <c r="F372" s="227"/>
      <c r="G372" s="227"/>
      <c r="H372" s="227"/>
      <c r="I372" s="227"/>
      <c r="J372" s="227"/>
      <c r="K372" s="330"/>
      <c r="L372" s="227"/>
      <c r="M372" s="331"/>
      <c r="N372" s="327"/>
      <c r="O372" s="327"/>
      <c r="P372" s="327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x14ac:dyDescent="0.25">
      <c r="A373" s="213"/>
      <c r="B373" s="227"/>
      <c r="C373" s="227"/>
      <c r="D373" s="227"/>
      <c r="E373" s="227"/>
      <c r="F373" s="227"/>
      <c r="G373" s="227"/>
      <c r="H373" s="227"/>
      <c r="I373" s="227"/>
      <c r="J373" s="227"/>
      <c r="K373" s="330"/>
      <c r="L373" s="227"/>
      <c r="M373" s="331"/>
      <c r="N373" s="327"/>
      <c r="O373" s="327"/>
      <c r="P373" s="327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x14ac:dyDescent="0.25">
      <c r="A374" s="213"/>
      <c r="B374" s="227"/>
      <c r="C374" s="227"/>
      <c r="D374" s="227"/>
      <c r="E374" s="227"/>
      <c r="F374" s="227"/>
      <c r="G374" s="227"/>
      <c r="H374" s="227"/>
      <c r="I374" s="227"/>
      <c r="J374" s="227"/>
      <c r="K374" s="330"/>
      <c r="L374" s="227"/>
      <c r="M374" s="331"/>
      <c r="N374" s="327"/>
      <c r="O374" s="327"/>
      <c r="P374" s="327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5">
      <c r="A375" s="213"/>
      <c r="B375" s="227"/>
      <c r="C375" s="227"/>
      <c r="D375" s="227"/>
      <c r="E375" s="227"/>
      <c r="F375" s="227"/>
      <c r="G375" s="227"/>
      <c r="H375" s="227"/>
      <c r="I375" s="227"/>
      <c r="J375" s="227"/>
      <c r="K375" s="330"/>
      <c r="L375" s="227"/>
      <c r="M375" s="331"/>
      <c r="N375" s="327"/>
      <c r="O375" s="327"/>
      <c r="P375" s="327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x14ac:dyDescent="0.25">
      <c r="A376" s="213"/>
      <c r="B376" s="227"/>
      <c r="C376" s="227"/>
      <c r="D376" s="227"/>
      <c r="E376" s="227"/>
      <c r="F376" s="227"/>
      <c r="G376" s="227"/>
      <c r="H376" s="227"/>
      <c r="I376" s="227"/>
      <c r="J376" s="227"/>
      <c r="K376" s="330"/>
      <c r="L376" s="227"/>
      <c r="M376" s="331"/>
      <c r="N376" s="327"/>
      <c r="O376" s="327"/>
      <c r="P376" s="327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x14ac:dyDescent="0.25">
      <c r="A377" s="213"/>
      <c r="B377" s="227"/>
      <c r="C377" s="227"/>
      <c r="D377" s="227"/>
      <c r="E377" s="227"/>
      <c r="F377" s="227"/>
      <c r="G377" s="227"/>
      <c r="H377" s="227"/>
      <c r="I377" s="227"/>
      <c r="J377" s="227"/>
      <c r="K377" s="330"/>
      <c r="L377" s="227"/>
      <c r="M377" s="331"/>
      <c r="N377" s="327"/>
      <c r="O377" s="327"/>
      <c r="P377" s="327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5">
      <c r="A378" s="213"/>
      <c r="B378" s="227"/>
      <c r="C378" s="227"/>
      <c r="D378" s="227"/>
      <c r="E378" s="227"/>
      <c r="F378" s="227"/>
      <c r="G378" s="227"/>
      <c r="H378" s="227"/>
      <c r="I378" s="227"/>
      <c r="J378" s="227"/>
      <c r="K378" s="330"/>
      <c r="L378" s="227"/>
      <c r="M378" s="331"/>
      <c r="N378" s="327"/>
      <c r="O378" s="327"/>
      <c r="P378" s="327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5">
      <c r="A379" s="213"/>
      <c r="B379" s="227"/>
      <c r="C379" s="227"/>
      <c r="D379" s="227"/>
      <c r="E379" s="227"/>
      <c r="F379" s="227"/>
      <c r="G379" s="227"/>
      <c r="H379" s="227"/>
      <c r="I379" s="227"/>
      <c r="J379" s="227"/>
      <c r="K379" s="330"/>
      <c r="L379" s="227"/>
      <c r="M379" s="331"/>
      <c r="N379" s="327"/>
      <c r="O379" s="327"/>
      <c r="P379" s="327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5">
      <c r="A380" s="213"/>
      <c r="B380" s="227"/>
      <c r="C380" s="227"/>
      <c r="D380" s="227"/>
      <c r="E380" s="227"/>
      <c r="F380" s="227"/>
      <c r="G380" s="227"/>
      <c r="H380" s="227"/>
      <c r="I380" s="227"/>
      <c r="J380" s="227"/>
      <c r="K380" s="330"/>
      <c r="L380" s="227"/>
      <c r="M380" s="331"/>
      <c r="N380" s="327"/>
      <c r="O380" s="327"/>
      <c r="P380" s="327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x14ac:dyDescent="0.25">
      <c r="A381" s="213"/>
      <c r="B381" s="227"/>
      <c r="C381" s="227"/>
      <c r="D381" s="227"/>
      <c r="E381" s="227"/>
      <c r="F381" s="227"/>
      <c r="G381" s="227"/>
      <c r="H381" s="227"/>
      <c r="I381" s="227"/>
      <c r="J381" s="227"/>
      <c r="K381" s="330"/>
      <c r="L381" s="227"/>
      <c r="M381" s="331"/>
      <c r="N381" s="327"/>
      <c r="O381" s="327"/>
      <c r="P381" s="327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5">
      <c r="A382" s="213"/>
      <c r="B382" s="227"/>
      <c r="C382" s="227"/>
      <c r="D382" s="227"/>
      <c r="E382" s="227"/>
      <c r="F382" s="227"/>
      <c r="G382" s="227"/>
      <c r="H382" s="227"/>
      <c r="I382" s="227"/>
      <c r="J382" s="227"/>
      <c r="K382" s="330"/>
      <c r="L382" s="227"/>
      <c r="M382" s="331"/>
      <c r="N382" s="327"/>
      <c r="O382" s="327"/>
      <c r="P382" s="327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5">
      <c r="A383" s="213"/>
      <c r="B383" s="227"/>
      <c r="C383" s="227"/>
      <c r="D383" s="227"/>
      <c r="E383" s="227"/>
      <c r="F383" s="227"/>
      <c r="G383" s="227"/>
      <c r="H383" s="227"/>
      <c r="I383" s="227"/>
      <c r="J383" s="227"/>
      <c r="K383" s="330"/>
      <c r="L383" s="227"/>
      <c r="M383" s="331"/>
      <c r="N383" s="327"/>
      <c r="O383" s="327"/>
      <c r="P383" s="327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5">
      <c r="A384" s="213"/>
      <c r="B384" s="227"/>
      <c r="C384" s="227"/>
      <c r="D384" s="227"/>
      <c r="E384" s="227"/>
      <c r="F384" s="227"/>
      <c r="G384" s="227"/>
      <c r="H384" s="227"/>
      <c r="I384" s="227"/>
      <c r="J384" s="227"/>
      <c r="K384" s="330"/>
      <c r="L384" s="227"/>
      <c r="M384" s="331"/>
      <c r="N384" s="327"/>
      <c r="O384" s="327"/>
      <c r="P384" s="327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x14ac:dyDescent="0.25">
      <c r="A385" s="213"/>
      <c r="B385" s="227"/>
      <c r="C385" s="227"/>
      <c r="D385" s="227"/>
      <c r="E385" s="227"/>
      <c r="F385" s="227"/>
      <c r="G385" s="227"/>
      <c r="H385" s="227"/>
      <c r="I385" s="227"/>
      <c r="J385" s="227"/>
      <c r="K385" s="330"/>
      <c r="L385" s="227"/>
      <c r="M385" s="331"/>
      <c r="N385" s="327"/>
      <c r="O385" s="327"/>
      <c r="P385" s="327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5">
      <c r="A386" s="213"/>
      <c r="B386" s="227"/>
      <c r="C386" s="227"/>
      <c r="D386" s="227"/>
      <c r="E386" s="227"/>
      <c r="F386" s="227"/>
      <c r="G386" s="227"/>
      <c r="H386" s="227"/>
      <c r="I386" s="227"/>
      <c r="J386" s="227"/>
      <c r="K386" s="330"/>
      <c r="L386" s="227"/>
      <c r="M386" s="331"/>
      <c r="N386" s="327"/>
      <c r="O386" s="327"/>
      <c r="P386" s="327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5">
      <c r="A387" s="213"/>
      <c r="B387" s="227"/>
      <c r="C387" s="227"/>
      <c r="D387" s="227"/>
      <c r="E387" s="227"/>
      <c r="F387" s="227"/>
      <c r="G387" s="227"/>
      <c r="H387" s="227"/>
      <c r="I387" s="227"/>
      <c r="J387" s="227"/>
      <c r="K387" s="330"/>
      <c r="L387" s="227"/>
      <c r="M387" s="331"/>
      <c r="N387" s="327"/>
      <c r="O387" s="327"/>
      <c r="P387" s="327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5">
      <c r="A388" s="213"/>
      <c r="B388" s="227"/>
      <c r="C388" s="227"/>
      <c r="D388" s="227"/>
      <c r="E388" s="227"/>
      <c r="F388" s="227"/>
      <c r="G388" s="227"/>
      <c r="H388" s="227"/>
      <c r="I388" s="227"/>
      <c r="J388" s="227"/>
      <c r="K388" s="330"/>
      <c r="L388" s="227"/>
      <c r="M388" s="331"/>
      <c r="N388" s="327"/>
      <c r="O388" s="327"/>
      <c r="P388" s="327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x14ac:dyDescent="0.25">
      <c r="A389" s="213"/>
      <c r="B389" s="227"/>
      <c r="C389" s="227"/>
      <c r="D389" s="227"/>
      <c r="E389" s="227"/>
      <c r="F389" s="227"/>
      <c r="G389" s="227"/>
      <c r="H389" s="227"/>
      <c r="I389" s="227"/>
      <c r="J389" s="227"/>
      <c r="K389" s="330"/>
      <c r="L389" s="227"/>
      <c r="M389" s="331"/>
      <c r="N389" s="327"/>
      <c r="O389" s="327"/>
      <c r="P389" s="327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x14ac:dyDescent="0.25">
      <c r="A390" s="213"/>
      <c r="B390" s="227"/>
      <c r="C390" s="227"/>
      <c r="D390" s="227"/>
      <c r="E390" s="227"/>
      <c r="F390" s="227"/>
      <c r="G390" s="227"/>
      <c r="H390" s="227"/>
      <c r="I390" s="227"/>
      <c r="J390" s="227"/>
      <c r="K390" s="330"/>
      <c r="L390" s="227"/>
      <c r="M390" s="331"/>
      <c r="N390" s="327"/>
      <c r="O390" s="327"/>
      <c r="P390" s="327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x14ac:dyDescent="0.25">
      <c r="A391" s="213"/>
      <c r="B391" s="227"/>
      <c r="C391" s="227"/>
      <c r="D391" s="227"/>
      <c r="E391" s="227"/>
      <c r="F391" s="227"/>
      <c r="G391" s="227"/>
      <c r="H391" s="227"/>
      <c r="I391" s="227"/>
      <c r="J391" s="227"/>
      <c r="K391" s="330"/>
      <c r="L391" s="227"/>
      <c r="M391" s="331"/>
      <c r="N391" s="327"/>
      <c r="O391" s="327"/>
      <c r="P391" s="327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x14ac:dyDescent="0.25">
      <c r="A392" s="213"/>
      <c r="B392" s="227"/>
      <c r="C392" s="227"/>
      <c r="D392" s="227"/>
      <c r="E392" s="227"/>
      <c r="F392" s="227"/>
      <c r="G392" s="227"/>
      <c r="H392" s="227"/>
      <c r="I392" s="227"/>
      <c r="J392" s="227"/>
      <c r="K392" s="330"/>
      <c r="L392" s="227"/>
      <c r="M392" s="331"/>
      <c r="N392" s="327"/>
      <c r="O392" s="327"/>
      <c r="P392" s="327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x14ac:dyDescent="0.25">
      <c r="A393" s="213"/>
      <c r="B393" s="227"/>
      <c r="C393" s="227"/>
      <c r="D393" s="227"/>
      <c r="E393" s="227"/>
      <c r="F393" s="227"/>
      <c r="G393" s="227"/>
      <c r="H393" s="227"/>
      <c r="I393" s="227"/>
      <c r="J393" s="227"/>
      <c r="K393" s="330"/>
      <c r="L393" s="227"/>
      <c r="M393" s="331"/>
      <c r="N393" s="327"/>
      <c r="O393" s="327"/>
      <c r="P393" s="327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x14ac:dyDescent="0.25">
      <c r="A394" s="213"/>
      <c r="B394" s="227"/>
      <c r="C394" s="227"/>
      <c r="D394" s="227"/>
      <c r="E394" s="227"/>
      <c r="F394" s="227"/>
      <c r="G394" s="227"/>
      <c r="H394" s="227"/>
      <c r="I394" s="227"/>
      <c r="J394" s="227"/>
      <c r="K394" s="330"/>
      <c r="L394" s="227"/>
      <c r="M394" s="331"/>
      <c r="N394" s="327"/>
      <c r="O394" s="327"/>
      <c r="P394" s="327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x14ac:dyDescent="0.25">
      <c r="A395" s="213"/>
      <c r="B395" s="227"/>
      <c r="C395" s="227"/>
      <c r="D395" s="227"/>
      <c r="E395" s="227"/>
      <c r="F395" s="227"/>
      <c r="G395" s="227"/>
      <c r="H395" s="227"/>
      <c r="I395" s="227"/>
      <c r="J395" s="227"/>
      <c r="K395" s="330"/>
      <c r="L395" s="227"/>
      <c r="M395" s="331"/>
      <c r="N395" s="327"/>
      <c r="O395" s="327"/>
      <c r="P395" s="327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5">
      <c r="A396" s="213"/>
      <c r="B396" s="227"/>
      <c r="C396" s="227"/>
      <c r="D396" s="227"/>
      <c r="E396" s="227"/>
      <c r="F396" s="227"/>
      <c r="G396" s="227"/>
      <c r="H396" s="227"/>
      <c r="I396" s="227"/>
      <c r="J396" s="227"/>
      <c r="K396" s="330"/>
      <c r="L396" s="227"/>
      <c r="M396" s="331"/>
      <c r="N396" s="327"/>
      <c r="O396" s="327"/>
      <c r="P396" s="327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x14ac:dyDescent="0.25">
      <c r="A397" s="213"/>
      <c r="B397" s="227"/>
      <c r="C397" s="227"/>
      <c r="D397" s="227"/>
      <c r="E397" s="227"/>
      <c r="F397" s="227"/>
      <c r="G397" s="227"/>
      <c r="H397" s="227"/>
      <c r="I397" s="227"/>
      <c r="J397" s="227"/>
      <c r="K397" s="330"/>
      <c r="L397" s="227"/>
      <c r="M397" s="331"/>
      <c r="N397" s="327"/>
      <c r="O397" s="327"/>
      <c r="P397" s="327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x14ac:dyDescent="0.25">
      <c r="A398" s="213"/>
      <c r="B398" s="227"/>
      <c r="C398" s="227"/>
      <c r="D398" s="227"/>
      <c r="E398" s="227"/>
      <c r="F398" s="227"/>
      <c r="G398" s="227"/>
      <c r="H398" s="227"/>
      <c r="I398" s="227"/>
      <c r="J398" s="227"/>
      <c r="K398" s="330"/>
      <c r="L398" s="227"/>
      <c r="M398" s="331"/>
      <c r="N398" s="327"/>
      <c r="O398" s="327"/>
      <c r="P398" s="327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x14ac:dyDescent="0.25">
      <c r="A399" s="213"/>
      <c r="B399" s="227"/>
      <c r="C399" s="227"/>
      <c r="D399" s="227"/>
      <c r="E399" s="227"/>
      <c r="F399" s="227"/>
      <c r="G399" s="227"/>
      <c r="H399" s="227"/>
      <c r="I399" s="227"/>
      <c r="J399" s="227"/>
      <c r="K399" s="330"/>
      <c r="L399" s="227"/>
      <c r="M399" s="331"/>
      <c r="N399" s="327"/>
      <c r="O399" s="327"/>
      <c r="P399" s="327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x14ac:dyDescent="0.25">
      <c r="A400" s="213"/>
      <c r="B400" s="227"/>
      <c r="C400" s="227"/>
      <c r="D400" s="227"/>
      <c r="E400" s="227"/>
      <c r="F400" s="227"/>
      <c r="G400" s="227"/>
      <c r="H400" s="227"/>
      <c r="I400" s="227"/>
      <c r="J400" s="227"/>
      <c r="K400" s="330"/>
      <c r="L400" s="227"/>
      <c r="M400" s="331"/>
      <c r="N400" s="327"/>
      <c r="O400" s="327"/>
      <c r="P400" s="327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x14ac:dyDescent="0.25">
      <c r="A401" s="213"/>
      <c r="B401" s="227"/>
      <c r="C401" s="227"/>
      <c r="D401" s="227"/>
      <c r="E401" s="227"/>
      <c r="F401" s="227"/>
      <c r="G401" s="227"/>
      <c r="H401" s="227"/>
      <c r="I401" s="227"/>
      <c r="J401" s="227"/>
      <c r="K401" s="330"/>
      <c r="L401" s="227"/>
      <c r="M401" s="331"/>
      <c r="N401" s="327"/>
      <c r="O401" s="327"/>
      <c r="P401" s="327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x14ac:dyDescent="0.25">
      <c r="A402" s="213"/>
      <c r="B402" s="227"/>
      <c r="C402" s="227"/>
      <c r="D402" s="227"/>
      <c r="E402" s="227"/>
      <c r="F402" s="227"/>
      <c r="G402" s="227"/>
      <c r="H402" s="227"/>
      <c r="I402" s="227"/>
      <c r="J402" s="227"/>
      <c r="K402" s="330"/>
      <c r="L402" s="227"/>
      <c r="M402" s="331"/>
      <c r="N402" s="327"/>
      <c r="O402" s="327"/>
      <c r="P402" s="327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x14ac:dyDescent="0.25">
      <c r="A403" s="213"/>
      <c r="B403" s="227"/>
      <c r="C403" s="227"/>
      <c r="D403" s="227"/>
      <c r="E403" s="227"/>
      <c r="F403" s="227"/>
      <c r="G403" s="227"/>
      <c r="H403" s="227"/>
      <c r="I403" s="227"/>
      <c r="J403" s="227"/>
      <c r="K403" s="330"/>
      <c r="L403" s="227"/>
      <c r="M403" s="331"/>
      <c r="N403" s="327"/>
      <c r="O403" s="327"/>
      <c r="P403" s="327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x14ac:dyDescent="0.25">
      <c r="A404" s="213"/>
      <c r="B404" s="227"/>
      <c r="C404" s="227"/>
      <c r="D404" s="227"/>
      <c r="E404" s="227"/>
      <c r="F404" s="227"/>
      <c r="G404" s="227"/>
      <c r="H404" s="227"/>
      <c r="I404" s="227"/>
      <c r="J404" s="227"/>
      <c r="K404" s="330"/>
      <c r="L404" s="227"/>
      <c r="M404" s="331"/>
      <c r="N404" s="327"/>
      <c r="O404" s="327"/>
      <c r="P404" s="327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x14ac:dyDescent="0.25">
      <c r="A405" s="213"/>
      <c r="B405" s="227"/>
      <c r="C405" s="227"/>
      <c r="D405" s="227"/>
      <c r="E405" s="227"/>
      <c r="F405" s="227"/>
      <c r="G405" s="227"/>
      <c r="H405" s="227"/>
      <c r="I405" s="227"/>
      <c r="J405" s="227"/>
      <c r="K405" s="330"/>
      <c r="L405" s="227"/>
      <c r="M405" s="331"/>
      <c r="N405" s="327"/>
      <c r="O405" s="327"/>
      <c r="P405" s="327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x14ac:dyDescent="0.25">
      <c r="A406" s="213"/>
      <c r="B406" s="227"/>
      <c r="C406" s="227"/>
      <c r="D406" s="227"/>
      <c r="E406" s="227"/>
      <c r="F406" s="227"/>
      <c r="G406" s="227"/>
      <c r="H406" s="227"/>
      <c r="I406" s="227"/>
      <c r="J406" s="227"/>
      <c r="K406" s="330"/>
      <c r="L406" s="227"/>
      <c r="M406" s="331"/>
      <c r="N406" s="327"/>
      <c r="O406" s="327"/>
      <c r="P406" s="327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x14ac:dyDescent="0.25">
      <c r="A407" s="213"/>
      <c r="B407" s="227"/>
      <c r="C407" s="227"/>
      <c r="D407" s="227"/>
      <c r="E407" s="227"/>
      <c r="F407" s="227"/>
      <c r="G407" s="227"/>
      <c r="H407" s="227"/>
      <c r="I407" s="227"/>
      <c r="J407" s="227"/>
      <c r="K407" s="330"/>
      <c r="L407" s="227"/>
      <c r="M407" s="331"/>
      <c r="N407" s="327"/>
      <c r="O407" s="327"/>
      <c r="P407" s="327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x14ac:dyDescent="0.25">
      <c r="A408" s="213"/>
      <c r="B408" s="227"/>
      <c r="C408" s="227"/>
      <c r="D408" s="227"/>
      <c r="E408" s="227"/>
      <c r="F408" s="227"/>
      <c r="G408" s="227"/>
      <c r="H408" s="227"/>
      <c r="I408" s="227"/>
      <c r="J408" s="227"/>
      <c r="K408" s="330"/>
      <c r="L408" s="227"/>
      <c r="M408" s="331"/>
      <c r="N408" s="327"/>
      <c r="O408" s="327"/>
      <c r="P408" s="327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x14ac:dyDescent="0.25">
      <c r="A409" s="213"/>
      <c r="B409" s="227"/>
      <c r="C409" s="227"/>
      <c r="D409" s="227"/>
      <c r="E409" s="227"/>
      <c r="F409" s="227"/>
      <c r="G409" s="227"/>
      <c r="H409" s="227"/>
      <c r="I409" s="227"/>
      <c r="J409" s="227"/>
      <c r="K409" s="330"/>
      <c r="L409" s="227"/>
      <c r="M409" s="331"/>
      <c r="N409" s="327"/>
      <c r="O409" s="327"/>
      <c r="P409" s="327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x14ac:dyDescent="0.25">
      <c r="A410" s="213"/>
      <c r="B410" s="227"/>
      <c r="C410" s="227"/>
      <c r="D410" s="227"/>
      <c r="E410" s="227"/>
      <c r="F410" s="227"/>
      <c r="G410" s="227"/>
      <c r="H410" s="227"/>
      <c r="I410" s="227"/>
      <c r="J410" s="227"/>
      <c r="K410" s="330"/>
      <c r="L410" s="227"/>
      <c r="M410" s="331"/>
      <c r="N410" s="327"/>
      <c r="O410" s="327"/>
      <c r="P410" s="327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5">
      <c r="A411" s="213"/>
      <c r="B411" s="227"/>
      <c r="C411" s="227"/>
      <c r="D411" s="227"/>
      <c r="E411" s="227"/>
      <c r="F411" s="227"/>
      <c r="G411" s="227"/>
      <c r="H411" s="227"/>
      <c r="I411" s="227"/>
      <c r="J411" s="227"/>
      <c r="K411" s="330"/>
      <c r="L411" s="227"/>
      <c r="M411" s="331"/>
      <c r="N411" s="327"/>
      <c r="O411" s="327"/>
      <c r="P411" s="327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5">
      <c r="A412" s="213"/>
      <c r="B412" s="227"/>
      <c r="C412" s="227"/>
      <c r="D412" s="227"/>
      <c r="E412" s="227"/>
      <c r="F412" s="227"/>
      <c r="G412" s="227"/>
      <c r="H412" s="227"/>
      <c r="I412" s="227"/>
      <c r="J412" s="227"/>
      <c r="K412" s="330"/>
      <c r="L412" s="227"/>
      <c r="M412" s="331"/>
      <c r="N412" s="327"/>
      <c r="O412" s="327"/>
      <c r="P412" s="327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5">
      <c r="A413" s="213"/>
      <c r="B413" s="227"/>
      <c r="C413" s="227"/>
      <c r="D413" s="227"/>
      <c r="E413" s="227"/>
      <c r="F413" s="227"/>
      <c r="G413" s="227"/>
      <c r="H413" s="227"/>
      <c r="I413" s="227"/>
      <c r="J413" s="227"/>
      <c r="K413" s="330"/>
      <c r="L413" s="227"/>
      <c r="M413" s="331"/>
      <c r="N413" s="327"/>
      <c r="O413" s="327"/>
      <c r="P413" s="327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x14ac:dyDescent="0.25">
      <c r="A414" s="213"/>
      <c r="B414" s="227"/>
      <c r="C414" s="227"/>
      <c r="D414" s="227"/>
      <c r="E414" s="227"/>
      <c r="F414" s="227"/>
      <c r="G414" s="227"/>
      <c r="H414" s="227"/>
      <c r="I414" s="227"/>
      <c r="J414" s="227"/>
      <c r="K414" s="330"/>
      <c r="L414" s="227"/>
      <c r="M414" s="331"/>
      <c r="N414" s="327"/>
      <c r="O414" s="327"/>
      <c r="P414" s="327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x14ac:dyDescent="0.25">
      <c r="A415" s="213"/>
      <c r="B415" s="227"/>
      <c r="C415" s="227"/>
      <c r="D415" s="227"/>
      <c r="E415" s="227"/>
      <c r="F415" s="227"/>
      <c r="G415" s="227"/>
      <c r="H415" s="227"/>
      <c r="I415" s="227"/>
      <c r="J415" s="227"/>
      <c r="K415" s="330"/>
      <c r="L415" s="227"/>
      <c r="M415" s="331"/>
      <c r="N415" s="327"/>
      <c r="O415" s="327"/>
      <c r="P415" s="327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x14ac:dyDescent="0.25">
      <c r="A416" s="213"/>
      <c r="B416" s="227"/>
      <c r="C416" s="227"/>
      <c r="D416" s="227"/>
      <c r="E416" s="227"/>
      <c r="F416" s="227"/>
      <c r="G416" s="227"/>
      <c r="H416" s="227"/>
      <c r="I416" s="227"/>
      <c r="J416" s="227"/>
      <c r="K416" s="330"/>
      <c r="L416" s="227"/>
      <c r="M416" s="331"/>
      <c r="N416" s="327"/>
      <c r="O416" s="327"/>
      <c r="P416" s="327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x14ac:dyDescent="0.25">
      <c r="A417" s="213"/>
      <c r="B417" s="227"/>
      <c r="C417" s="227"/>
      <c r="D417" s="227"/>
      <c r="E417" s="227"/>
      <c r="F417" s="227"/>
      <c r="G417" s="227"/>
      <c r="H417" s="227"/>
      <c r="I417" s="227"/>
      <c r="J417" s="227"/>
      <c r="K417" s="330"/>
      <c r="L417" s="227"/>
      <c r="M417" s="331"/>
      <c r="N417" s="327"/>
      <c r="O417" s="327"/>
      <c r="P417" s="327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x14ac:dyDescent="0.25">
      <c r="A418" s="213"/>
      <c r="B418" s="227"/>
      <c r="C418" s="227"/>
      <c r="D418" s="227"/>
      <c r="E418" s="227"/>
      <c r="F418" s="227"/>
      <c r="G418" s="227"/>
      <c r="H418" s="227"/>
      <c r="I418" s="227"/>
      <c r="J418" s="227"/>
      <c r="K418" s="330"/>
      <c r="L418" s="227"/>
      <c r="M418" s="331"/>
      <c r="N418" s="327"/>
      <c r="O418" s="327"/>
      <c r="P418" s="327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x14ac:dyDescent="0.25">
      <c r="A419" s="213"/>
      <c r="B419" s="227"/>
      <c r="C419" s="227"/>
      <c r="D419" s="227"/>
      <c r="E419" s="227"/>
      <c r="F419" s="227"/>
      <c r="G419" s="227"/>
      <c r="H419" s="227"/>
      <c r="I419" s="227"/>
      <c r="J419" s="227"/>
      <c r="K419" s="330"/>
      <c r="L419" s="227"/>
      <c r="M419" s="331"/>
      <c r="N419" s="327"/>
      <c r="O419" s="327"/>
      <c r="P419" s="327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x14ac:dyDescent="0.25">
      <c r="A420" s="213"/>
      <c r="B420" s="227"/>
      <c r="C420" s="227"/>
      <c r="D420" s="227"/>
      <c r="E420" s="227"/>
      <c r="F420" s="227"/>
      <c r="G420" s="227"/>
      <c r="H420" s="227"/>
      <c r="I420" s="227"/>
      <c r="J420" s="227"/>
      <c r="K420" s="330"/>
      <c r="L420" s="227"/>
      <c r="M420" s="331"/>
      <c r="N420" s="327"/>
      <c r="O420" s="327"/>
      <c r="P420" s="327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5">
      <c r="A421" s="213"/>
      <c r="B421" s="227"/>
      <c r="C421" s="227"/>
      <c r="D421" s="227"/>
      <c r="E421" s="227"/>
      <c r="F421" s="227"/>
      <c r="G421" s="227"/>
      <c r="H421" s="227"/>
      <c r="I421" s="227"/>
      <c r="J421" s="227"/>
      <c r="K421" s="330"/>
      <c r="L421" s="227"/>
      <c r="M421" s="331"/>
      <c r="N421" s="327"/>
      <c r="O421" s="327"/>
      <c r="P421" s="327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5">
      <c r="A422" s="213"/>
      <c r="B422" s="227"/>
      <c r="C422" s="227"/>
      <c r="D422" s="227"/>
      <c r="E422" s="227"/>
      <c r="F422" s="227"/>
      <c r="G422" s="227"/>
      <c r="H422" s="227"/>
      <c r="I422" s="227"/>
      <c r="J422" s="227"/>
      <c r="K422" s="330"/>
      <c r="L422" s="227"/>
      <c r="M422" s="331"/>
      <c r="N422" s="327"/>
      <c r="O422" s="327"/>
      <c r="P422" s="327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5">
      <c r="A423" s="213"/>
      <c r="B423" s="227"/>
      <c r="C423" s="227"/>
      <c r="D423" s="227"/>
      <c r="E423" s="227"/>
      <c r="F423" s="227"/>
      <c r="G423" s="227"/>
      <c r="H423" s="227"/>
      <c r="I423" s="227"/>
      <c r="J423" s="227"/>
      <c r="K423" s="330"/>
      <c r="L423" s="227"/>
      <c r="M423" s="331"/>
      <c r="N423" s="327"/>
      <c r="O423" s="327"/>
      <c r="P423" s="327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5">
      <c r="A424" s="213"/>
      <c r="B424" s="227"/>
      <c r="C424" s="227"/>
      <c r="D424" s="227"/>
      <c r="E424" s="227"/>
      <c r="F424" s="227"/>
      <c r="G424" s="227"/>
      <c r="H424" s="227"/>
      <c r="I424" s="227"/>
      <c r="J424" s="227"/>
      <c r="K424" s="330"/>
      <c r="L424" s="227"/>
      <c r="M424" s="331"/>
      <c r="N424" s="327"/>
      <c r="O424" s="327"/>
      <c r="P424" s="327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5">
      <c r="A425" s="213"/>
      <c r="B425" s="227"/>
      <c r="C425" s="227"/>
      <c r="D425" s="227"/>
      <c r="E425" s="227"/>
      <c r="F425" s="227"/>
      <c r="G425" s="227"/>
      <c r="H425" s="227"/>
      <c r="I425" s="227"/>
      <c r="J425" s="227"/>
      <c r="K425" s="330"/>
      <c r="L425" s="227"/>
      <c r="M425" s="331"/>
      <c r="N425" s="327"/>
      <c r="O425" s="327"/>
      <c r="P425" s="327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5">
      <c r="A426" s="213"/>
      <c r="B426" s="227"/>
      <c r="C426" s="227"/>
      <c r="D426" s="227"/>
      <c r="E426" s="227"/>
      <c r="F426" s="227"/>
      <c r="G426" s="227"/>
      <c r="H426" s="227"/>
      <c r="I426" s="227"/>
      <c r="J426" s="227"/>
      <c r="K426" s="330"/>
      <c r="L426" s="227"/>
      <c r="M426" s="331"/>
      <c r="N426" s="327"/>
      <c r="O426" s="327"/>
      <c r="P426" s="327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5">
      <c r="A427" s="213"/>
      <c r="B427" s="227"/>
      <c r="C427" s="227"/>
      <c r="D427" s="227"/>
      <c r="E427" s="227"/>
      <c r="F427" s="227"/>
      <c r="G427" s="227"/>
      <c r="H427" s="227"/>
      <c r="I427" s="227"/>
      <c r="J427" s="227"/>
      <c r="K427" s="330"/>
      <c r="L427" s="227"/>
      <c r="M427" s="331"/>
      <c r="N427" s="327"/>
      <c r="O427" s="327"/>
      <c r="P427" s="327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x14ac:dyDescent="0.25">
      <c r="A428" s="213"/>
      <c r="B428" s="227"/>
      <c r="C428" s="227"/>
      <c r="D428" s="227"/>
      <c r="E428" s="227"/>
      <c r="F428" s="227"/>
      <c r="G428" s="227"/>
      <c r="H428" s="227"/>
      <c r="I428" s="227"/>
      <c r="J428" s="227"/>
      <c r="K428" s="330"/>
      <c r="L428" s="227"/>
      <c r="M428" s="331"/>
      <c r="N428" s="327"/>
      <c r="O428" s="327"/>
      <c r="P428" s="327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x14ac:dyDescent="0.25">
      <c r="A429" s="213"/>
      <c r="B429" s="227"/>
      <c r="C429" s="227"/>
      <c r="D429" s="227"/>
      <c r="E429" s="227"/>
      <c r="F429" s="227"/>
      <c r="G429" s="227"/>
      <c r="H429" s="227"/>
      <c r="I429" s="227"/>
      <c r="J429" s="227"/>
      <c r="K429" s="330"/>
      <c r="L429" s="227"/>
      <c r="M429" s="331"/>
      <c r="N429" s="327"/>
      <c r="O429" s="327"/>
      <c r="P429" s="327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x14ac:dyDescent="0.25">
      <c r="A430" s="213"/>
      <c r="B430" s="227"/>
      <c r="C430" s="227"/>
      <c r="D430" s="227"/>
      <c r="E430" s="227"/>
      <c r="F430" s="227"/>
      <c r="G430" s="227"/>
      <c r="H430" s="227"/>
      <c r="I430" s="227"/>
      <c r="J430" s="227"/>
      <c r="K430" s="330"/>
      <c r="L430" s="227"/>
      <c r="M430" s="331"/>
      <c r="N430" s="327"/>
      <c r="O430" s="327"/>
      <c r="P430" s="327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x14ac:dyDescent="0.25">
      <c r="A431" s="213"/>
      <c r="B431" s="227"/>
      <c r="C431" s="227"/>
      <c r="D431" s="227"/>
      <c r="E431" s="227"/>
      <c r="F431" s="227"/>
      <c r="G431" s="227"/>
      <c r="H431" s="227"/>
      <c r="I431" s="227"/>
      <c r="J431" s="227"/>
      <c r="K431" s="330"/>
      <c r="L431" s="227"/>
      <c r="M431" s="331"/>
      <c r="N431" s="327"/>
      <c r="O431" s="327"/>
      <c r="P431" s="327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x14ac:dyDescent="0.25">
      <c r="A432" s="213"/>
      <c r="B432" s="227"/>
      <c r="C432" s="227"/>
      <c r="D432" s="227"/>
      <c r="E432" s="227"/>
      <c r="F432" s="227"/>
      <c r="G432" s="227"/>
      <c r="H432" s="227"/>
      <c r="I432" s="227"/>
      <c r="J432" s="227"/>
      <c r="K432" s="330"/>
      <c r="L432" s="227"/>
      <c r="M432" s="331"/>
      <c r="N432" s="327"/>
      <c r="O432" s="327"/>
      <c r="P432" s="327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x14ac:dyDescent="0.25">
      <c r="A433" s="213"/>
      <c r="B433" s="227"/>
      <c r="C433" s="227"/>
      <c r="D433" s="227"/>
      <c r="E433" s="227"/>
      <c r="F433" s="227"/>
      <c r="G433" s="227"/>
      <c r="H433" s="227"/>
      <c r="I433" s="227"/>
      <c r="J433" s="227"/>
      <c r="K433" s="330"/>
      <c r="L433" s="227"/>
      <c r="M433" s="331"/>
      <c r="N433" s="327"/>
      <c r="O433" s="327"/>
      <c r="P433" s="327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x14ac:dyDescent="0.25">
      <c r="A434" s="213"/>
      <c r="B434" s="227"/>
      <c r="C434" s="227"/>
      <c r="D434" s="227"/>
      <c r="E434" s="227"/>
      <c r="F434" s="227"/>
      <c r="G434" s="227"/>
      <c r="H434" s="227"/>
      <c r="I434" s="227"/>
      <c r="J434" s="227"/>
      <c r="K434" s="330"/>
      <c r="L434" s="227"/>
      <c r="M434" s="331"/>
      <c r="N434" s="327"/>
      <c r="O434" s="327"/>
      <c r="P434" s="327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x14ac:dyDescent="0.25">
      <c r="A435" s="213"/>
      <c r="B435" s="227"/>
      <c r="C435" s="227"/>
      <c r="D435" s="227"/>
      <c r="E435" s="227"/>
      <c r="F435" s="227"/>
      <c r="G435" s="227"/>
      <c r="H435" s="227"/>
      <c r="I435" s="227"/>
      <c r="J435" s="227"/>
      <c r="K435" s="330"/>
      <c r="L435" s="227"/>
      <c r="M435" s="331"/>
      <c r="N435" s="327"/>
      <c r="O435" s="327"/>
      <c r="P435" s="327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x14ac:dyDescent="0.25">
      <c r="A436" s="213"/>
      <c r="B436" s="227"/>
      <c r="C436" s="227"/>
      <c r="D436" s="227"/>
      <c r="E436" s="227"/>
      <c r="F436" s="227"/>
      <c r="G436" s="227"/>
      <c r="H436" s="227"/>
      <c r="I436" s="227"/>
      <c r="J436" s="227"/>
      <c r="K436" s="330"/>
      <c r="L436" s="227"/>
      <c r="M436" s="331"/>
      <c r="N436" s="327"/>
      <c r="O436" s="327"/>
      <c r="P436" s="327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x14ac:dyDescent="0.25">
      <c r="A437" s="213"/>
      <c r="B437" s="227"/>
      <c r="C437" s="227"/>
      <c r="D437" s="227"/>
      <c r="E437" s="227"/>
      <c r="F437" s="227"/>
      <c r="G437" s="227"/>
      <c r="H437" s="227"/>
      <c r="I437" s="227"/>
      <c r="J437" s="227"/>
      <c r="K437" s="330"/>
      <c r="L437" s="227"/>
      <c r="M437" s="331"/>
      <c r="N437" s="327"/>
      <c r="O437" s="327"/>
      <c r="P437" s="327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x14ac:dyDescent="0.25">
      <c r="A438" s="213"/>
      <c r="B438" s="227"/>
      <c r="C438" s="227"/>
      <c r="D438" s="227"/>
      <c r="E438" s="227"/>
      <c r="F438" s="227"/>
      <c r="G438" s="227"/>
      <c r="H438" s="227"/>
      <c r="I438" s="227"/>
      <c r="J438" s="227"/>
      <c r="K438" s="330"/>
      <c r="L438" s="227"/>
      <c r="M438" s="331"/>
      <c r="N438" s="327"/>
      <c r="O438" s="327"/>
      <c r="P438" s="327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5">
      <c r="A439" s="213"/>
      <c r="B439" s="227"/>
      <c r="C439" s="227"/>
      <c r="D439" s="227"/>
      <c r="E439" s="227"/>
      <c r="F439" s="227"/>
      <c r="G439" s="227"/>
      <c r="H439" s="227"/>
      <c r="I439" s="227"/>
      <c r="J439" s="227"/>
      <c r="K439" s="330"/>
      <c r="L439" s="227"/>
      <c r="M439" s="331"/>
      <c r="N439" s="327"/>
      <c r="O439" s="327"/>
      <c r="P439" s="327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x14ac:dyDescent="0.25">
      <c r="A440" s="213"/>
      <c r="B440" s="227"/>
      <c r="C440" s="227"/>
      <c r="D440" s="227"/>
      <c r="E440" s="227"/>
      <c r="F440" s="227"/>
      <c r="G440" s="227"/>
      <c r="H440" s="227"/>
      <c r="I440" s="227"/>
      <c r="J440" s="227"/>
      <c r="K440" s="330"/>
      <c r="L440" s="227"/>
      <c r="M440" s="331"/>
      <c r="N440" s="327"/>
      <c r="O440" s="327"/>
      <c r="P440" s="327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x14ac:dyDescent="0.25">
      <c r="A441" s="213"/>
      <c r="B441" s="227"/>
      <c r="C441" s="227"/>
      <c r="D441" s="227"/>
      <c r="E441" s="227"/>
      <c r="F441" s="227"/>
      <c r="G441" s="227"/>
      <c r="H441" s="227"/>
      <c r="I441" s="227"/>
      <c r="J441" s="227"/>
      <c r="K441" s="330"/>
      <c r="L441" s="227"/>
      <c r="M441" s="331"/>
      <c r="N441" s="327"/>
      <c r="O441" s="327"/>
      <c r="P441" s="327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x14ac:dyDescent="0.25">
      <c r="A442" s="213"/>
      <c r="B442" s="227"/>
      <c r="C442" s="227"/>
      <c r="D442" s="227"/>
      <c r="E442" s="227"/>
      <c r="F442" s="227"/>
      <c r="G442" s="227"/>
      <c r="H442" s="227"/>
      <c r="I442" s="227"/>
      <c r="J442" s="227"/>
      <c r="K442" s="330"/>
      <c r="L442" s="227"/>
      <c r="M442" s="331"/>
      <c r="N442" s="327"/>
      <c r="O442" s="327"/>
      <c r="P442" s="327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x14ac:dyDescent="0.25">
      <c r="A443" s="213"/>
      <c r="B443" s="227"/>
      <c r="C443" s="227"/>
      <c r="D443" s="227"/>
      <c r="E443" s="227"/>
      <c r="F443" s="227"/>
      <c r="G443" s="227"/>
      <c r="H443" s="227"/>
      <c r="I443" s="227"/>
      <c r="J443" s="227"/>
      <c r="K443" s="330"/>
      <c r="L443" s="227"/>
      <c r="M443" s="331"/>
      <c r="N443" s="327"/>
      <c r="O443" s="327"/>
      <c r="P443" s="327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x14ac:dyDescent="0.25">
      <c r="A444" s="213"/>
      <c r="B444" s="227"/>
      <c r="C444" s="227"/>
      <c r="D444" s="227"/>
      <c r="E444" s="227"/>
      <c r="F444" s="227"/>
      <c r="G444" s="227"/>
      <c r="H444" s="227"/>
      <c r="I444" s="227"/>
      <c r="J444" s="227"/>
      <c r="K444" s="330"/>
      <c r="L444" s="227"/>
      <c r="M444" s="331"/>
      <c r="N444" s="327"/>
      <c r="O444" s="327"/>
      <c r="P444" s="327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5">
      <c r="A445" s="213"/>
      <c r="B445" s="227"/>
      <c r="C445" s="227"/>
      <c r="D445" s="227"/>
      <c r="E445" s="227"/>
      <c r="F445" s="227"/>
      <c r="G445" s="227"/>
      <c r="H445" s="227"/>
      <c r="I445" s="227"/>
      <c r="J445" s="227"/>
      <c r="K445" s="330"/>
      <c r="L445" s="227"/>
      <c r="M445" s="331"/>
      <c r="N445" s="327"/>
      <c r="O445" s="327"/>
      <c r="P445" s="327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5">
      <c r="A446" s="213"/>
      <c r="B446" s="227"/>
      <c r="C446" s="227"/>
      <c r="D446" s="227"/>
      <c r="E446" s="227"/>
      <c r="F446" s="227"/>
      <c r="G446" s="227"/>
      <c r="H446" s="227"/>
      <c r="I446" s="227"/>
      <c r="J446" s="227"/>
      <c r="K446" s="330"/>
      <c r="L446" s="227"/>
      <c r="M446" s="331"/>
      <c r="N446" s="327"/>
      <c r="O446" s="327"/>
      <c r="P446" s="327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5">
      <c r="A447" s="213"/>
      <c r="B447" s="227"/>
      <c r="C447" s="227"/>
      <c r="D447" s="227"/>
      <c r="E447" s="227"/>
      <c r="F447" s="227"/>
      <c r="G447" s="227"/>
      <c r="H447" s="227"/>
      <c r="I447" s="227"/>
      <c r="J447" s="227"/>
      <c r="K447" s="330"/>
      <c r="L447" s="227"/>
      <c r="M447" s="331"/>
      <c r="N447" s="327"/>
      <c r="O447" s="327"/>
      <c r="P447" s="327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5">
      <c r="A448" s="213"/>
      <c r="B448" s="227"/>
      <c r="C448" s="227"/>
      <c r="D448" s="227"/>
      <c r="E448" s="227"/>
      <c r="F448" s="227"/>
      <c r="G448" s="227"/>
      <c r="H448" s="227"/>
      <c r="I448" s="227"/>
      <c r="J448" s="227"/>
      <c r="K448" s="330"/>
      <c r="L448" s="227"/>
      <c r="M448" s="331"/>
      <c r="N448" s="327"/>
      <c r="O448" s="327"/>
      <c r="P448" s="327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5">
      <c r="A449" s="213"/>
      <c r="B449" s="227"/>
      <c r="C449" s="227"/>
      <c r="D449" s="227"/>
      <c r="E449" s="227"/>
      <c r="F449" s="227"/>
      <c r="G449" s="227"/>
      <c r="H449" s="227"/>
      <c r="I449" s="227"/>
      <c r="J449" s="227"/>
      <c r="K449" s="330"/>
      <c r="L449" s="227"/>
      <c r="M449" s="331"/>
      <c r="N449" s="327"/>
      <c r="O449" s="327"/>
      <c r="P449" s="327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5">
      <c r="A450" s="213"/>
      <c r="B450" s="227"/>
      <c r="C450" s="227"/>
      <c r="D450" s="227"/>
      <c r="E450" s="227"/>
      <c r="F450" s="227"/>
      <c r="G450" s="227"/>
      <c r="H450" s="227"/>
      <c r="I450" s="227"/>
      <c r="J450" s="227"/>
      <c r="K450" s="330"/>
      <c r="L450" s="227"/>
      <c r="M450" s="331"/>
      <c r="N450" s="327"/>
      <c r="O450" s="327"/>
      <c r="P450" s="327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x14ac:dyDescent="0.25">
      <c r="A451" s="213"/>
      <c r="B451" s="227"/>
      <c r="C451" s="227"/>
      <c r="D451" s="227"/>
      <c r="E451" s="227"/>
      <c r="F451" s="227"/>
      <c r="G451" s="227"/>
      <c r="H451" s="227"/>
      <c r="I451" s="227"/>
      <c r="J451" s="227"/>
      <c r="K451" s="330"/>
      <c r="L451" s="227"/>
      <c r="M451" s="331"/>
      <c r="N451" s="327"/>
      <c r="O451" s="327"/>
      <c r="P451" s="327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x14ac:dyDescent="0.25">
      <c r="A452" s="213"/>
      <c r="B452" s="227"/>
      <c r="C452" s="227"/>
      <c r="D452" s="227"/>
      <c r="E452" s="227"/>
      <c r="F452" s="227"/>
      <c r="G452" s="227"/>
      <c r="H452" s="227"/>
      <c r="I452" s="227"/>
      <c r="J452" s="227"/>
      <c r="K452" s="330"/>
      <c r="L452" s="227"/>
      <c r="M452" s="331"/>
      <c r="N452" s="327"/>
      <c r="O452" s="327"/>
      <c r="P452" s="327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x14ac:dyDescent="0.25">
      <c r="A453" s="213"/>
      <c r="B453" s="227"/>
      <c r="C453" s="227"/>
      <c r="D453" s="227"/>
      <c r="E453" s="227"/>
      <c r="F453" s="227"/>
      <c r="G453" s="227"/>
      <c r="H453" s="227"/>
      <c r="I453" s="227"/>
      <c r="J453" s="227"/>
      <c r="K453" s="330"/>
      <c r="L453" s="227"/>
      <c r="M453" s="331"/>
      <c r="N453" s="327"/>
      <c r="O453" s="327"/>
      <c r="P453" s="327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x14ac:dyDescent="0.25">
      <c r="A454" s="213"/>
      <c r="B454" s="227"/>
      <c r="C454" s="227"/>
      <c r="D454" s="227"/>
      <c r="E454" s="227"/>
      <c r="F454" s="227"/>
      <c r="G454" s="227"/>
      <c r="H454" s="227"/>
      <c r="I454" s="227"/>
      <c r="J454" s="227"/>
      <c r="K454" s="330"/>
      <c r="L454" s="227"/>
      <c r="M454" s="331"/>
      <c r="N454" s="327"/>
      <c r="O454" s="327"/>
      <c r="P454" s="327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5">
      <c r="A455" s="213"/>
      <c r="B455" s="227"/>
      <c r="C455" s="227"/>
      <c r="D455" s="227"/>
      <c r="E455" s="227"/>
      <c r="F455" s="227"/>
      <c r="G455" s="227"/>
      <c r="H455" s="227"/>
      <c r="I455" s="227"/>
      <c r="J455" s="227"/>
      <c r="K455" s="330"/>
      <c r="L455" s="227"/>
      <c r="M455" s="331"/>
      <c r="N455" s="327"/>
      <c r="O455" s="327"/>
      <c r="P455" s="327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5">
      <c r="A456" s="213"/>
      <c r="B456" s="227"/>
      <c r="C456" s="227"/>
      <c r="D456" s="227"/>
      <c r="E456" s="227"/>
      <c r="F456" s="227"/>
      <c r="G456" s="227"/>
      <c r="H456" s="227"/>
      <c r="I456" s="227"/>
      <c r="J456" s="227"/>
      <c r="K456" s="330"/>
      <c r="L456" s="227"/>
      <c r="M456" s="331"/>
      <c r="N456" s="327"/>
      <c r="O456" s="327"/>
      <c r="P456" s="327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5">
      <c r="A457" s="213"/>
      <c r="B457" s="227"/>
      <c r="C457" s="227"/>
      <c r="D457" s="227"/>
      <c r="E457" s="227"/>
      <c r="F457" s="227"/>
      <c r="G457" s="227"/>
      <c r="H457" s="227"/>
      <c r="I457" s="227"/>
      <c r="J457" s="227"/>
      <c r="K457" s="330"/>
      <c r="L457" s="227"/>
      <c r="M457" s="331"/>
      <c r="N457" s="327"/>
      <c r="O457" s="327"/>
      <c r="P457" s="327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5">
      <c r="A458" s="213"/>
      <c r="B458" s="227"/>
      <c r="C458" s="227"/>
      <c r="D458" s="227"/>
      <c r="E458" s="227"/>
      <c r="F458" s="227"/>
      <c r="G458" s="227"/>
      <c r="H458" s="227"/>
      <c r="I458" s="227"/>
      <c r="J458" s="227"/>
      <c r="K458" s="330"/>
      <c r="L458" s="227"/>
      <c r="M458" s="331"/>
      <c r="N458" s="327"/>
      <c r="O458" s="327"/>
      <c r="P458" s="327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5">
      <c r="A459" s="213"/>
      <c r="B459" s="227"/>
      <c r="C459" s="227"/>
      <c r="D459" s="227"/>
      <c r="E459" s="227"/>
      <c r="F459" s="227"/>
      <c r="G459" s="227"/>
      <c r="H459" s="227"/>
      <c r="I459" s="227"/>
      <c r="J459" s="227"/>
      <c r="K459" s="330"/>
      <c r="L459" s="227"/>
      <c r="M459" s="331"/>
      <c r="N459" s="327"/>
      <c r="O459" s="327"/>
      <c r="P459" s="327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5">
      <c r="A460" s="213"/>
      <c r="B460" s="227"/>
      <c r="C460" s="227"/>
      <c r="D460" s="227"/>
      <c r="E460" s="227"/>
      <c r="F460" s="227"/>
      <c r="G460" s="227"/>
      <c r="H460" s="227"/>
      <c r="I460" s="227"/>
      <c r="J460" s="227"/>
      <c r="K460" s="330"/>
      <c r="L460" s="227"/>
      <c r="M460" s="331"/>
      <c r="N460" s="327"/>
      <c r="O460" s="327"/>
      <c r="P460" s="327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5">
      <c r="A461" s="213"/>
      <c r="B461" s="227"/>
      <c r="C461" s="227"/>
      <c r="D461" s="227"/>
      <c r="E461" s="227"/>
      <c r="F461" s="227"/>
      <c r="G461" s="227"/>
      <c r="H461" s="227"/>
      <c r="I461" s="227"/>
      <c r="J461" s="227"/>
      <c r="K461" s="330"/>
      <c r="L461" s="227"/>
      <c r="M461" s="331"/>
      <c r="N461" s="327"/>
      <c r="O461" s="327"/>
      <c r="P461" s="327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5">
      <c r="A462" s="213"/>
      <c r="B462" s="227"/>
      <c r="C462" s="227"/>
      <c r="D462" s="227"/>
      <c r="E462" s="227"/>
      <c r="F462" s="227"/>
      <c r="G462" s="227"/>
      <c r="H462" s="227"/>
      <c r="I462" s="227"/>
      <c r="J462" s="227"/>
      <c r="K462" s="330"/>
      <c r="L462" s="227"/>
      <c r="M462" s="331"/>
      <c r="N462" s="327"/>
      <c r="O462" s="327"/>
      <c r="P462" s="327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x14ac:dyDescent="0.25">
      <c r="A463" s="213"/>
      <c r="B463" s="227"/>
      <c r="C463" s="227"/>
      <c r="D463" s="227"/>
      <c r="E463" s="227"/>
      <c r="F463" s="227"/>
      <c r="G463" s="227"/>
      <c r="H463" s="227"/>
      <c r="I463" s="227"/>
      <c r="J463" s="227"/>
      <c r="K463" s="330"/>
      <c r="L463" s="227"/>
      <c r="M463" s="331"/>
      <c r="N463" s="327"/>
      <c r="O463" s="327"/>
      <c r="P463" s="327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x14ac:dyDescent="0.25">
      <c r="A464" s="213"/>
      <c r="B464" s="227"/>
      <c r="C464" s="227"/>
      <c r="D464" s="227"/>
      <c r="E464" s="227"/>
      <c r="F464" s="227"/>
      <c r="G464" s="227"/>
      <c r="H464" s="227"/>
      <c r="I464" s="227"/>
      <c r="J464" s="227"/>
      <c r="K464" s="330"/>
      <c r="L464" s="227"/>
      <c r="M464" s="331"/>
      <c r="N464" s="327"/>
      <c r="O464" s="327"/>
      <c r="P464" s="327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x14ac:dyDescent="0.25">
      <c r="A465" s="213"/>
      <c r="B465" s="227"/>
      <c r="C465" s="227"/>
      <c r="D465" s="227"/>
      <c r="E465" s="227"/>
      <c r="F465" s="227"/>
      <c r="G465" s="227"/>
      <c r="H465" s="227"/>
      <c r="I465" s="227"/>
      <c r="J465" s="227"/>
      <c r="K465" s="330"/>
      <c r="L465" s="227"/>
      <c r="M465" s="331"/>
      <c r="N465" s="327"/>
      <c r="O465" s="327"/>
      <c r="P465" s="327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x14ac:dyDescent="0.25">
      <c r="A466" s="213"/>
      <c r="B466" s="227"/>
      <c r="C466" s="227"/>
      <c r="D466" s="227"/>
      <c r="E466" s="227"/>
      <c r="F466" s="227"/>
      <c r="G466" s="227"/>
      <c r="H466" s="227"/>
      <c r="I466" s="227"/>
      <c r="J466" s="227"/>
      <c r="K466" s="330"/>
      <c r="L466" s="227"/>
      <c r="M466" s="331"/>
      <c r="N466" s="327"/>
      <c r="O466" s="327"/>
      <c r="P466" s="327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x14ac:dyDescent="0.25">
      <c r="A467" s="213"/>
      <c r="B467" s="227"/>
      <c r="C467" s="227"/>
      <c r="D467" s="227"/>
      <c r="E467" s="227"/>
      <c r="F467" s="227"/>
      <c r="G467" s="227"/>
      <c r="H467" s="227"/>
      <c r="I467" s="227"/>
      <c r="J467" s="227"/>
      <c r="K467" s="330"/>
      <c r="L467" s="227"/>
      <c r="M467" s="331"/>
      <c r="N467" s="327"/>
      <c r="O467" s="327"/>
      <c r="P467" s="327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x14ac:dyDescent="0.25">
      <c r="A468" s="213"/>
      <c r="B468" s="227"/>
      <c r="C468" s="227"/>
      <c r="D468" s="227"/>
      <c r="E468" s="227"/>
      <c r="F468" s="227"/>
      <c r="G468" s="227"/>
      <c r="H468" s="227"/>
      <c r="I468" s="227"/>
      <c r="J468" s="227"/>
      <c r="K468" s="330"/>
      <c r="L468" s="227"/>
      <c r="M468" s="331"/>
      <c r="N468" s="327"/>
      <c r="O468" s="327"/>
      <c r="P468" s="327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x14ac:dyDescent="0.25">
      <c r="A469" s="213"/>
      <c r="B469" s="227"/>
      <c r="C469" s="227"/>
      <c r="D469" s="227"/>
      <c r="E469" s="227"/>
      <c r="F469" s="227"/>
      <c r="G469" s="227"/>
      <c r="H469" s="227"/>
      <c r="I469" s="227"/>
      <c r="J469" s="227"/>
      <c r="K469" s="330"/>
      <c r="L469" s="227"/>
      <c r="M469" s="331"/>
      <c r="N469" s="327"/>
      <c r="O469" s="327"/>
      <c r="P469" s="327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x14ac:dyDescent="0.25">
      <c r="A470" s="213"/>
      <c r="B470" s="227"/>
      <c r="C470" s="227"/>
      <c r="D470" s="227"/>
      <c r="E470" s="227"/>
      <c r="F470" s="227"/>
      <c r="G470" s="227"/>
      <c r="H470" s="227"/>
      <c r="I470" s="227"/>
      <c r="J470" s="227"/>
      <c r="K470" s="330"/>
      <c r="L470" s="227"/>
      <c r="M470" s="331"/>
      <c r="N470" s="327"/>
      <c r="O470" s="327"/>
      <c r="P470" s="327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5">
      <c r="A471" s="213"/>
      <c r="B471" s="227"/>
      <c r="C471" s="227"/>
      <c r="D471" s="227"/>
      <c r="E471" s="227"/>
      <c r="F471" s="227"/>
      <c r="G471" s="227"/>
      <c r="H471" s="227"/>
      <c r="I471" s="227"/>
      <c r="J471" s="227"/>
      <c r="K471" s="330"/>
      <c r="L471" s="227"/>
      <c r="M471" s="331"/>
      <c r="N471" s="327"/>
      <c r="O471" s="327"/>
      <c r="P471" s="327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5">
      <c r="A472" s="213"/>
      <c r="B472" s="227"/>
      <c r="C472" s="227"/>
      <c r="D472" s="227"/>
      <c r="E472" s="227"/>
      <c r="F472" s="227"/>
      <c r="G472" s="227"/>
      <c r="H472" s="227"/>
      <c r="I472" s="227"/>
      <c r="J472" s="227"/>
      <c r="K472" s="330"/>
      <c r="L472" s="227"/>
      <c r="M472" s="331"/>
      <c r="N472" s="327"/>
      <c r="O472" s="327"/>
      <c r="P472" s="327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5">
      <c r="A473" s="213"/>
      <c r="B473" s="227"/>
      <c r="C473" s="227"/>
      <c r="D473" s="227"/>
      <c r="E473" s="227"/>
      <c r="F473" s="227"/>
      <c r="G473" s="227"/>
      <c r="H473" s="227"/>
      <c r="I473" s="227"/>
      <c r="J473" s="227"/>
      <c r="K473" s="330"/>
      <c r="L473" s="227"/>
      <c r="M473" s="331"/>
      <c r="N473" s="327"/>
      <c r="O473" s="327"/>
      <c r="P473" s="327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5">
      <c r="A474" s="213"/>
      <c r="B474" s="227"/>
      <c r="C474" s="227"/>
      <c r="D474" s="227"/>
      <c r="E474" s="227"/>
      <c r="F474" s="227"/>
      <c r="G474" s="227"/>
      <c r="H474" s="227"/>
      <c r="I474" s="227"/>
      <c r="J474" s="227"/>
      <c r="K474" s="330"/>
      <c r="L474" s="227"/>
      <c r="M474" s="331"/>
      <c r="N474" s="327"/>
      <c r="O474" s="327"/>
      <c r="P474" s="327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5">
      <c r="A475" s="213"/>
      <c r="B475" s="227"/>
      <c r="C475" s="227"/>
      <c r="D475" s="227"/>
      <c r="E475" s="227"/>
      <c r="F475" s="227"/>
      <c r="G475" s="227"/>
      <c r="H475" s="227"/>
      <c r="I475" s="227"/>
      <c r="J475" s="227"/>
      <c r="K475" s="330"/>
      <c r="L475" s="227"/>
      <c r="M475" s="331"/>
      <c r="N475" s="327"/>
      <c r="O475" s="327"/>
      <c r="P475" s="327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5">
      <c r="A476" s="213"/>
      <c r="B476" s="227"/>
      <c r="C476" s="227"/>
      <c r="D476" s="227"/>
      <c r="E476" s="227"/>
      <c r="F476" s="227"/>
      <c r="G476" s="227"/>
      <c r="H476" s="227"/>
      <c r="I476" s="227"/>
      <c r="J476" s="227"/>
      <c r="K476" s="330"/>
      <c r="L476" s="227"/>
      <c r="M476" s="331"/>
      <c r="N476" s="327"/>
      <c r="O476" s="327"/>
      <c r="P476" s="327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5">
      <c r="A477" s="213"/>
      <c r="B477" s="227"/>
      <c r="C477" s="227"/>
      <c r="D477" s="227"/>
      <c r="E477" s="227"/>
      <c r="F477" s="227"/>
      <c r="G477" s="227"/>
      <c r="H477" s="227"/>
      <c r="I477" s="227"/>
      <c r="J477" s="227"/>
      <c r="K477" s="330"/>
      <c r="L477" s="227"/>
      <c r="M477" s="331"/>
      <c r="N477" s="327"/>
      <c r="O477" s="327"/>
      <c r="P477" s="327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5">
      <c r="A478" s="213"/>
      <c r="B478" s="227"/>
      <c r="C478" s="227"/>
      <c r="D478" s="227"/>
      <c r="E478" s="227"/>
      <c r="F478" s="227"/>
      <c r="G478" s="227"/>
      <c r="H478" s="227"/>
      <c r="I478" s="227"/>
      <c r="J478" s="227"/>
      <c r="K478" s="330"/>
      <c r="L478" s="227"/>
      <c r="M478" s="331"/>
      <c r="N478" s="327"/>
      <c r="O478" s="327"/>
      <c r="P478" s="327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5">
      <c r="A479" s="213"/>
      <c r="B479" s="227"/>
      <c r="C479" s="227"/>
      <c r="D479" s="227"/>
      <c r="E479" s="227"/>
      <c r="F479" s="227"/>
      <c r="G479" s="227"/>
      <c r="H479" s="227"/>
      <c r="I479" s="227"/>
      <c r="J479" s="227"/>
      <c r="K479" s="330"/>
      <c r="L479" s="227"/>
      <c r="M479" s="331"/>
      <c r="N479" s="327"/>
      <c r="O479" s="327"/>
      <c r="P479" s="327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x14ac:dyDescent="0.25">
      <c r="A480" s="213"/>
      <c r="B480" s="227"/>
      <c r="C480" s="227"/>
      <c r="D480" s="227"/>
      <c r="E480" s="227"/>
      <c r="F480" s="227"/>
      <c r="G480" s="227"/>
      <c r="H480" s="227"/>
      <c r="I480" s="227"/>
      <c r="J480" s="227"/>
      <c r="K480" s="330"/>
      <c r="L480" s="227"/>
      <c r="M480" s="331"/>
      <c r="N480" s="327"/>
      <c r="O480" s="327"/>
      <c r="P480" s="327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x14ac:dyDescent="0.25">
      <c r="A481" s="213"/>
      <c r="B481" s="227"/>
      <c r="C481" s="227"/>
      <c r="D481" s="227"/>
      <c r="E481" s="227"/>
      <c r="F481" s="227"/>
      <c r="G481" s="227"/>
      <c r="H481" s="227"/>
      <c r="I481" s="227"/>
      <c r="J481" s="227"/>
      <c r="K481" s="330"/>
      <c r="L481" s="227"/>
      <c r="M481" s="331"/>
      <c r="N481" s="327"/>
      <c r="O481" s="327"/>
      <c r="P481" s="327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x14ac:dyDescent="0.25">
      <c r="A482" s="213"/>
      <c r="B482" s="227"/>
      <c r="C482" s="227"/>
      <c r="D482" s="227"/>
      <c r="E482" s="227"/>
      <c r="F482" s="227"/>
      <c r="G482" s="227"/>
      <c r="H482" s="227"/>
      <c r="I482" s="227"/>
      <c r="J482" s="227"/>
      <c r="K482" s="330"/>
      <c r="L482" s="227"/>
      <c r="M482" s="331"/>
      <c r="N482" s="327"/>
      <c r="O482" s="327"/>
      <c r="P482" s="327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x14ac:dyDescent="0.25">
      <c r="A483" s="213"/>
      <c r="B483" s="227"/>
      <c r="C483" s="227"/>
      <c r="D483" s="227"/>
      <c r="E483" s="227"/>
      <c r="F483" s="227"/>
      <c r="G483" s="227"/>
      <c r="H483" s="227"/>
      <c r="I483" s="227"/>
      <c r="J483" s="227"/>
      <c r="K483" s="330"/>
      <c r="L483" s="227"/>
      <c r="M483" s="331"/>
      <c r="N483" s="327"/>
      <c r="O483" s="327"/>
      <c r="P483" s="327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5">
      <c r="A484" s="213"/>
      <c r="B484" s="227"/>
      <c r="C484" s="227"/>
      <c r="D484" s="227"/>
      <c r="E484" s="227"/>
      <c r="F484" s="227"/>
      <c r="G484" s="227"/>
      <c r="H484" s="227"/>
      <c r="I484" s="227"/>
      <c r="J484" s="227"/>
      <c r="K484" s="330"/>
      <c r="L484" s="227"/>
      <c r="M484" s="331"/>
      <c r="N484" s="327"/>
      <c r="O484" s="327"/>
      <c r="P484" s="327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5">
      <c r="A485" s="213"/>
      <c r="B485" s="227"/>
      <c r="C485" s="227"/>
      <c r="D485" s="227"/>
      <c r="E485" s="227"/>
      <c r="F485" s="227"/>
      <c r="G485" s="227"/>
      <c r="H485" s="227"/>
      <c r="I485" s="227"/>
      <c r="J485" s="227"/>
      <c r="K485" s="330"/>
      <c r="L485" s="227"/>
      <c r="M485" s="331"/>
      <c r="N485" s="327"/>
      <c r="O485" s="327"/>
      <c r="P485" s="327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5">
      <c r="A486" s="213"/>
      <c r="B486" s="227"/>
      <c r="C486" s="227"/>
      <c r="D486" s="227"/>
      <c r="E486" s="227"/>
      <c r="F486" s="227"/>
      <c r="G486" s="227"/>
      <c r="H486" s="227"/>
      <c r="I486" s="227"/>
      <c r="J486" s="227"/>
      <c r="K486" s="330"/>
      <c r="L486" s="227"/>
      <c r="M486" s="331"/>
      <c r="N486" s="327"/>
      <c r="O486" s="327"/>
      <c r="P486" s="327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5">
      <c r="A487" s="213"/>
      <c r="B487" s="227"/>
      <c r="C487" s="227"/>
      <c r="D487" s="227"/>
      <c r="E487" s="227"/>
      <c r="F487" s="227"/>
      <c r="G487" s="227"/>
      <c r="H487" s="227"/>
      <c r="I487" s="227"/>
      <c r="J487" s="227"/>
      <c r="K487" s="330"/>
      <c r="L487" s="227"/>
      <c r="M487" s="331"/>
      <c r="N487" s="327"/>
      <c r="O487" s="327"/>
      <c r="P487" s="327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5">
      <c r="A488" s="213"/>
      <c r="B488" s="227"/>
      <c r="C488" s="227"/>
      <c r="D488" s="227"/>
      <c r="E488" s="227"/>
      <c r="F488" s="227"/>
      <c r="G488" s="227"/>
      <c r="H488" s="227"/>
      <c r="I488" s="227"/>
      <c r="J488" s="227"/>
      <c r="K488" s="330"/>
      <c r="L488" s="227"/>
      <c r="M488" s="331"/>
      <c r="N488" s="327"/>
      <c r="O488" s="327"/>
      <c r="P488" s="327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5">
      <c r="A489" s="213"/>
      <c r="B489" s="227"/>
      <c r="C489" s="227"/>
      <c r="D489" s="227"/>
      <c r="E489" s="227"/>
      <c r="F489" s="227"/>
      <c r="G489" s="227"/>
      <c r="H489" s="227"/>
      <c r="I489" s="227"/>
      <c r="J489" s="227"/>
      <c r="K489" s="330"/>
      <c r="L489" s="227"/>
      <c r="M489" s="331"/>
      <c r="N489" s="327"/>
      <c r="O489" s="327"/>
      <c r="P489" s="327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x14ac:dyDescent="0.25">
      <c r="A490" s="213"/>
      <c r="B490" s="227"/>
      <c r="C490" s="227"/>
      <c r="D490" s="227"/>
      <c r="E490" s="227"/>
      <c r="F490" s="227"/>
      <c r="G490" s="227"/>
      <c r="H490" s="227"/>
      <c r="I490" s="227"/>
      <c r="J490" s="227"/>
      <c r="K490" s="330"/>
      <c r="L490" s="227"/>
      <c r="M490" s="331"/>
      <c r="N490" s="327"/>
      <c r="O490" s="327"/>
      <c r="P490" s="327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5">
      <c r="A491" s="213"/>
      <c r="B491" s="227"/>
      <c r="C491" s="227"/>
      <c r="D491" s="227"/>
      <c r="E491" s="227"/>
      <c r="F491" s="227"/>
      <c r="G491" s="227"/>
      <c r="H491" s="227"/>
      <c r="I491" s="227"/>
      <c r="J491" s="227"/>
      <c r="K491" s="330"/>
      <c r="L491" s="227"/>
      <c r="M491" s="331"/>
      <c r="N491" s="327"/>
      <c r="O491" s="327"/>
      <c r="P491" s="327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x14ac:dyDescent="0.25">
      <c r="A492" s="213"/>
      <c r="B492" s="227"/>
      <c r="C492" s="227"/>
      <c r="D492" s="227"/>
      <c r="E492" s="227"/>
      <c r="F492" s="227"/>
      <c r="G492" s="227"/>
      <c r="H492" s="227"/>
      <c r="I492" s="227"/>
      <c r="J492" s="227"/>
      <c r="K492" s="330"/>
      <c r="L492" s="227"/>
      <c r="M492" s="331"/>
      <c r="N492" s="327"/>
      <c r="O492" s="327"/>
      <c r="P492" s="327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5">
      <c r="A493" s="213"/>
      <c r="B493" s="227"/>
      <c r="C493" s="227"/>
      <c r="D493" s="227"/>
      <c r="E493" s="227"/>
      <c r="F493" s="227"/>
      <c r="G493" s="227"/>
      <c r="H493" s="227"/>
      <c r="I493" s="227"/>
      <c r="J493" s="227"/>
      <c r="K493" s="330"/>
      <c r="L493" s="227"/>
      <c r="M493" s="331"/>
      <c r="N493" s="327"/>
      <c r="O493" s="327"/>
      <c r="P493" s="327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5">
      <c r="A494" s="213"/>
      <c r="B494" s="227"/>
      <c r="C494" s="227"/>
      <c r="D494" s="227"/>
      <c r="E494" s="227"/>
      <c r="F494" s="227"/>
      <c r="G494" s="227"/>
      <c r="H494" s="227"/>
      <c r="I494" s="227"/>
      <c r="J494" s="227"/>
      <c r="K494" s="330"/>
      <c r="L494" s="227"/>
      <c r="M494" s="331"/>
      <c r="N494" s="327"/>
      <c r="O494" s="327"/>
      <c r="P494" s="327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5">
      <c r="A495" s="213"/>
      <c r="B495" s="227"/>
      <c r="C495" s="227"/>
      <c r="D495" s="227"/>
      <c r="E495" s="227"/>
      <c r="F495" s="227"/>
      <c r="G495" s="227"/>
      <c r="H495" s="227"/>
      <c r="I495" s="227"/>
      <c r="J495" s="227"/>
      <c r="K495" s="330"/>
      <c r="L495" s="227"/>
      <c r="M495" s="331"/>
      <c r="N495" s="327"/>
      <c r="O495" s="327"/>
      <c r="P495" s="327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5">
      <c r="A496" s="213"/>
      <c r="B496" s="227"/>
      <c r="C496" s="227"/>
      <c r="D496" s="227"/>
      <c r="E496" s="227"/>
      <c r="F496" s="227"/>
      <c r="G496" s="227"/>
      <c r="H496" s="227"/>
      <c r="I496" s="227"/>
      <c r="J496" s="227"/>
      <c r="K496" s="330"/>
      <c r="L496" s="227"/>
      <c r="M496" s="331"/>
      <c r="N496" s="327"/>
      <c r="O496" s="327"/>
      <c r="P496" s="327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5">
      <c r="A497" s="213"/>
      <c r="B497" s="227"/>
      <c r="C497" s="227"/>
      <c r="D497" s="227"/>
      <c r="E497" s="227"/>
      <c r="F497" s="227"/>
      <c r="G497" s="227"/>
      <c r="H497" s="227"/>
      <c r="I497" s="227"/>
      <c r="J497" s="227"/>
      <c r="K497" s="330"/>
      <c r="L497" s="227"/>
      <c r="M497" s="331"/>
      <c r="N497" s="327"/>
      <c r="O497" s="327"/>
      <c r="P497" s="327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5">
      <c r="A498" s="213"/>
      <c r="B498" s="227"/>
      <c r="C498" s="227"/>
      <c r="D498" s="227"/>
      <c r="E498" s="227"/>
      <c r="F498" s="227"/>
      <c r="G498" s="227"/>
      <c r="H498" s="227"/>
      <c r="I498" s="227"/>
      <c r="J498" s="227"/>
      <c r="K498" s="330"/>
      <c r="L498" s="227"/>
      <c r="M498" s="331"/>
      <c r="N498" s="327"/>
      <c r="O498" s="327"/>
      <c r="P498" s="327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x14ac:dyDescent="0.25">
      <c r="A499" s="213"/>
      <c r="B499" s="227"/>
      <c r="C499" s="227"/>
      <c r="D499" s="227"/>
      <c r="E499" s="227"/>
      <c r="F499" s="227"/>
      <c r="G499" s="227"/>
      <c r="H499" s="227"/>
      <c r="I499" s="227"/>
      <c r="J499" s="227"/>
      <c r="K499" s="330"/>
      <c r="L499" s="227"/>
      <c r="M499" s="331"/>
      <c r="N499" s="327"/>
      <c r="O499" s="327"/>
      <c r="P499" s="327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5">
      <c r="A500" s="213"/>
      <c r="B500" s="227"/>
      <c r="C500" s="227"/>
      <c r="D500" s="227"/>
      <c r="E500" s="227"/>
      <c r="F500" s="227"/>
      <c r="G500" s="227"/>
      <c r="H500" s="227"/>
      <c r="I500" s="227"/>
      <c r="J500" s="227"/>
      <c r="K500" s="330"/>
      <c r="L500" s="227"/>
      <c r="M500" s="331"/>
      <c r="N500" s="327"/>
      <c r="O500" s="327"/>
      <c r="P500" s="327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5">
      <c r="A501" s="213"/>
      <c r="B501" s="227"/>
      <c r="C501" s="227"/>
      <c r="D501" s="227"/>
      <c r="E501" s="227"/>
      <c r="F501" s="227"/>
      <c r="G501" s="227"/>
      <c r="H501" s="227"/>
      <c r="I501" s="227"/>
      <c r="J501" s="227"/>
      <c r="K501" s="330"/>
      <c r="L501" s="227"/>
      <c r="M501" s="331"/>
      <c r="N501" s="327"/>
      <c r="O501" s="327"/>
      <c r="P501" s="327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5">
      <c r="A502" s="213"/>
      <c r="B502" s="227"/>
      <c r="C502" s="227"/>
      <c r="D502" s="227"/>
      <c r="E502" s="227"/>
      <c r="F502" s="227"/>
      <c r="G502" s="227"/>
      <c r="H502" s="227"/>
      <c r="I502" s="227"/>
      <c r="J502" s="227"/>
      <c r="K502" s="330"/>
      <c r="L502" s="227"/>
      <c r="M502" s="331"/>
      <c r="N502" s="327"/>
      <c r="O502" s="327"/>
      <c r="P502" s="327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5">
      <c r="A503" s="213"/>
      <c r="B503" s="227"/>
      <c r="C503" s="227"/>
      <c r="D503" s="227"/>
      <c r="E503" s="227"/>
      <c r="F503" s="227"/>
      <c r="G503" s="227"/>
      <c r="H503" s="227"/>
      <c r="I503" s="227"/>
      <c r="J503" s="227"/>
      <c r="K503" s="330"/>
      <c r="L503" s="227"/>
      <c r="M503" s="331"/>
      <c r="N503" s="327"/>
      <c r="O503" s="327"/>
      <c r="P503" s="327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x14ac:dyDescent="0.25">
      <c r="A504" s="213"/>
      <c r="B504" s="227"/>
      <c r="C504" s="227"/>
      <c r="D504" s="227"/>
      <c r="E504" s="227"/>
      <c r="F504" s="227"/>
      <c r="G504" s="227"/>
      <c r="H504" s="227"/>
      <c r="I504" s="227"/>
      <c r="J504" s="227"/>
      <c r="K504" s="330"/>
      <c r="L504" s="227"/>
      <c r="M504" s="331"/>
      <c r="N504" s="327"/>
      <c r="O504" s="327"/>
      <c r="P504" s="327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x14ac:dyDescent="0.25">
      <c r="A505" s="213"/>
      <c r="B505" s="227"/>
      <c r="C505" s="227"/>
      <c r="D505" s="227"/>
      <c r="E505" s="227"/>
      <c r="F505" s="227"/>
      <c r="G505" s="227"/>
      <c r="H505" s="227"/>
      <c r="I505" s="227"/>
      <c r="J505" s="227"/>
      <c r="K505" s="330"/>
      <c r="L505" s="227"/>
      <c r="M505" s="331"/>
      <c r="N505" s="327"/>
      <c r="O505" s="327"/>
      <c r="P505" s="327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x14ac:dyDescent="0.25">
      <c r="A506" s="213"/>
      <c r="B506" s="227"/>
      <c r="C506" s="227"/>
      <c r="D506" s="227"/>
      <c r="E506" s="227"/>
      <c r="F506" s="227"/>
      <c r="G506" s="227"/>
      <c r="H506" s="227"/>
      <c r="I506" s="227"/>
      <c r="J506" s="227"/>
      <c r="K506" s="330"/>
      <c r="L506" s="227"/>
      <c r="M506" s="331"/>
      <c r="N506" s="327"/>
      <c r="O506" s="327"/>
      <c r="P506" s="327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5">
      <c r="A507" s="213"/>
      <c r="B507" s="227"/>
      <c r="C507" s="227"/>
      <c r="D507" s="227"/>
      <c r="E507" s="227"/>
      <c r="F507" s="227"/>
      <c r="G507" s="227"/>
      <c r="H507" s="227"/>
      <c r="I507" s="227"/>
      <c r="J507" s="227"/>
      <c r="K507" s="330"/>
      <c r="L507" s="227"/>
      <c r="M507" s="331"/>
      <c r="N507" s="327"/>
      <c r="O507" s="327"/>
      <c r="P507" s="327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x14ac:dyDescent="0.25">
      <c r="A508" s="213"/>
      <c r="B508" s="227"/>
      <c r="C508" s="227"/>
      <c r="D508" s="227"/>
      <c r="E508" s="227"/>
      <c r="F508" s="227"/>
      <c r="G508" s="227"/>
      <c r="H508" s="227"/>
      <c r="I508" s="227"/>
      <c r="J508" s="227"/>
      <c r="K508" s="330"/>
      <c r="L508" s="227"/>
      <c r="M508" s="331"/>
      <c r="N508" s="327"/>
      <c r="O508" s="327"/>
      <c r="P508" s="327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x14ac:dyDescent="0.25">
      <c r="A509" s="213"/>
      <c r="B509" s="227"/>
      <c r="C509" s="227"/>
      <c r="D509" s="227"/>
      <c r="E509" s="227"/>
      <c r="F509" s="227"/>
      <c r="G509" s="227"/>
      <c r="H509" s="227"/>
      <c r="I509" s="227"/>
      <c r="J509" s="227"/>
      <c r="K509" s="330"/>
      <c r="L509" s="227"/>
      <c r="M509" s="331"/>
      <c r="N509" s="327"/>
      <c r="O509" s="327"/>
      <c r="P509" s="327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x14ac:dyDescent="0.25">
      <c r="A510" s="213"/>
      <c r="B510" s="227"/>
      <c r="C510" s="227"/>
      <c r="D510" s="227"/>
      <c r="E510" s="227"/>
      <c r="F510" s="227"/>
      <c r="G510" s="227"/>
      <c r="H510" s="227"/>
      <c r="I510" s="227"/>
      <c r="J510" s="227"/>
      <c r="K510" s="330"/>
      <c r="L510" s="227"/>
      <c r="M510" s="331"/>
      <c r="N510" s="327"/>
      <c r="O510" s="327"/>
      <c r="P510" s="327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x14ac:dyDescent="0.25">
      <c r="A511" s="213"/>
      <c r="B511" s="227"/>
      <c r="C511" s="227"/>
      <c r="D511" s="227"/>
      <c r="E511" s="227"/>
      <c r="F511" s="227"/>
      <c r="G511" s="227"/>
      <c r="H511" s="227"/>
      <c r="I511" s="227"/>
      <c r="J511" s="227"/>
      <c r="K511" s="330"/>
      <c r="L511" s="227"/>
      <c r="M511" s="331"/>
      <c r="N511" s="327"/>
      <c r="O511" s="327"/>
      <c r="P511" s="327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x14ac:dyDescent="0.25">
      <c r="A512" s="213"/>
      <c r="B512" s="227"/>
      <c r="C512" s="227"/>
      <c r="D512" s="227"/>
      <c r="E512" s="227"/>
      <c r="F512" s="227"/>
      <c r="G512" s="227"/>
      <c r="H512" s="227"/>
      <c r="I512" s="227"/>
      <c r="J512" s="227"/>
      <c r="K512" s="330"/>
      <c r="L512" s="227"/>
      <c r="M512" s="331"/>
      <c r="N512" s="327"/>
      <c r="O512" s="327"/>
      <c r="P512" s="327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x14ac:dyDescent="0.25">
      <c r="A513" s="213"/>
      <c r="B513" s="227"/>
      <c r="C513" s="227"/>
      <c r="D513" s="227"/>
      <c r="E513" s="227"/>
      <c r="F513" s="227"/>
      <c r="G513" s="227"/>
      <c r="H513" s="227"/>
      <c r="I513" s="227"/>
      <c r="J513" s="227"/>
      <c r="K513" s="330"/>
      <c r="L513" s="227"/>
      <c r="M513" s="331"/>
      <c r="N513" s="327"/>
      <c r="O513" s="327"/>
      <c r="P513" s="327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x14ac:dyDescent="0.25">
      <c r="A514" s="213"/>
      <c r="B514" s="227"/>
      <c r="C514" s="227"/>
      <c r="D514" s="227"/>
      <c r="E514" s="227"/>
      <c r="F514" s="227"/>
      <c r="G514" s="227"/>
      <c r="H514" s="227"/>
      <c r="I514" s="227"/>
      <c r="J514" s="227"/>
      <c r="K514" s="330"/>
      <c r="L514" s="227"/>
      <c r="M514" s="331"/>
      <c r="N514" s="327"/>
      <c r="O514" s="327"/>
      <c r="P514" s="327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x14ac:dyDescent="0.25">
      <c r="A515" s="213"/>
      <c r="B515" s="227"/>
      <c r="C515" s="227"/>
      <c r="D515" s="227"/>
      <c r="E515" s="227"/>
      <c r="F515" s="227"/>
      <c r="G515" s="227"/>
      <c r="H515" s="227"/>
      <c r="I515" s="227"/>
      <c r="J515" s="227"/>
      <c r="K515" s="330"/>
      <c r="L515" s="227"/>
      <c r="M515" s="331"/>
      <c r="N515" s="327"/>
      <c r="O515" s="327"/>
      <c r="P515" s="327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x14ac:dyDescent="0.25">
      <c r="A516" s="213"/>
      <c r="B516" s="227"/>
      <c r="C516" s="227"/>
      <c r="D516" s="227"/>
      <c r="E516" s="227"/>
      <c r="F516" s="227"/>
      <c r="G516" s="227"/>
      <c r="H516" s="227"/>
      <c r="I516" s="227"/>
      <c r="J516" s="227"/>
      <c r="K516" s="330"/>
      <c r="L516" s="227"/>
      <c r="M516" s="331"/>
      <c r="N516" s="327"/>
      <c r="O516" s="327"/>
      <c r="P516" s="327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x14ac:dyDescent="0.25">
      <c r="A517" s="213"/>
      <c r="B517" s="227"/>
      <c r="C517" s="227"/>
      <c r="D517" s="227"/>
      <c r="E517" s="227"/>
      <c r="F517" s="227"/>
      <c r="G517" s="227"/>
      <c r="H517" s="227"/>
      <c r="I517" s="227"/>
      <c r="J517" s="227"/>
      <c r="K517" s="330"/>
      <c r="L517" s="227"/>
      <c r="M517" s="331"/>
      <c r="N517" s="327"/>
      <c r="O517" s="327"/>
      <c r="P517" s="327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x14ac:dyDescent="0.25">
      <c r="A518" s="213"/>
      <c r="B518" s="227"/>
      <c r="C518" s="227"/>
      <c r="D518" s="227"/>
      <c r="E518" s="227"/>
      <c r="F518" s="227"/>
      <c r="G518" s="227"/>
      <c r="H518" s="227"/>
      <c r="I518" s="227"/>
      <c r="J518" s="227"/>
      <c r="K518" s="330"/>
      <c r="L518" s="227"/>
      <c r="M518" s="331"/>
      <c r="N518" s="327"/>
      <c r="O518" s="327"/>
      <c r="P518" s="327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x14ac:dyDescent="0.25">
      <c r="A519" s="213"/>
      <c r="B519" s="227"/>
      <c r="C519" s="227"/>
      <c r="D519" s="227"/>
      <c r="E519" s="227"/>
      <c r="F519" s="227"/>
      <c r="G519" s="227"/>
      <c r="H519" s="227"/>
      <c r="I519" s="227"/>
      <c r="J519" s="227"/>
      <c r="K519" s="330"/>
      <c r="L519" s="227"/>
      <c r="M519" s="331"/>
      <c r="N519" s="327"/>
      <c r="O519" s="327"/>
      <c r="P519" s="327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x14ac:dyDescent="0.25">
      <c r="A520" s="213"/>
      <c r="B520" s="227"/>
      <c r="C520" s="227"/>
      <c r="D520" s="227"/>
      <c r="E520" s="227"/>
      <c r="F520" s="227"/>
      <c r="G520" s="227"/>
      <c r="H520" s="227"/>
      <c r="I520" s="227"/>
      <c r="J520" s="227"/>
      <c r="K520" s="330"/>
      <c r="L520" s="227"/>
      <c r="M520" s="331"/>
      <c r="N520" s="327"/>
      <c r="O520" s="327"/>
      <c r="P520" s="327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x14ac:dyDescent="0.25">
      <c r="A521" s="213"/>
      <c r="B521" s="227"/>
      <c r="C521" s="227"/>
      <c r="D521" s="227"/>
      <c r="E521" s="227"/>
      <c r="F521" s="227"/>
      <c r="G521" s="227"/>
      <c r="H521" s="227"/>
      <c r="I521" s="227"/>
      <c r="J521" s="227"/>
      <c r="K521" s="330"/>
      <c r="L521" s="227"/>
      <c r="M521" s="331"/>
      <c r="N521" s="327"/>
      <c r="O521" s="327"/>
      <c r="P521" s="327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x14ac:dyDescent="0.25">
      <c r="A522" s="213"/>
      <c r="B522" s="227"/>
      <c r="C522" s="227"/>
      <c r="D522" s="227"/>
      <c r="E522" s="227"/>
      <c r="F522" s="227"/>
      <c r="G522" s="227"/>
      <c r="H522" s="227"/>
      <c r="I522" s="227"/>
      <c r="J522" s="227"/>
      <c r="K522" s="330"/>
      <c r="L522" s="227"/>
      <c r="M522" s="331"/>
      <c r="N522" s="327"/>
      <c r="O522" s="327"/>
      <c r="P522" s="327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x14ac:dyDescent="0.25">
      <c r="A523" s="213"/>
      <c r="B523" s="227"/>
      <c r="C523" s="227"/>
      <c r="D523" s="227"/>
      <c r="E523" s="227"/>
      <c r="F523" s="227"/>
      <c r="G523" s="227"/>
      <c r="H523" s="227"/>
      <c r="I523" s="227"/>
      <c r="J523" s="227"/>
      <c r="K523" s="330"/>
      <c r="L523" s="227"/>
      <c r="M523" s="331"/>
      <c r="N523" s="327"/>
      <c r="O523" s="327"/>
      <c r="P523" s="327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x14ac:dyDescent="0.25">
      <c r="A524" s="213"/>
      <c r="B524" s="227"/>
      <c r="C524" s="227"/>
      <c r="D524" s="227"/>
      <c r="E524" s="227"/>
      <c r="F524" s="227"/>
      <c r="G524" s="227"/>
      <c r="H524" s="227"/>
      <c r="I524" s="227"/>
      <c r="J524" s="227"/>
      <c r="K524" s="330"/>
      <c r="L524" s="227"/>
      <c r="M524" s="331"/>
      <c r="N524" s="327"/>
      <c r="O524" s="327"/>
      <c r="P524" s="327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5">
      <c r="A525" s="213"/>
      <c r="B525" s="227"/>
      <c r="C525" s="227"/>
      <c r="D525" s="227"/>
      <c r="E525" s="227"/>
      <c r="F525" s="227"/>
      <c r="G525" s="227"/>
      <c r="H525" s="227"/>
      <c r="I525" s="227"/>
      <c r="J525" s="227"/>
      <c r="K525" s="330"/>
      <c r="L525" s="227"/>
      <c r="M525" s="331"/>
      <c r="N525" s="327"/>
      <c r="O525" s="327"/>
      <c r="P525" s="327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x14ac:dyDescent="0.25">
      <c r="A526" s="213"/>
      <c r="B526" s="227"/>
      <c r="C526" s="227"/>
      <c r="D526" s="227"/>
      <c r="E526" s="227"/>
      <c r="F526" s="227"/>
      <c r="G526" s="227"/>
      <c r="H526" s="227"/>
      <c r="I526" s="227"/>
      <c r="J526" s="227"/>
      <c r="K526" s="330"/>
      <c r="L526" s="227"/>
      <c r="M526" s="331"/>
      <c r="N526" s="327"/>
      <c r="O526" s="327"/>
      <c r="P526" s="327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x14ac:dyDescent="0.25">
      <c r="A527" s="213"/>
      <c r="B527" s="227"/>
      <c r="C527" s="227"/>
      <c r="D527" s="227"/>
      <c r="E527" s="227"/>
      <c r="F527" s="227"/>
      <c r="G527" s="227"/>
      <c r="H527" s="227"/>
      <c r="I527" s="227"/>
      <c r="J527" s="227"/>
      <c r="K527" s="330"/>
      <c r="L527" s="227"/>
      <c r="M527" s="331"/>
      <c r="N527" s="327"/>
      <c r="O527" s="327"/>
      <c r="P527" s="327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x14ac:dyDescent="0.25">
      <c r="A528" s="213"/>
      <c r="B528" s="227"/>
      <c r="C528" s="227"/>
      <c r="D528" s="227"/>
      <c r="E528" s="227"/>
      <c r="F528" s="227"/>
      <c r="G528" s="227"/>
      <c r="H528" s="227"/>
      <c r="I528" s="227"/>
      <c r="J528" s="227"/>
      <c r="K528" s="330"/>
      <c r="L528" s="227"/>
      <c r="M528" s="331"/>
      <c r="N528" s="327"/>
      <c r="O528" s="327"/>
      <c r="P528" s="327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x14ac:dyDescent="0.25">
      <c r="A529" s="213"/>
      <c r="B529" s="227"/>
      <c r="C529" s="227"/>
      <c r="D529" s="227"/>
      <c r="E529" s="227"/>
      <c r="F529" s="227"/>
      <c r="G529" s="227"/>
      <c r="H529" s="227"/>
      <c r="I529" s="227"/>
      <c r="J529" s="227"/>
      <c r="K529" s="330"/>
      <c r="L529" s="227"/>
      <c r="M529" s="331"/>
      <c r="N529" s="327"/>
      <c r="O529" s="327"/>
      <c r="P529" s="327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5">
      <c r="A530" s="213"/>
      <c r="B530" s="227"/>
      <c r="C530" s="227"/>
      <c r="D530" s="227"/>
      <c r="E530" s="227"/>
      <c r="F530" s="227"/>
      <c r="G530" s="227"/>
      <c r="H530" s="227"/>
      <c r="I530" s="227"/>
      <c r="J530" s="227"/>
      <c r="K530" s="330"/>
      <c r="L530" s="227"/>
      <c r="M530" s="331"/>
      <c r="N530" s="327"/>
      <c r="O530" s="327"/>
      <c r="P530" s="327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5">
      <c r="A531" s="213"/>
      <c r="B531" s="227"/>
      <c r="C531" s="227"/>
      <c r="D531" s="227"/>
      <c r="E531" s="227"/>
      <c r="F531" s="227"/>
      <c r="G531" s="227"/>
      <c r="H531" s="227"/>
      <c r="I531" s="227"/>
      <c r="J531" s="227"/>
      <c r="K531" s="330"/>
      <c r="L531" s="227"/>
      <c r="M531" s="331"/>
      <c r="N531" s="327"/>
      <c r="O531" s="327"/>
      <c r="P531" s="327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x14ac:dyDescent="0.25">
      <c r="A532" s="213"/>
      <c r="B532" s="227"/>
      <c r="C532" s="227"/>
      <c r="D532" s="227"/>
      <c r="E532" s="227"/>
      <c r="F532" s="227"/>
      <c r="G532" s="227"/>
      <c r="H532" s="227"/>
      <c r="I532" s="227"/>
      <c r="J532" s="227"/>
      <c r="K532" s="330"/>
      <c r="L532" s="227"/>
      <c r="M532" s="331"/>
      <c r="N532" s="327"/>
      <c r="O532" s="327"/>
      <c r="P532" s="327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x14ac:dyDescent="0.25">
      <c r="A533" s="213"/>
      <c r="B533" s="227"/>
      <c r="C533" s="227"/>
      <c r="D533" s="227"/>
      <c r="E533" s="227"/>
      <c r="F533" s="227"/>
      <c r="G533" s="227"/>
      <c r="H533" s="227"/>
      <c r="I533" s="227"/>
      <c r="J533" s="227"/>
      <c r="K533" s="330"/>
      <c r="L533" s="227"/>
      <c r="M533" s="331"/>
      <c r="N533" s="327"/>
      <c r="O533" s="327"/>
      <c r="P533" s="327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x14ac:dyDescent="0.25">
      <c r="A534" s="213"/>
      <c r="B534" s="227"/>
      <c r="C534" s="227"/>
      <c r="D534" s="227"/>
      <c r="E534" s="227"/>
      <c r="F534" s="227"/>
      <c r="G534" s="227"/>
      <c r="H534" s="227"/>
      <c r="I534" s="227"/>
      <c r="J534" s="227"/>
      <c r="K534" s="330"/>
      <c r="L534" s="227"/>
      <c r="M534" s="331"/>
      <c r="N534" s="327"/>
      <c r="O534" s="327"/>
      <c r="P534" s="327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x14ac:dyDescent="0.25">
      <c r="A535" s="213"/>
      <c r="B535" s="227"/>
      <c r="C535" s="227"/>
      <c r="D535" s="227"/>
      <c r="E535" s="227"/>
      <c r="F535" s="227"/>
      <c r="G535" s="227"/>
      <c r="H535" s="227"/>
      <c r="I535" s="227"/>
      <c r="J535" s="227"/>
      <c r="K535" s="330"/>
      <c r="L535" s="227"/>
      <c r="M535" s="331"/>
      <c r="N535" s="327"/>
      <c r="O535" s="327"/>
      <c r="P535" s="327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x14ac:dyDescent="0.25">
      <c r="A536" s="213"/>
      <c r="B536" s="227"/>
      <c r="C536" s="227"/>
      <c r="D536" s="227"/>
      <c r="E536" s="227"/>
      <c r="F536" s="227"/>
      <c r="G536" s="227"/>
      <c r="H536" s="227"/>
      <c r="I536" s="227"/>
      <c r="J536" s="227"/>
      <c r="K536" s="330"/>
      <c r="L536" s="227"/>
      <c r="M536" s="331"/>
      <c r="N536" s="327"/>
      <c r="O536" s="327"/>
      <c r="P536" s="327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5">
      <c r="A537" s="213"/>
      <c r="B537" s="227"/>
      <c r="C537" s="227"/>
      <c r="D537" s="227"/>
      <c r="E537" s="227"/>
      <c r="F537" s="227"/>
      <c r="G537" s="227"/>
      <c r="H537" s="227"/>
      <c r="I537" s="227"/>
      <c r="J537" s="227"/>
      <c r="K537" s="330"/>
      <c r="L537" s="227"/>
      <c r="M537" s="331"/>
      <c r="N537" s="327"/>
      <c r="O537" s="327"/>
      <c r="P537" s="327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x14ac:dyDescent="0.25">
      <c r="A538" s="213"/>
      <c r="B538" s="227"/>
      <c r="C538" s="227"/>
      <c r="D538" s="227"/>
      <c r="E538" s="227"/>
      <c r="F538" s="227"/>
      <c r="G538" s="227"/>
      <c r="H538" s="227"/>
      <c r="I538" s="227"/>
      <c r="J538" s="227"/>
      <c r="K538" s="330"/>
      <c r="L538" s="227"/>
      <c r="M538" s="331"/>
      <c r="N538" s="327"/>
      <c r="O538" s="327"/>
      <c r="P538" s="327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x14ac:dyDescent="0.25">
      <c r="A539" s="213"/>
      <c r="B539" s="227"/>
      <c r="C539" s="227"/>
      <c r="D539" s="227"/>
      <c r="E539" s="227"/>
      <c r="F539" s="227"/>
      <c r="G539" s="227"/>
      <c r="H539" s="227"/>
      <c r="I539" s="227"/>
      <c r="J539" s="227"/>
      <c r="K539" s="330"/>
      <c r="L539" s="227"/>
      <c r="M539" s="331"/>
      <c r="N539" s="327"/>
      <c r="O539" s="327"/>
      <c r="P539" s="327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x14ac:dyDescent="0.25">
      <c r="A540" s="213"/>
      <c r="B540" s="227"/>
      <c r="C540" s="227"/>
      <c r="D540" s="227"/>
      <c r="E540" s="227"/>
      <c r="F540" s="227"/>
      <c r="G540" s="227"/>
      <c r="H540" s="227"/>
      <c r="I540" s="227"/>
      <c r="J540" s="227"/>
      <c r="K540" s="330"/>
      <c r="L540" s="227"/>
      <c r="M540" s="331"/>
      <c r="N540" s="327"/>
      <c r="O540" s="327"/>
      <c r="P540" s="327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x14ac:dyDescent="0.25">
      <c r="A541" s="213"/>
      <c r="B541" s="227"/>
      <c r="C541" s="227"/>
      <c r="D541" s="227"/>
      <c r="E541" s="227"/>
      <c r="F541" s="227"/>
      <c r="G541" s="227"/>
      <c r="H541" s="227"/>
      <c r="I541" s="227"/>
      <c r="J541" s="227"/>
      <c r="K541" s="330"/>
      <c r="L541" s="227"/>
      <c r="M541" s="331"/>
      <c r="N541" s="327"/>
      <c r="O541" s="327"/>
      <c r="P541" s="327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5">
      <c r="A542" s="213"/>
      <c r="B542" s="227"/>
      <c r="C542" s="227"/>
      <c r="D542" s="227"/>
      <c r="E542" s="227"/>
      <c r="F542" s="227"/>
      <c r="G542" s="227"/>
      <c r="H542" s="227"/>
      <c r="I542" s="227"/>
      <c r="J542" s="227"/>
      <c r="K542" s="330"/>
      <c r="L542" s="227"/>
      <c r="M542" s="331"/>
      <c r="N542" s="327"/>
      <c r="O542" s="327"/>
      <c r="P542" s="327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x14ac:dyDescent="0.25">
      <c r="A543" s="213"/>
      <c r="B543" s="227"/>
      <c r="C543" s="227"/>
      <c r="D543" s="227"/>
      <c r="E543" s="227"/>
      <c r="F543" s="227"/>
      <c r="G543" s="227"/>
      <c r="H543" s="227"/>
      <c r="I543" s="227"/>
      <c r="J543" s="227"/>
      <c r="K543" s="330"/>
      <c r="L543" s="227"/>
      <c r="M543" s="331"/>
      <c r="N543" s="327"/>
      <c r="O543" s="327"/>
      <c r="P543" s="327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x14ac:dyDescent="0.25">
      <c r="A544" s="213"/>
      <c r="B544" s="227"/>
      <c r="C544" s="227"/>
      <c r="D544" s="227"/>
      <c r="E544" s="227"/>
      <c r="F544" s="227"/>
      <c r="G544" s="227"/>
      <c r="H544" s="227"/>
      <c r="I544" s="227"/>
      <c r="J544" s="227"/>
      <c r="K544" s="330"/>
      <c r="L544" s="227"/>
      <c r="M544" s="331"/>
      <c r="N544" s="327"/>
      <c r="O544" s="327"/>
      <c r="P544" s="327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x14ac:dyDescent="0.25">
      <c r="A545" s="213"/>
      <c r="B545" s="227"/>
      <c r="C545" s="227"/>
      <c r="D545" s="227"/>
      <c r="E545" s="227"/>
      <c r="F545" s="227"/>
      <c r="G545" s="227"/>
      <c r="H545" s="227"/>
      <c r="I545" s="227"/>
      <c r="J545" s="227"/>
      <c r="K545" s="330"/>
      <c r="L545" s="227"/>
      <c r="M545" s="331"/>
      <c r="N545" s="327"/>
      <c r="O545" s="327"/>
      <c r="P545" s="327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x14ac:dyDescent="0.25">
      <c r="A546" s="213"/>
      <c r="B546" s="227"/>
      <c r="C546" s="227"/>
      <c r="D546" s="227"/>
      <c r="E546" s="227"/>
      <c r="F546" s="227"/>
      <c r="G546" s="227"/>
      <c r="H546" s="227"/>
      <c r="I546" s="227"/>
      <c r="J546" s="227"/>
      <c r="K546" s="330"/>
      <c r="L546" s="227"/>
      <c r="M546" s="331"/>
      <c r="N546" s="327"/>
      <c r="O546" s="327"/>
      <c r="P546" s="327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x14ac:dyDescent="0.25">
      <c r="A547" s="213"/>
      <c r="B547" s="227"/>
      <c r="C547" s="227"/>
      <c r="D547" s="227"/>
      <c r="E547" s="227"/>
      <c r="F547" s="227"/>
      <c r="G547" s="227"/>
      <c r="H547" s="227"/>
      <c r="I547" s="227"/>
      <c r="J547" s="227"/>
      <c r="K547" s="330"/>
      <c r="L547" s="227"/>
      <c r="M547" s="331"/>
      <c r="N547" s="327"/>
      <c r="O547" s="327"/>
      <c r="P547" s="327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x14ac:dyDescent="0.25">
      <c r="A548" s="213"/>
      <c r="B548" s="227"/>
      <c r="C548" s="227"/>
      <c r="D548" s="227"/>
      <c r="E548" s="227"/>
      <c r="F548" s="227"/>
      <c r="G548" s="227"/>
      <c r="H548" s="227"/>
      <c r="I548" s="227"/>
      <c r="J548" s="227"/>
      <c r="K548" s="330"/>
      <c r="L548" s="227"/>
      <c r="M548" s="331"/>
      <c r="N548" s="327"/>
      <c r="O548" s="327"/>
      <c r="P548" s="327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x14ac:dyDescent="0.25">
      <c r="A549" s="213"/>
      <c r="B549" s="227"/>
      <c r="C549" s="227"/>
      <c r="D549" s="227"/>
      <c r="E549" s="227"/>
      <c r="F549" s="227"/>
      <c r="G549" s="227"/>
      <c r="H549" s="227"/>
      <c r="I549" s="227"/>
      <c r="J549" s="227"/>
      <c r="K549" s="330"/>
      <c r="L549" s="227"/>
      <c r="M549" s="331"/>
      <c r="N549" s="327"/>
      <c r="O549" s="327"/>
      <c r="P549" s="327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x14ac:dyDescent="0.25">
      <c r="A550" s="213"/>
      <c r="B550" s="227"/>
      <c r="C550" s="227"/>
      <c r="D550" s="227"/>
      <c r="E550" s="227"/>
      <c r="F550" s="227"/>
      <c r="G550" s="227"/>
      <c r="H550" s="227"/>
      <c r="I550" s="227"/>
      <c r="J550" s="227"/>
      <c r="K550" s="330"/>
      <c r="L550" s="227"/>
      <c r="M550" s="331"/>
      <c r="N550" s="327"/>
      <c r="O550" s="327"/>
      <c r="P550" s="327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x14ac:dyDescent="0.25">
      <c r="A551" s="213"/>
      <c r="B551" s="227"/>
      <c r="C551" s="227"/>
      <c r="D551" s="227"/>
      <c r="E551" s="227"/>
      <c r="F551" s="227"/>
      <c r="G551" s="227"/>
      <c r="H551" s="227"/>
      <c r="I551" s="227"/>
      <c r="J551" s="227"/>
      <c r="K551" s="330"/>
      <c r="L551" s="227"/>
      <c r="M551" s="331"/>
      <c r="N551" s="327"/>
      <c r="O551" s="327"/>
      <c r="P551" s="327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5">
      <c r="A552" s="213"/>
      <c r="B552" s="227"/>
      <c r="C552" s="227"/>
      <c r="D552" s="227"/>
      <c r="E552" s="227"/>
      <c r="F552" s="227"/>
      <c r="G552" s="227"/>
      <c r="H552" s="227"/>
      <c r="I552" s="227"/>
      <c r="J552" s="227"/>
      <c r="K552" s="330"/>
      <c r="L552" s="227"/>
      <c r="M552" s="331"/>
      <c r="N552" s="327"/>
      <c r="O552" s="327"/>
      <c r="P552" s="327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x14ac:dyDescent="0.25">
      <c r="A553" s="213"/>
      <c r="B553" s="227"/>
      <c r="C553" s="227"/>
      <c r="D553" s="227"/>
      <c r="E553" s="227"/>
      <c r="F553" s="227"/>
      <c r="G553" s="227"/>
      <c r="H553" s="227"/>
      <c r="I553" s="227"/>
      <c r="J553" s="227"/>
      <c r="K553" s="330"/>
      <c r="L553" s="227"/>
      <c r="M553" s="331"/>
      <c r="N553" s="327"/>
      <c r="O553" s="327"/>
      <c r="P553" s="327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x14ac:dyDescent="0.25">
      <c r="A554" s="213"/>
      <c r="B554" s="227"/>
      <c r="C554" s="227"/>
      <c r="D554" s="227"/>
      <c r="E554" s="227"/>
      <c r="F554" s="227"/>
      <c r="G554" s="227"/>
      <c r="H554" s="227"/>
      <c r="I554" s="227"/>
      <c r="J554" s="227"/>
      <c r="K554" s="330"/>
      <c r="L554" s="227"/>
      <c r="M554" s="331"/>
      <c r="N554" s="327"/>
      <c r="O554" s="327"/>
      <c r="P554" s="327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x14ac:dyDescent="0.25">
      <c r="A555" s="213"/>
      <c r="B555" s="227"/>
      <c r="C555" s="227"/>
      <c r="D555" s="227"/>
      <c r="E555" s="227"/>
      <c r="F555" s="227"/>
      <c r="G555" s="227"/>
      <c r="H555" s="227"/>
      <c r="I555" s="227"/>
      <c r="J555" s="227"/>
      <c r="K555" s="330"/>
      <c r="L555" s="227"/>
      <c r="M555" s="331"/>
      <c r="N555" s="327"/>
      <c r="O555" s="327"/>
      <c r="P555" s="327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x14ac:dyDescent="0.25">
      <c r="A556" s="213"/>
      <c r="B556" s="227"/>
      <c r="C556" s="227"/>
      <c r="D556" s="227"/>
      <c r="E556" s="227"/>
      <c r="F556" s="227"/>
      <c r="G556" s="227"/>
      <c r="H556" s="227"/>
      <c r="I556" s="227"/>
      <c r="J556" s="227"/>
      <c r="K556" s="330"/>
      <c r="L556" s="227"/>
      <c r="M556" s="331"/>
      <c r="N556" s="327"/>
      <c r="O556" s="327"/>
      <c r="P556" s="327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x14ac:dyDescent="0.25">
      <c r="A557" s="213"/>
      <c r="B557" s="227"/>
      <c r="C557" s="227"/>
      <c r="D557" s="227"/>
      <c r="E557" s="227"/>
      <c r="F557" s="227"/>
      <c r="G557" s="227"/>
      <c r="H557" s="227"/>
      <c r="I557" s="227"/>
      <c r="J557" s="227"/>
      <c r="K557" s="330"/>
      <c r="L557" s="227"/>
      <c r="M557" s="331"/>
      <c r="N557" s="327"/>
      <c r="O557" s="327"/>
      <c r="P557" s="327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x14ac:dyDescent="0.25">
      <c r="A558" s="213"/>
      <c r="B558" s="227"/>
      <c r="C558" s="227"/>
      <c r="D558" s="227"/>
      <c r="E558" s="227"/>
      <c r="F558" s="227"/>
      <c r="G558" s="227"/>
      <c r="H558" s="227"/>
      <c r="I558" s="227"/>
      <c r="J558" s="227"/>
      <c r="K558" s="330"/>
      <c r="L558" s="227"/>
      <c r="M558" s="331"/>
      <c r="N558" s="327"/>
      <c r="O558" s="327"/>
      <c r="P558" s="327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x14ac:dyDescent="0.25">
      <c r="A559" s="213"/>
      <c r="B559" s="227"/>
      <c r="C559" s="227"/>
      <c r="D559" s="227"/>
      <c r="E559" s="227"/>
      <c r="F559" s="227"/>
      <c r="G559" s="227"/>
      <c r="H559" s="227"/>
      <c r="I559" s="227"/>
      <c r="J559" s="227"/>
      <c r="K559" s="330"/>
      <c r="L559" s="227"/>
      <c r="M559" s="331"/>
      <c r="N559" s="327"/>
      <c r="O559" s="327"/>
      <c r="P559" s="327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5">
      <c r="A560" s="213"/>
      <c r="B560" s="227"/>
      <c r="C560" s="227"/>
      <c r="D560" s="227"/>
      <c r="E560" s="227"/>
      <c r="F560" s="227"/>
      <c r="G560" s="227"/>
      <c r="H560" s="227"/>
      <c r="I560" s="227"/>
      <c r="J560" s="227"/>
      <c r="K560" s="330"/>
      <c r="L560" s="227"/>
      <c r="M560" s="331"/>
      <c r="N560" s="327"/>
      <c r="O560" s="327"/>
      <c r="P560" s="327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x14ac:dyDescent="0.25">
      <c r="A561" s="213"/>
      <c r="B561" s="227"/>
      <c r="C561" s="227"/>
      <c r="D561" s="227"/>
      <c r="E561" s="227"/>
      <c r="F561" s="227"/>
      <c r="G561" s="227"/>
      <c r="H561" s="227"/>
      <c r="I561" s="227"/>
      <c r="J561" s="227"/>
      <c r="K561" s="330"/>
      <c r="L561" s="227"/>
      <c r="M561" s="331"/>
      <c r="N561" s="327"/>
      <c r="O561" s="327"/>
      <c r="P561" s="327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x14ac:dyDescent="0.25">
      <c r="A562" s="213"/>
      <c r="B562" s="227"/>
      <c r="C562" s="227"/>
      <c r="D562" s="227"/>
      <c r="E562" s="227"/>
      <c r="F562" s="227"/>
      <c r="G562" s="227"/>
      <c r="H562" s="227"/>
      <c r="I562" s="227"/>
      <c r="J562" s="227"/>
      <c r="K562" s="330"/>
      <c r="L562" s="227"/>
      <c r="M562" s="331"/>
      <c r="N562" s="327"/>
      <c r="O562" s="327"/>
      <c r="P562" s="327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x14ac:dyDescent="0.25">
      <c r="A563" s="213"/>
      <c r="B563" s="227"/>
      <c r="C563" s="227"/>
      <c r="D563" s="227"/>
      <c r="E563" s="227"/>
      <c r="F563" s="227"/>
      <c r="G563" s="227"/>
      <c r="H563" s="227"/>
      <c r="I563" s="227"/>
      <c r="J563" s="227"/>
      <c r="K563" s="330"/>
      <c r="L563" s="227"/>
      <c r="M563" s="331"/>
      <c r="N563" s="327"/>
      <c r="O563" s="327"/>
      <c r="P563" s="327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5">
      <c r="A564" s="213"/>
      <c r="B564" s="227"/>
      <c r="C564" s="227"/>
      <c r="D564" s="227"/>
      <c r="E564" s="227"/>
      <c r="F564" s="227"/>
      <c r="G564" s="227"/>
      <c r="H564" s="227"/>
      <c r="I564" s="227"/>
      <c r="J564" s="227"/>
      <c r="K564" s="330"/>
      <c r="L564" s="227"/>
      <c r="M564" s="331"/>
      <c r="N564" s="327"/>
      <c r="O564" s="327"/>
      <c r="P564" s="327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5">
      <c r="A565" s="213"/>
      <c r="B565" s="227"/>
      <c r="C565" s="227"/>
      <c r="D565" s="227"/>
      <c r="E565" s="227"/>
      <c r="F565" s="227"/>
      <c r="G565" s="227"/>
      <c r="H565" s="227"/>
      <c r="I565" s="227"/>
      <c r="J565" s="227"/>
      <c r="K565" s="330"/>
      <c r="L565" s="227"/>
      <c r="M565" s="331"/>
      <c r="N565" s="327"/>
      <c r="O565" s="327"/>
      <c r="P565" s="327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x14ac:dyDescent="0.25">
      <c r="A566" s="213"/>
      <c r="B566" s="227"/>
      <c r="C566" s="227"/>
      <c r="D566" s="227"/>
      <c r="E566" s="227"/>
      <c r="F566" s="227"/>
      <c r="G566" s="227"/>
      <c r="H566" s="227"/>
      <c r="I566" s="227"/>
      <c r="J566" s="227"/>
      <c r="K566" s="330"/>
      <c r="L566" s="227"/>
      <c r="M566" s="331"/>
      <c r="N566" s="327"/>
      <c r="O566" s="327"/>
      <c r="P566" s="327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x14ac:dyDescent="0.25">
      <c r="A567" s="213"/>
      <c r="B567" s="227"/>
      <c r="C567" s="227"/>
      <c r="D567" s="227"/>
      <c r="E567" s="227"/>
      <c r="F567" s="227"/>
      <c r="G567" s="227"/>
      <c r="H567" s="227"/>
      <c r="I567" s="227"/>
      <c r="J567" s="227"/>
      <c r="K567" s="330"/>
      <c r="L567" s="227"/>
      <c r="M567" s="331"/>
      <c r="N567" s="327"/>
      <c r="O567" s="327"/>
      <c r="P567" s="327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x14ac:dyDescent="0.25">
      <c r="A568" s="213"/>
      <c r="B568" s="227"/>
      <c r="C568" s="227"/>
      <c r="D568" s="227"/>
      <c r="E568" s="227"/>
      <c r="F568" s="227"/>
      <c r="G568" s="227"/>
      <c r="H568" s="227"/>
      <c r="I568" s="227"/>
      <c r="J568" s="227"/>
      <c r="K568" s="330"/>
      <c r="L568" s="227"/>
      <c r="M568" s="331"/>
      <c r="N568" s="327"/>
      <c r="O568" s="327"/>
      <c r="P568" s="327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x14ac:dyDescent="0.25">
      <c r="A569" s="213"/>
      <c r="B569" s="227"/>
      <c r="C569" s="227"/>
      <c r="D569" s="227"/>
      <c r="E569" s="227"/>
      <c r="F569" s="227"/>
      <c r="G569" s="227"/>
      <c r="H569" s="227"/>
      <c r="I569" s="227"/>
      <c r="J569" s="227"/>
      <c r="K569" s="330"/>
      <c r="L569" s="227"/>
      <c r="M569" s="331"/>
      <c r="N569" s="327"/>
      <c r="O569" s="327"/>
      <c r="P569" s="327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x14ac:dyDescent="0.25">
      <c r="A570" s="213"/>
      <c r="B570" s="227"/>
      <c r="C570" s="227"/>
      <c r="D570" s="227"/>
      <c r="E570" s="227"/>
      <c r="F570" s="227"/>
      <c r="G570" s="227"/>
      <c r="H570" s="227"/>
      <c r="I570" s="227"/>
      <c r="J570" s="227"/>
      <c r="K570" s="330"/>
      <c r="L570" s="227"/>
      <c r="M570" s="331"/>
      <c r="N570" s="327"/>
      <c r="O570" s="327"/>
      <c r="P570" s="327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x14ac:dyDescent="0.25">
      <c r="A571" s="213"/>
      <c r="B571" s="227"/>
      <c r="C571" s="227"/>
      <c r="D571" s="227"/>
      <c r="E571" s="227"/>
      <c r="F571" s="227"/>
      <c r="G571" s="227"/>
      <c r="H571" s="227"/>
      <c r="I571" s="227"/>
      <c r="J571" s="227"/>
      <c r="K571" s="330"/>
      <c r="L571" s="227"/>
      <c r="M571" s="331"/>
      <c r="N571" s="327"/>
      <c r="O571" s="327"/>
      <c r="P571" s="327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x14ac:dyDescent="0.25">
      <c r="A572" s="213"/>
      <c r="B572" s="227"/>
      <c r="C572" s="227"/>
      <c r="D572" s="227"/>
      <c r="E572" s="227"/>
      <c r="F572" s="227"/>
      <c r="G572" s="227"/>
      <c r="H572" s="227"/>
      <c r="I572" s="227"/>
      <c r="J572" s="227"/>
      <c r="K572" s="330"/>
      <c r="L572" s="227"/>
      <c r="M572" s="331"/>
      <c r="N572" s="327"/>
      <c r="O572" s="327"/>
      <c r="P572" s="327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x14ac:dyDescent="0.25">
      <c r="A573" s="213"/>
      <c r="B573" s="227"/>
      <c r="C573" s="227"/>
      <c r="D573" s="227"/>
      <c r="E573" s="227"/>
      <c r="F573" s="227"/>
      <c r="G573" s="227"/>
      <c r="H573" s="227"/>
      <c r="I573" s="227"/>
      <c r="J573" s="227"/>
      <c r="K573" s="330"/>
      <c r="L573" s="227"/>
      <c r="M573" s="331"/>
      <c r="N573" s="327"/>
      <c r="O573" s="327"/>
      <c r="P573" s="327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5">
      <c r="A574" s="213"/>
      <c r="B574" s="227"/>
      <c r="C574" s="227"/>
      <c r="D574" s="227"/>
      <c r="E574" s="227"/>
      <c r="F574" s="227"/>
      <c r="G574" s="227"/>
      <c r="H574" s="227"/>
      <c r="I574" s="227"/>
      <c r="J574" s="227"/>
      <c r="K574" s="330"/>
      <c r="L574" s="227"/>
      <c r="M574" s="331"/>
      <c r="N574" s="327"/>
      <c r="O574" s="327"/>
      <c r="P574" s="327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x14ac:dyDescent="0.25">
      <c r="A575" s="213"/>
      <c r="B575" s="227"/>
      <c r="C575" s="227"/>
      <c r="D575" s="227"/>
      <c r="E575" s="227"/>
      <c r="F575" s="227"/>
      <c r="G575" s="227"/>
      <c r="H575" s="227"/>
      <c r="I575" s="227"/>
      <c r="J575" s="227"/>
      <c r="K575" s="330"/>
      <c r="L575" s="227"/>
      <c r="M575" s="331"/>
      <c r="N575" s="327"/>
      <c r="O575" s="327"/>
      <c r="P575" s="327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x14ac:dyDescent="0.25">
      <c r="A576" s="213"/>
      <c r="B576" s="227"/>
      <c r="C576" s="227"/>
      <c r="D576" s="227"/>
      <c r="E576" s="227"/>
      <c r="F576" s="227"/>
      <c r="G576" s="227"/>
      <c r="H576" s="227"/>
      <c r="I576" s="227"/>
      <c r="J576" s="227"/>
      <c r="K576" s="330"/>
      <c r="L576" s="227"/>
      <c r="M576" s="331"/>
      <c r="N576" s="327"/>
      <c r="O576" s="327"/>
      <c r="P576" s="327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x14ac:dyDescent="0.25">
      <c r="A577" s="213"/>
      <c r="B577" s="227"/>
      <c r="C577" s="227"/>
      <c r="D577" s="227"/>
      <c r="E577" s="227"/>
      <c r="F577" s="227"/>
      <c r="G577" s="227"/>
      <c r="H577" s="227"/>
      <c r="I577" s="227"/>
      <c r="J577" s="227"/>
      <c r="K577" s="330"/>
      <c r="L577" s="227"/>
      <c r="M577" s="331"/>
      <c r="N577" s="327"/>
      <c r="O577" s="327"/>
      <c r="P577" s="327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x14ac:dyDescent="0.25">
      <c r="A578" s="213"/>
      <c r="B578" s="227"/>
      <c r="C578" s="227"/>
      <c r="D578" s="227"/>
      <c r="E578" s="227"/>
      <c r="F578" s="227"/>
      <c r="G578" s="227"/>
      <c r="H578" s="227"/>
      <c r="I578" s="227"/>
      <c r="J578" s="227"/>
      <c r="K578" s="330"/>
      <c r="L578" s="227"/>
      <c r="M578" s="331"/>
      <c r="N578" s="327"/>
      <c r="O578" s="327"/>
      <c r="P578" s="327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x14ac:dyDescent="0.25">
      <c r="A579" s="213"/>
      <c r="B579" s="227"/>
      <c r="C579" s="227"/>
      <c r="D579" s="227"/>
      <c r="E579" s="227"/>
      <c r="F579" s="227"/>
      <c r="G579" s="227"/>
      <c r="H579" s="227"/>
      <c r="I579" s="227"/>
      <c r="J579" s="227"/>
      <c r="K579" s="330"/>
      <c r="L579" s="227"/>
      <c r="M579" s="331"/>
      <c r="N579" s="327"/>
      <c r="O579" s="327"/>
      <c r="P579" s="327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x14ac:dyDescent="0.25">
      <c r="A580" s="213"/>
      <c r="B580" s="227"/>
      <c r="C580" s="227"/>
      <c r="D580" s="227"/>
      <c r="E580" s="227"/>
      <c r="F580" s="227"/>
      <c r="G580" s="227"/>
      <c r="H580" s="227"/>
      <c r="I580" s="227"/>
      <c r="J580" s="227"/>
      <c r="K580" s="330"/>
      <c r="L580" s="227"/>
      <c r="M580" s="331"/>
      <c r="N580" s="327"/>
      <c r="O580" s="327"/>
      <c r="P580" s="327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x14ac:dyDescent="0.25">
      <c r="A581" s="213"/>
      <c r="B581" s="227"/>
      <c r="C581" s="227"/>
      <c r="D581" s="227"/>
      <c r="E581" s="227"/>
      <c r="F581" s="227"/>
      <c r="G581" s="227"/>
      <c r="H581" s="227"/>
      <c r="I581" s="227"/>
      <c r="J581" s="227"/>
      <c r="K581" s="330"/>
      <c r="L581" s="227"/>
      <c r="M581" s="331"/>
      <c r="N581" s="327"/>
      <c r="O581" s="327"/>
      <c r="P581" s="327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x14ac:dyDescent="0.25">
      <c r="A582" s="213"/>
      <c r="B582" s="227"/>
      <c r="C582" s="227"/>
      <c r="D582" s="227"/>
      <c r="E582" s="227"/>
      <c r="F582" s="227"/>
      <c r="G582" s="227"/>
      <c r="H582" s="227"/>
      <c r="I582" s="227"/>
      <c r="J582" s="227"/>
      <c r="K582" s="330"/>
      <c r="L582" s="227"/>
      <c r="M582" s="331"/>
      <c r="N582" s="327"/>
      <c r="O582" s="327"/>
      <c r="P582" s="327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x14ac:dyDescent="0.25">
      <c r="A583" s="213"/>
      <c r="B583" s="227"/>
      <c r="C583" s="227"/>
      <c r="D583" s="227"/>
      <c r="E583" s="227"/>
      <c r="F583" s="227"/>
      <c r="G583" s="227"/>
      <c r="H583" s="227"/>
      <c r="I583" s="227"/>
      <c r="J583" s="227"/>
      <c r="K583" s="330"/>
      <c r="L583" s="227"/>
      <c r="M583" s="331"/>
      <c r="N583" s="327"/>
      <c r="O583" s="327"/>
      <c r="P583" s="327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x14ac:dyDescent="0.25">
      <c r="A584" s="213"/>
      <c r="B584" s="227"/>
      <c r="C584" s="227"/>
      <c r="D584" s="227"/>
      <c r="E584" s="227"/>
      <c r="F584" s="227"/>
      <c r="G584" s="227"/>
      <c r="H584" s="227"/>
      <c r="I584" s="227"/>
      <c r="J584" s="227"/>
      <c r="K584" s="330"/>
      <c r="L584" s="227"/>
      <c r="M584" s="331"/>
      <c r="N584" s="327"/>
      <c r="O584" s="327"/>
      <c r="P584" s="327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x14ac:dyDescent="0.25">
      <c r="A585" s="213"/>
      <c r="B585" s="227"/>
      <c r="C585" s="227"/>
      <c r="D585" s="227"/>
      <c r="E585" s="227"/>
      <c r="F585" s="227"/>
      <c r="G585" s="227"/>
      <c r="H585" s="227"/>
      <c r="I585" s="227"/>
      <c r="J585" s="227"/>
      <c r="K585" s="330"/>
      <c r="L585" s="227"/>
      <c r="M585" s="331"/>
      <c r="N585" s="327"/>
      <c r="O585" s="327"/>
      <c r="P585" s="327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x14ac:dyDescent="0.25">
      <c r="A586" s="213"/>
      <c r="B586" s="227"/>
      <c r="C586" s="227"/>
      <c r="D586" s="227"/>
      <c r="E586" s="227"/>
      <c r="F586" s="227"/>
      <c r="G586" s="227"/>
      <c r="H586" s="227"/>
      <c r="I586" s="227"/>
      <c r="J586" s="227"/>
      <c r="K586" s="330"/>
      <c r="L586" s="227"/>
      <c r="M586" s="331"/>
      <c r="N586" s="327"/>
      <c r="O586" s="327"/>
      <c r="P586" s="327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x14ac:dyDescent="0.25">
      <c r="A587" s="213"/>
      <c r="B587" s="227"/>
      <c r="C587" s="227"/>
      <c r="D587" s="227"/>
      <c r="E587" s="227"/>
      <c r="F587" s="227"/>
      <c r="G587" s="227"/>
      <c r="H587" s="227"/>
      <c r="I587" s="227"/>
      <c r="J587" s="227"/>
      <c r="K587" s="330"/>
      <c r="L587" s="227"/>
      <c r="M587" s="331"/>
      <c r="N587" s="327"/>
      <c r="O587" s="327"/>
      <c r="P587" s="327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x14ac:dyDescent="0.25">
      <c r="A588" s="213"/>
      <c r="B588" s="227"/>
      <c r="C588" s="227"/>
      <c r="D588" s="227"/>
      <c r="E588" s="227"/>
      <c r="F588" s="227"/>
      <c r="G588" s="227"/>
      <c r="H588" s="227"/>
      <c r="I588" s="227"/>
      <c r="J588" s="227"/>
      <c r="K588" s="330"/>
      <c r="L588" s="227"/>
      <c r="M588" s="331"/>
      <c r="N588" s="327"/>
      <c r="O588" s="327"/>
      <c r="P588" s="327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x14ac:dyDescent="0.25">
      <c r="A589" s="213"/>
      <c r="B589" s="227"/>
      <c r="C589" s="227"/>
      <c r="D589" s="227"/>
      <c r="E589" s="227"/>
      <c r="F589" s="227"/>
      <c r="G589" s="227"/>
      <c r="H589" s="227"/>
      <c r="I589" s="227"/>
      <c r="J589" s="227"/>
      <c r="K589" s="330"/>
      <c r="L589" s="227"/>
      <c r="M589" s="331"/>
      <c r="N589" s="327"/>
      <c r="O589" s="327"/>
      <c r="P589" s="327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x14ac:dyDescent="0.25">
      <c r="A590" s="213"/>
      <c r="B590" s="227"/>
      <c r="C590" s="227"/>
      <c r="D590" s="227"/>
      <c r="E590" s="227"/>
      <c r="F590" s="227"/>
      <c r="G590" s="227"/>
      <c r="H590" s="227"/>
      <c r="I590" s="227"/>
      <c r="J590" s="227"/>
      <c r="K590" s="330"/>
      <c r="L590" s="227"/>
      <c r="M590" s="331"/>
      <c r="N590" s="327"/>
      <c r="O590" s="327"/>
      <c r="P590" s="327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x14ac:dyDescent="0.25">
      <c r="A591" s="213"/>
      <c r="B591" s="227"/>
      <c r="C591" s="227"/>
      <c r="D591" s="227"/>
      <c r="E591" s="227"/>
      <c r="F591" s="227"/>
      <c r="G591" s="227"/>
      <c r="H591" s="227"/>
      <c r="I591" s="227"/>
      <c r="J591" s="227"/>
      <c r="K591" s="330"/>
      <c r="L591" s="227"/>
      <c r="M591" s="331"/>
      <c r="N591" s="327"/>
      <c r="O591" s="327"/>
      <c r="P591" s="327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x14ac:dyDescent="0.25">
      <c r="A592" s="213"/>
      <c r="B592" s="227"/>
      <c r="C592" s="227"/>
      <c r="D592" s="227"/>
      <c r="E592" s="227"/>
      <c r="F592" s="227"/>
      <c r="G592" s="227"/>
      <c r="H592" s="227"/>
      <c r="I592" s="227"/>
      <c r="J592" s="227"/>
      <c r="K592" s="330"/>
      <c r="L592" s="227"/>
      <c r="M592" s="331"/>
      <c r="N592" s="327"/>
      <c r="O592" s="327"/>
      <c r="P592" s="327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x14ac:dyDescent="0.25">
      <c r="A593" s="213"/>
      <c r="B593" s="227"/>
      <c r="C593" s="227"/>
      <c r="D593" s="227"/>
      <c r="E593" s="227"/>
      <c r="F593" s="227"/>
      <c r="G593" s="227"/>
      <c r="H593" s="227"/>
      <c r="I593" s="227"/>
      <c r="J593" s="227"/>
      <c r="K593" s="330"/>
      <c r="L593" s="227"/>
      <c r="M593" s="331"/>
      <c r="N593" s="327"/>
      <c r="O593" s="327"/>
      <c r="P593" s="327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x14ac:dyDescent="0.25">
      <c r="A594" s="213"/>
      <c r="B594" s="227"/>
      <c r="C594" s="227"/>
      <c r="D594" s="227"/>
      <c r="E594" s="227"/>
      <c r="F594" s="227"/>
      <c r="G594" s="227"/>
      <c r="H594" s="227"/>
      <c r="I594" s="227"/>
      <c r="J594" s="227"/>
      <c r="K594" s="330"/>
      <c r="L594" s="227"/>
      <c r="M594" s="331"/>
      <c r="N594" s="327"/>
      <c r="O594" s="327"/>
      <c r="P594" s="327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x14ac:dyDescent="0.25">
      <c r="A595" s="213"/>
      <c r="B595" s="227"/>
      <c r="C595" s="227"/>
      <c r="D595" s="227"/>
      <c r="E595" s="227"/>
      <c r="F595" s="227"/>
      <c r="G595" s="227"/>
      <c r="H595" s="227"/>
      <c r="I595" s="227"/>
      <c r="J595" s="227"/>
      <c r="K595" s="330"/>
      <c r="L595" s="227"/>
      <c r="M595" s="331"/>
      <c r="N595" s="327"/>
      <c r="O595" s="327"/>
      <c r="P595" s="327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x14ac:dyDescent="0.25">
      <c r="A596" s="213"/>
      <c r="B596" s="227"/>
      <c r="C596" s="227"/>
      <c r="D596" s="227"/>
      <c r="E596" s="227"/>
      <c r="F596" s="227"/>
      <c r="G596" s="227"/>
      <c r="H596" s="227"/>
      <c r="I596" s="227"/>
      <c r="J596" s="227"/>
      <c r="K596" s="330"/>
      <c r="L596" s="227"/>
      <c r="M596" s="331"/>
      <c r="N596" s="327"/>
      <c r="O596" s="327"/>
      <c r="P596" s="327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x14ac:dyDescent="0.25">
      <c r="A597" s="213"/>
      <c r="B597" s="227"/>
      <c r="C597" s="227"/>
      <c r="D597" s="227"/>
      <c r="E597" s="227"/>
      <c r="F597" s="227"/>
      <c r="G597" s="227"/>
      <c r="H597" s="227"/>
      <c r="I597" s="227"/>
      <c r="J597" s="227"/>
      <c r="K597" s="330"/>
      <c r="L597" s="227"/>
      <c r="M597" s="331"/>
      <c r="N597" s="327"/>
      <c r="O597" s="327"/>
      <c r="P597" s="327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x14ac:dyDescent="0.25">
      <c r="A598" s="213"/>
      <c r="B598" s="227"/>
      <c r="C598" s="227"/>
      <c r="D598" s="227"/>
      <c r="E598" s="227"/>
      <c r="F598" s="227"/>
      <c r="G598" s="227"/>
      <c r="H598" s="227"/>
      <c r="I598" s="227"/>
      <c r="J598" s="227"/>
      <c r="K598" s="330"/>
      <c r="L598" s="227"/>
      <c r="M598" s="331"/>
      <c r="N598" s="327"/>
      <c r="O598" s="327"/>
      <c r="P598" s="327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x14ac:dyDescent="0.25">
      <c r="A599" s="213"/>
      <c r="B599" s="227"/>
      <c r="C599" s="227"/>
      <c r="D599" s="227"/>
      <c r="E599" s="227"/>
      <c r="F599" s="227"/>
      <c r="G599" s="227"/>
      <c r="H599" s="227"/>
      <c r="I599" s="227"/>
      <c r="J599" s="227"/>
      <c r="K599" s="330"/>
      <c r="L599" s="227"/>
      <c r="M599" s="331"/>
      <c r="N599" s="327"/>
      <c r="O599" s="327"/>
      <c r="P599" s="327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x14ac:dyDescent="0.25">
      <c r="A600" s="213"/>
      <c r="B600" s="227"/>
      <c r="C600" s="227"/>
      <c r="D600" s="227"/>
      <c r="E600" s="227"/>
      <c r="F600" s="227"/>
      <c r="G600" s="227"/>
      <c r="H600" s="227"/>
      <c r="I600" s="227"/>
      <c r="J600" s="227"/>
      <c r="K600" s="330"/>
      <c r="L600" s="227"/>
      <c r="M600" s="331"/>
      <c r="N600" s="327"/>
      <c r="O600" s="327"/>
      <c r="P600" s="327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x14ac:dyDescent="0.25">
      <c r="A601" s="213"/>
      <c r="B601" s="227"/>
      <c r="C601" s="227"/>
      <c r="D601" s="227"/>
      <c r="E601" s="227"/>
      <c r="F601" s="227"/>
      <c r="G601" s="227"/>
      <c r="H601" s="227"/>
      <c r="I601" s="227"/>
      <c r="J601" s="227"/>
      <c r="K601" s="330"/>
      <c r="L601" s="227"/>
      <c r="M601" s="331"/>
      <c r="N601" s="327"/>
      <c r="O601" s="327"/>
      <c r="P601" s="327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x14ac:dyDescent="0.25">
      <c r="A602" s="213"/>
      <c r="B602" s="227"/>
      <c r="C602" s="227"/>
      <c r="D602" s="227"/>
      <c r="E602" s="227"/>
      <c r="F602" s="227"/>
      <c r="G602" s="227"/>
      <c r="H602" s="227"/>
      <c r="I602" s="227"/>
      <c r="J602" s="227"/>
      <c r="K602" s="330"/>
      <c r="L602" s="227"/>
      <c r="M602" s="331"/>
      <c r="N602" s="327"/>
      <c r="O602" s="327"/>
      <c r="P602" s="327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x14ac:dyDescent="0.25">
      <c r="A603" s="213"/>
      <c r="B603" s="227"/>
      <c r="C603" s="227"/>
      <c r="D603" s="227"/>
      <c r="E603" s="227"/>
      <c r="F603" s="227"/>
      <c r="G603" s="227"/>
      <c r="H603" s="227"/>
      <c r="I603" s="227"/>
      <c r="J603" s="227"/>
      <c r="K603" s="330"/>
      <c r="L603" s="227"/>
      <c r="M603" s="331"/>
      <c r="N603" s="327"/>
      <c r="O603" s="327"/>
      <c r="P603" s="327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x14ac:dyDescent="0.25">
      <c r="A604" s="213"/>
      <c r="B604" s="227"/>
      <c r="C604" s="227"/>
      <c r="D604" s="227"/>
      <c r="E604" s="227"/>
      <c r="F604" s="227"/>
      <c r="G604" s="227"/>
      <c r="H604" s="227"/>
      <c r="I604" s="227"/>
      <c r="J604" s="227"/>
      <c r="K604" s="330"/>
      <c r="L604" s="227"/>
      <c r="M604" s="331"/>
      <c r="N604" s="327"/>
      <c r="O604" s="327"/>
      <c r="P604" s="327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x14ac:dyDescent="0.25">
      <c r="A605" s="213"/>
      <c r="B605" s="227"/>
      <c r="C605" s="227"/>
      <c r="D605" s="227"/>
      <c r="E605" s="227"/>
      <c r="F605" s="227"/>
      <c r="G605" s="227"/>
      <c r="H605" s="227"/>
      <c r="I605" s="227"/>
      <c r="J605" s="227"/>
      <c r="K605" s="330"/>
      <c r="L605" s="227"/>
      <c r="M605" s="331"/>
      <c r="N605" s="327"/>
      <c r="O605" s="327"/>
      <c r="P605" s="327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x14ac:dyDescent="0.25">
      <c r="A606" s="213"/>
      <c r="B606" s="227"/>
      <c r="C606" s="227"/>
      <c r="D606" s="227"/>
      <c r="E606" s="227"/>
      <c r="F606" s="227"/>
      <c r="G606" s="227"/>
      <c r="H606" s="227"/>
      <c r="I606" s="227"/>
      <c r="J606" s="227"/>
      <c r="K606" s="330"/>
      <c r="L606" s="227"/>
      <c r="M606" s="331"/>
      <c r="N606" s="327"/>
      <c r="O606" s="327"/>
      <c r="P606" s="327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x14ac:dyDescent="0.25">
      <c r="A607" s="213"/>
      <c r="B607" s="227"/>
      <c r="C607" s="227"/>
      <c r="D607" s="227"/>
      <c r="E607" s="227"/>
      <c r="F607" s="227"/>
      <c r="G607" s="227"/>
      <c r="H607" s="227"/>
      <c r="I607" s="227"/>
      <c r="J607" s="227"/>
      <c r="K607" s="330"/>
      <c r="L607" s="227"/>
      <c r="M607" s="331"/>
      <c r="N607" s="327"/>
      <c r="O607" s="327"/>
      <c r="P607" s="327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5">
      <c r="A608" s="213"/>
      <c r="B608" s="227"/>
      <c r="C608" s="227"/>
      <c r="D608" s="227"/>
      <c r="E608" s="227"/>
      <c r="F608" s="227"/>
      <c r="G608" s="227"/>
      <c r="H608" s="227"/>
      <c r="I608" s="227"/>
      <c r="J608" s="227"/>
      <c r="K608" s="330"/>
      <c r="L608" s="227"/>
      <c r="M608" s="331"/>
      <c r="N608" s="327"/>
      <c r="O608" s="327"/>
      <c r="P608" s="327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x14ac:dyDescent="0.25">
      <c r="A609" s="213"/>
      <c r="B609" s="227"/>
      <c r="C609" s="227"/>
      <c r="D609" s="227"/>
      <c r="E609" s="227"/>
      <c r="F609" s="227"/>
      <c r="G609" s="227"/>
      <c r="H609" s="227"/>
      <c r="I609" s="227"/>
      <c r="J609" s="227"/>
      <c r="K609" s="330"/>
      <c r="L609" s="227"/>
      <c r="M609" s="331"/>
      <c r="N609" s="327"/>
      <c r="O609" s="327"/>
      <c r="P609" s="327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x14ac:dyDescent="0.25">
      <c r="A610" s="213"/>
      <c r="B610" s="227"/>
      <c r="C610" s="227"/>
      <c r="D610" s="227"/>
      <c r="E610" s="227"/>
      <c r="F610" s="227"/>
      <c r="G610" s="227"/>
      <c r="H610" s="227"/>
      <c r="I610" s="227"/>
      <c r="J610" s="227"/>
      <c r="K610" s="330"/>
      <c r="L610" s="227"/>
      <c r="M610" s="331"/>
      <c r="N610" s="327"/>
      <c r="O610" s="327"/>
      <c r="P610" s="327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x14ac:dyDescent="0.25">
      <c r="A611" s="213"/>
      <c r="B611" s="227"/>
      <c r="C611" s="227"/>
      <c r="D611" s="227"/>
      <c r="E611" s="227"/>
      <c r="F611" s="227"/>
      <c r="G611" s="227"/>
      <c r="H611" s="227"/>
      <c r="I611" s="227"/>
      <c r="J611" s="227"/>
      <c r="K611" s="330"/>
      <c r="L611" s="227"/>
      <c r="M611" s="331"/>
      <c r="N611" s="327"/>
      <c r="O611" s="327"/>
      <c r="P611" s="327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5">
      <c r="A612" s="213"/>
      <c r="B612" s="227"/>
      <c r="C612" s="227"/>
      <c r="D612" s="227"/>
      <c r="E612" s="227"/>
      <c r="F612" s="227"/>
      <c r="G612" s="227"/>
      <c r="H612" s="227"/>
      <c r="I612" s="227"/>
      <c r="J612" s="227"/>
      <c r="K612" s="330"/>
      <c r="L612" s="227"/>
      <c r="M612" s="331"/>
      <c r="N612" s="327"/>
      <c r="O612" s="327"/>
      <c r="P612" s="327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x14ac:dyDescent="0.25">
      <c r="A613" s="213"/>
      <c r="B613" s="227"/>
      <c r="C613" s="227"/>
      <c r="D613" s="227"/>
      <c r="E613" s="227"/>
      <c r="F613" s="227"/>
      <c r="G613" s="227"/>
      <c r="H613" s="227"/>
      <c r="I613" s="227"/>
      <c r="J613" s="227"/>
      <c r="K613" s="330"/>
      <c r="L613" s="227"/>
      <c r="M613" s="331"/>
      <c r="N613" s="327"/>
      <c r="O613" s="327"/>
      <c r="P613" s="327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5">
      <c r="A614" s="213"/>
      <c r="B614" s="227"/>
      <c r="C614" s="227"/>
      <c r="D614" s="227"/>
      <c r="E614" s="227"/>
      <c r="F614" s="227"/>
      <c r="G614" s="227"/>
      <c r="H614" s="227"/>
      <c r="I614" s="227"/>
      <c r="J614" s="227"/>
      <c r="K614" s="330"/>
      <c r="L614" s="227"/>
      <c r="M614" s="331"/>
      <c r="N614" s="327"/>
      <c r="O614" s="327"/>
      <c r="P614" s="327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x14ac:dyDescent="0.25">
      <c r="A615" s="213"/>
      <c r="B615" s="227"/>
      <c r="C615" s="227"/>
      <c r="D615" s="227"/>
      <c r="E615" s="227"/>
      <c r="F615" s="227"/>
      <c r="G615" s="227"/>
      <c r="H615" s="227"/>
      <c r="I615" s="227"/>
      <c r="J615" s="227"/>
      <c r="K615" s="330"/>
      <c r="L615" s="227"/>
      <c r="M615" s="331"/>
      <c r="N615" s="327"/>
      <c r="O615" s="327"/>
      <c r="P615" s="327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x14ac:dyDescent="0.25">
      <c r="A616" s="213"/>
      <c r="B616" s="227"/>
      <c r="C616" s="227"/>
      <c r="D616" s="227"/>
      <c r="E616" s="227"/>
      <c r="F616" s="227"/>
      <c r="G616" s="227"/>
      <c r="H616" s="227"/>
      <c r="I616" s="227"/>
      <c r="J616" s="227"/>
      <c r="K616" s="330"/>
      <c r="L616" s="227"/>
      <c r="M616" s="331"/>
      <c r="N616" s="327"/>
      <c r="O616" s="327"/>
      <c r="P616" s="327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5">
      <c r="A617" s="213"/>
      <c r="B617" s="227"/>
      <c r="C617" s="227"/>
      <c r="D617" s="227"/>
      <c r="E617" s="227"/>
      <c r="F617" s="227"/>
      <c r="G617" s="227"/>
      <c r="H617" s="227"/>
      <c r="I617" s="227"/>
      <c r="J617" s="227"/>
      <c r="K617" s="330"/>
      <c r="L617" s="227"/>
      <c r="M617" s="331"/>
      <c r="N617" s="327"/>
      <c r="O617" s="327"/>
      <c r="P617" s="327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x14ac:dyDescent="0.25">
      <c r="A618" s="213"/>
      <c r="B618" s="227"/>
      <c r="C618" s="227"/>
      <c r="D618" s="227"/>
      <c r="E618" s="227"/>
      <c r="F618" s="227"/>
      <c r="G618" s="227"/>
      <c r="H618" s="227"/>
      <c r="I618" s="227"/>
      <c r="J618" s="227"/>
      <c r="K618" s="330"/>
      <c r="L618" s="227"/>
      <c r="M618" s="331"/>
      <c r="N618" s="327"/>
      <c r="O618" s="327"/>
      <c r="P618" s="327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x14ac:dyDescent="0.25">
      <c r="A619" s="213"/>
      <c r="B619" s="227"/>
      <c r="C619" s="227"/>
      <c r="D619" s="227"/>
      <c r="E619" s="227"/>
      <c r="F619" s="227"/>
      <c r="G619" s="227"/>
      <c r="H619" s="227"/>
      <c r="I619" s="227"/>
      <c r="J619" s="227"/>
      <c r="K619" s="330"/>
      <c r="L619" s="227"/>
      <c r="M619" s="331"/>
      <c r="N619" s="327"/>
      <c r="O619" s="327"/>
      <c r="P619" s="327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x14ac:dyDescent="0.25">
      <c r="A620" s="213"/>
      <c r="B620" s="227"/>
      <c r="C620" s="227"/>
      <c r="D620" s="227"/>
      <c r="E620" s="227"/>
      <c r="F620" s="227"/>
      <c r="G620" s="227"/>
      <c r="H620" s="227"/>
      <c r="I620" s="227"/>
      <c r="J620" s="227"/>
      <c r="K620" s="330"/>
      <c r="L620" s="227"/>
      <c r="M620" s="331"/>
      <c r="N620" s="327"/>
      <c r="O620" s="327"/>
      <c r="P620" s="327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x14ac:dyDescent="0.25">
      <c r="A621" s="213"/>
      <c r="B621" s="227"/>
      <c r="C621" s="227"/>
      <c r="D621" s="227"/>
      <c r="E621" s="227"/>
      <c r="F621" s="227"/>
      <c r="G621" s="227"/>
      <c r="H621" s="227"/>
      <c r="I621" s="227"/>
      <c r="J621" s="227"/>
      <c r="K621" s="330"/>
      <c r="L621" s="227"/>
      <c r="M621" s="331"/>
      <c r="N621" s="327"/>
      <c r="O621" s="327"/>
      <c r="P621" s="327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x14ac:dyDescent="0.25">
      <c r="A622" s="37"/>
      <c r="B622" s="204"/>
      <c r="C622" s="204"/>
      <c r="D622" s="204"/>
      <c r="E622" s="204"/>
      <c r="F622" s="204"/>
      <c r="G622" s="204"/>
      <c r="H622" s="204"/>
      <c r="I622" s="204"/>
      <c r="J622" s="204"/>
      <c r="K622" s="332"/>
      <c r="L622" s="227"/>
      <c r="M622" s="331"/>
      <c r="N622" s="333"/>
      <c r="O622" s="333"/>
      <c r="P622" s="333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999"/>
  <sheetViews>
    <sheetView workbookViewId="0"/>
  </sheetViews>
  <sheetFormatPr defaultColWidth="11.25" defaultRowHeight="15" customHeight="1" x14ac:dyDescent="0.25"/>
  <cols>
    <col min="8" max="8" width="18.25" customWidth="1"/>
  </cols>
  <sheetData>
    <row r="1" spans="1:18" x14ac:dyDescent="0.25">
      <c r="A1" s="334" t="s">
        <v>0</v>
      </c>
      <c r="B1" s="335" t="s">
        <v>987</v>
      </c>
      <c r="C1" s="335" t="s">
        <v>988</v>
      </c>
      <c r="D1" s="335" t="s">
        <v>989</v>
      </c>
      <c r="E1" s="335" t="s">
        <v>990</v>
      </c>
      <c r="F1" s="335"/>
      <c r="G1" s="335"/>
      <c r="H1" s="335" t="s">
        <v>991</v>
      </c>
      <c r="I1" s="335" t="s">
        <v>992</v>
      </c>
      <c r="J1" s="335" t="s">
        <v>993</v>
      </c>
      <c r="K1" s="335" t="s">
        <v>994</v>
      </c>
      <c r="L1" s="335" t="s">
        <v>993</v>
      </c>
      <c r="M1" s="335" t="s">
        <v>995</v>
      </c>
      <c r="N1" s="335" t="s">
        <v>996</v>
      </c>
      <c r="O1" s="335" t="s">
        <v>997</v>
      </c>
      <c r="P1" s="336" t="s">
        <v>998</v>
      </c>
      <c r="Q1" s="336" t="s">
        <v>999</v>
      </c>
      <c r="R1" s="337" t="s">
        <v>13</v>
      </c>
    </row>
    <row r="2" spans="1:18" x14ac:dyDescent="0.25">
      <c r="A2" s="334" t="s">
        <v>1000</v>
      </c>
      <c r="B2" s="338">
        <v>1</v>
      </c>
      <c r="C2" s="338">
        <v>921</v>
      </c>
      <c r="D2" s="335" t="s">
        <v>1001</v>
      </c>
      <c r="E2" s="338">
        <v>0</v>
      </c>
      <c r="F2" s="338">
        <v>0</v>
      </c>
      <c r="G2" s="338">
        <v>0</v>
      </c>
      <c r="H2" s="339">
        <v>45722.464699074073</v>
      </c>
      <c r="I2" s="338">
        <v>0.20300000000000001</v>
      </c>
      <c r="J2" s="338">
        <v>334.91</v>
      </c>
      <c r="K2" s="338">
        <v>0.20200000000000001</v>
      </c>
      <c r="L2" s="338">
        <v>82.98</v>
      </c>
      <c r="M2" s="338">
        <v>1</v>
      </c>
      <c r="N2" s="338">
        <v>0.20300000000000001</v>
      </c>
      <c r="O2" s="338">
        <v>0.20200000000000001</v>
      </c>
      <c r="P2" s="338">
        <v>0.20300000000000001</v>
      </c>
      <c r="Q2" s="338">
        <v>0.20200000000000001</v>
      </c>
      <c r="R2" s="337" t="s">
        <v>19</v>
      </c>
    </row>
    <row r="3" spans="1:18" x14ac:dyDescent="0.25">
      <c r="A3" s="334" t="s">
        <v>1002</v>
      </c>
      <c r="B3" s="338">
        <v>2</v>
      </c>
      <c r="C3" s="338">
        <v>921</v>
      </c>
      <c r="D3" s="335" t="s">
        <v>1003</v>
      </c>
      <c r="E3" s="338">
        <v>0</v>
      </c>
      <c r="F3" s="338">
        <v>0</v>
      </c>
      <c r="G3" s="338">
        <v>0</v>
      </c>
      <c r="H3" s="339">
        <v>45722.465509259258</v>
      </c>
      <c r="I3" s="338">
        <v>0.19900000000000001</v>
      </c>
      <c r="J3" s="338">
        <v>327.64</v>
      </c>
      <c r="K3" s="338">
        <v>0.20399999999999999</v>
      </c>
      <c r="L3" s="338">
        <v>83.41</v>
      </c>
      <c r="M3" s="338">
        <v>1</v>
      </c>
      <c r="N3" s="338">
        <v>0.19900000000000001</v>
      </c>
      <c r="O3" s="338">
        <v>0.20399999999999999</v>
      </c>
      <c r="P3" s="338">
        <v>0.19900000000000001</v>
      </c>
      <c r="Q3" s="338">
        <v>0.20399999999999999</v>
      </c>
      <c r="R3" s="337" t="s">
        <v>19</v>
      </c>
    </row>
    <row r="4" spans="1:18" x14ac:dyDescent="0.25">
      <c r="A4" s="340">
        <v>0.2</v>
      </c>
      <c r="B4" s="338">
        <v>3</v>
      </c>
      <c r="C4" s="338">
        <v>921</v>
      </c>
      <c r="D4" s="335" t="s">
        <v>1004</v>
      </c>
      <c r="E4" s="338">
        <v>0</v>
      </c>
      <c r="F4" s="338">
        <v>0</v>
      </c>
      <c r="G4" s="338">
        <v>0</v>
      </c>
      <c r="H4" s="339">
        <v>45722.466319444444</v>
      </c>
      <c r="I4" s="338">
        <v>0.2</v>
      </c>
      <c r="J4" s="338">
        <v>329.06</v>
      </c>
      <c r="K4" s="338">
        <v>0.20399999999999999</v>
      </c>
      <c r="L4" s="338">
        <v>83.65</v>
      </c>
      <c r="M4" s="338">
        <v>1</v>
      </c>
      <c r="N4" s="338">
        <v>0.2</v>
      </c>
      <c r="O4" s="338">
        <v>0.20399999999999999</v>
      </c>
      <c r="P4" s="338">
        <v>0.2</v>
      </c>
      <c r="Q4" s="338">
        <v>0.20399999999999999</v>
      </c>
      <c r="R4" s="337" t="s">
        <v>19</v>
      </c>
    </row>
    <row r="5" spans="1:18" x14ac:dyDescent="0.25">
      <c r="A5" s="340">
        <v>0.1</v>
      </c>
      <c r="B5" s="338">
        <v>4</v>
      </c>
      <c r="C5" s="338">
        <v>901</v>
      </c>
      <c r="D5" s="335" t="s">
        <v>1004</v>
      </c>
      <c r="E5" s="338">
        <v>0</v>
      </c>
      <c r="F5" s="338">
        <v>0</v>
      </c>
      <c r="G5" s="338">
        <v>0</v>
      </c>
      <c r="H5" s="339">
        <v>45722.467129629629</v>
      </c>
      <c r="I5" s="338">
        <v>0.10100000000000001</v>
      </c>
      <c r="J5" s="338">
        <v>168.96</v>
      </c>
      <c r="K5" s="338">
        <v>9.4E-2</v>
      </c>
      <c r="L5" s="338">
        <v>38.04</v>
      </c>
      <c r="M5" s="338">
        <v>1</v>
      </c>
      <c r="N5" s="338">
        <v>0.10100000000000001</v>
      </c>
      <c r="O5" s="338">
        <v>9.4E-2</v>
      </c>
      <c r="P5" s="338">
        <v>0.10100000000000001</v>
      </c>
      <c r="Q5" s="338">
        <v>9.4E-2</v>
      </c>
      <c r="R5" s="337" t="s">
        <v>19</v>
      </c>
    </row>
    <row r="6" spans="1:18" x14ac:dyDescent="0.25">
      <c r="A6" s="340">
        <v>0.05</v>
      </c>
      <c r="B6" s="338">
        <v>5</v>
      </c>
      <c r="C6" s="338">
        <v>902</v>
      </c>
      <c r="D6" s="335" t="s">
        <v>1004</v>
      </c>
      <c r="E6" s="338">
        <v>0</v>
      </c>
      <c r="F6" s="338">
        <v>0</v>
      </c>
      <c r="G6" s="338">
        <v>0</v>
      </c>
      <c r="H6" s="339">
        <v>45722.467939814815</v>
      </c>
      <c r="I6" s="338">
        <v>5.0999999999999997E-2</v>
      </c>
      <c r="J6" s="338">
        <v>88.3</v>
      </c>
      <c r="K6" s="338">
        <v>4.4999999999999998E-2</v>
      </c>
      <c r="L6" s="338">
        <v>17.760000000000002</v>
      </c>
      <c r="M6" s="338">
        <v>1</v>
      </c>
      <c r="N6" s="338">
        <v>5.0999999999999997E-2</v>
      </c>
      <c r="O6" s="338">
        <v>4.4999999999999998E-2</v>
      </c>
      <c r="P6" s="338">
        <v>5.0999999999999997E-2</v>
      </c>
      <c r="Q6" s="338">
        <v>4.4999999999999998E-2</v>
      </c>
      <c r="R6" s="337" t="s">
        <v>19</v>
      </c>
    </row>
    <row r="7" spans="1:18" x14ac:dyDescent="0.25">
      <c r="A7" s="340">
        <v>2.5000000000000001E-2</v>
      </c>
      <c r="B7" s="338">
        <v>6</v>
      </c>
      <c r="C7" s="338">
        <v>903</v>
      </c>
      <c r="D7" s="335" t="s">
        <v>1004</v>
      </c>
      <c r="E7" s="338">
        <v>0</v>
      </c>
      <c r="F7" s="338">
        <v>0</v>
      </c>
      <c r="G7" s="338">
        <v>0</v>
      </c>
      <c r="H7" s="339">
        <v>45722.46875</v>
      </c>
      <c r="I7" s="338">
        <v>2.5000000000000001E-2</v>
      </c>
      <c r="J7" s="338">
        <v>46.83</v>
      </c>
      <c r="K7" s="338">
        <v>2.5000000000000001E-2</v>
      </c>
      <c r="L7" s="338">
        <v>9.6199999999999992</v>
      </c>
      <c r="M7" s="338">
        <v>1</v>
      </c>
      <c r="N7" s="338">
        <v>2.5000000000000001E-2</v>
      </c>
      <c r="O7" s="338">
        <v>2.5000000000000001E-2</v>
      </c>
      <c r="P7" s="338">
        <v>2.5000000000000001E-2</v>
      </c>
      <c r="Q7" s="338">
        <v>2.5000000000000001E-2</v>
      </c>
      <c r="R7" s="337" t="s">
        <v>19</v>
      </c>
    </row>
    <row r="8" spans="1:18" x14ac:dyDescent="0.25">
      <c r="A8" s="340">
        <v>0.01</v>
      </c>
      <c r="B8" s="338">
        <v>7</v>
      </c>
      <c r="C8" s="338">
        <v>904</v>
      </c>
      <c r="D8" s="335" t="s">
        <v>1004</v>
      </c>
      <c r="E8" s="338">
        <v>0</v>
      </c>
      <c r="F8" s="338">
        <v>0</v>
      </c>
      <c r="G8" s="338">
        <v>0</v>
      </c>
      <c r="H8" s="339">
        <v>45722.469560185185</v>
      </c>
      <c r="I8" s="338">
        <v>0.01</v>
      </c>
      <c r="J8" s="338">
        <v>21.82</v>
      </c>
      <c r="K8" s="338">
        <v>1.0999999999999999E-2</v>
      </c>
      <c r="L8" s="338">
        <v>3.81</v>
      </c>
      <c r="M8" s="338">
        <v>1</v>
      </c>
      <c r="N8" s="338">
        <v>0.01</v>
      </c>
      <c r="O8" s="338">
        <v>1.0999999999999999E-2</v>
      </c>
      <c r="P8" s="338">
        <v>0.01</v>
      </c>
      <c r="Q8" s="338">
        <v>1.0999999999999999E-2</v>
      </c>
      <c r="R8" s="337" t="s">
        <v>19</v>
      </c>
    </row>
    <row r="9" spans="1:18" x14ac:dyDescent="0.25">
      <c r="A9" s="340">
        <v>5.0000000000000001E-3</v>
      </c>
      <c r="B9" s="338">
        <v>8</v>
      </c>
      <c r="C9" s="338">
        <v>905</v>
      </c>
      <c r="D9" s="335" t="s">
        <v>1004</v>
      </c>
      <c r="E9" s="338">
        <v>0</v>
      </c>
      <c r="F9" s="338">
        <v>0</v>
      </c>
      <c r="G9" s="338">
        <v>0</v>
      </c>
      <c r="H9" s="339">
        <v>45722.470370370371</v>
      </c>
      <c r="I9" s="338">
        <v>5.0000000000000001E-3</v>
      </c>
      <c r="J9" s="338">
        <v>15.02</v>
      </c>
      <c r="K9" s="338">
        <v>6.0000000000000001E-3</v>
      </c>
      <c r="L9" s="338">
        <v>1.78</v>
      </c>
      <c r="M9" s="338">
        <v>1</v>
      </c>
      <c r="N9" s="338">
        <v>5.0000000000000001E-3</v>
      </c>
      <c r="O9" s="338">
        <v>6.0000000000000001E-3</v>
      </c>
      <c r="P9" s="338">
        <v>5.0000000000000001E-3</v>
      </c>
      <c r="Q9" s="338">
        <v>6.0000000000000001E-3</v>
      </c>
      <c r="R9" s="337" t="s">
        <v>19</v>
      </c>
    </row>
    <row r="10" spans="1:18" x14ac:dyDescent="0.25">
      <c r="A10" s="334" t="s">
        <v>24</v>
      </c>
      <c r="B10" s="338">
        <v>9</v>
      </c>
      <c r="C10" s="338">
        <v>906</v>
      </c>
      <c r="D10" s="335" t="s">
        <v>1004</v>
      </c>
      <c r="E10" s="338">
        <v>0</v>
      </c>
      <c r="F10" s="338">
        <v>0</v>
      </c>
      <c r="G10" s="338">
        <v>0</v>
      </c>
      <c r="H10" s="339">
        <v>45722.471180555556</v>
      </c>
      <c r="I10" s="338">
        <v>-1E-3</v>
      </c>
      <c r="J10" s="338">
        <v>5.09</v>
      </c>
      <c r="K10" s="338">
        <v>4.0000000000000001E-3</v>
      </c>
      <c r="L10" s="338">
        <v>0.62</v>
      </c>
      <c r="M10" s="338">
        <v>1</v>
      </c>
      <c r="N10" s="338">
        <v>-1E-3</v>
      </c>
      <c r="O10" s="338">
        <v>4.0000000000000001E-3</v>
      </c>
      <c r="P10" s="335" t="s">
        <v>1005</v>
      </c>
      <c r="Q10" s="338">
        <v>4.0000000000000001E-3</v>
      </c>
      <c r="R10" s="337" t="s">
        <v>19</v>
      </c>
    </row>
    <row r="11" spans="1:18" x14ac:dyDescent="0.25">
      <c r="A11" s="334" t="s">
        <v>1006</v>
      </c>
      <c r="B11" s="338">
        <v>10</v>
      </c>
      <c r="C11" s="338">
        <v>0</v>
      </c>
      <c r="D11" s="335" t="s">
        <v>1007</v>
      </c>
      <c r="E11" s="338">
        <v>0</v>
      </c>
      <c r="F11" s="338">
        <v>0</v>
      </c>
      <c r="G11" s="338">
        <v>0</v>
      </c>
      <c r="H11" s="339">
        <v>45722.471990740742</v>
      </c>
      <c r="I11" s="338">
        <v>-4.0000000000000001E-3</v>
      </c>
      <c r="J11" s="338">
        <v>0</v>
      </c>
      <c r="K11" s="338">
        <v>2E-3</v>
      </c>
      <c r="L11" s="338">
        <v>0</v>
      </c>
      <c r="M11" s="338">
        <v>1</v>
      </c>
      <c r="N11" s="338">
        <v>-4.0000000000000001E-3</v>
      </c>
      <c r="O11" s="338">
        <v>2E-3</v>
      </c>
      <c r="P11" s="335" t="s">
        <v>1005</v>
      </c>
      <c r="Q11" s="335" t="s">
        <v>1008</v>
      </c>
      <c r="R11" s="337" t="s">
        <v>19</v>
      </c>
    </row>
    <row r="12" spans="1:18" x14ac:dyDescent="0.25">
      <c r="A12" s="334" t="s">
        <v>1009</v>
      </c>
      <c r="B12" s="338">
        <v>11</v>
      </c>
      <c r="C12" s="338">
        <v>921</v>
      </c>
      <c r="D12" s="335" t="s">
        <v>1010</v>
      </c>
      <c r="E12" s="338">
        <v>0</v>
      </c>
      <c r="F12" s="338">
        <v>1</v>
      </c>
      <c r="G12" s="338">
        <v>1</v>
      </c>
      <c r="H12" s="339">
        <v>45722.474421296298</v>
      </c>
      <c r="I12" s="338">
        <v>0.20100000000000001</v>
      </c>
      <c r="J12" s="338">
        <v>331.24</v>
      </c>
      <c r="K12" s="338">
        <v>0.20300000000000001</v>
      </c>
      <c r="L12" s="338">
        <v>83.07</v>
      </c>
      <c r="M12" s="338">
        <v>1</v>
      </c>
      <c r="N12" s="338">
        <v>0.20100000000000001</v>
      </c>
      <c r="O12" s="338">
        <v>0.20300000000000001</v>
      </c>
      <c r="P12" s="338">
        <v>0.20100000000000001</v>
      </c>
      <c r="Q12" s="338">
        <v>0.20300000000000001</v>
      </c>
      <c r="R12" s="337" t="s">
        <v>19</v>
      </c>
    </row>
    <row r="13" spans="1:18" x14ac:dyDescent="0.25">
      <c r="A13" s="334" t="s">
        <v>1011</v>
      </c>
      <c r="B13" s="338">
        <v>12</v>
      </c>
      <c r="C13" s="338">
        <v>905</v>
      </c>
      <c r="D13" s="335" t="s">
        <v>1012</v>
      </c>
      <c r="E13" s="338">
        <v>0</v>
      </c>
      <c r="F13" s="338">
        <v>1</v>
      </c>
      <c r="G13" s="338">
        <v>2</v>
      </c>
      <c r="H13" s="339">
        <v>45722.475231481483</v>
      </c>
      <c r="I13" s="338">
        <v>6.0000000000000001E-3</v>
      </c>
      <c r="J13" s="338">
        <v>15.26</v>
      </c>
      <c r="K13" s="338">
        <v>7.0000000000000001E-3</v>
      </c>
      <c r="L13" s="338">
        <v>1.88</v>
      </c>
      <c r="M13" s="338">
        <v>1</v>
      </c>
      <c r="N13" s="338">
        <v>6.0000000000000001E-3</v>
      </c>
      <c r="O13" s="338">
        <v>7.0000000000000001E-3</v>
      </c>
      <c r="P13" s="338">
        <v>6.0000000000000001E-3</v>
      </c>
      <c r="Q13" s="338">
        <v>7.0000000000000001E-3</v>
      </c>
      <c r="R13" s="337" t="s">
        <v>19</v>
      </c>
    </row>
    <row r="14" spans="1:18" x14ac:dyDescent="0.25">
      <c r="A14" s="334" t="s">
        <v>1011</v>
      </c>
      <c r="B14" s="338">
        <v>13</v>
      </c>
      <c r="C14" s="338">
        <v>905</v>
      </c>
      <c r="D14" s="335" t="s">
        <v>1012</v>
      </c>
      <c r="E14" s="338">
        <v>0</v>
      </c>
      <c r="F14" s="338">
        <v>1</v>
      </c>
      <c r="G14" s="338">
        <v>3</v>
      </c>
      <c r="H14" s="339">
        <v>45722.476041666669</v>
      </c>
      <c r="I14" s="338">
        <v>6.0000000000000001E-3</v>
      </c>
      <c r="J14" s="338">
        <v>15.28</v>
      </c>
      <c r="K14" s="338">
        <v>7.0000000000000001E-3</v>
      </c>
      <c r="L14" s="338">
        <v>1.88</v>
      </c>
      <c r="M14" s="338">
        <v>1</v>
      </c>
      <c r="N14" s="338">
        <v>6.0000000000000001E-3</v>
      </c>
      <c r="O14" s="338">
        <v>7.0000000000000001E-3</v>
      </c>
      <c r="P14" s="338">
        <v>6.0000000000000001E-3</v>
      </c>
      <c r="Q14" s="338">
        <v>7.0000000000000001E-3</v>
      </c>
      <c r="R14" s="337" t="s">
        <v>19</v>
      </c>
    </row>
    <row r="15" spans="1:18" x14ac:dyDescent="0.25">
      <c r="A15" s="334" t="s">
        <v>24</v>
      </c>
      <c r="B15" s="338">
        <v>14</v>
      </c>
      <c r="C15" s="338">
        <v>906</v>
      </c>
      <c r="D15" s="335" t="s">
        <v>1013</v>
      </c>
      <c r="E15" s="338">
        <v>0</v>
      </c>
      <c r="F15" s="338">
        <v>0</v>
      </c>
      <c r="G15" s="338">
        <v>0</v>
      </c>
      <c r="H15" s="339">
        <v>45722.476851851854</v>
      </c>
      <c r="I15" s="338">
        <v>-1E-3</v>
      </c>
      <c r="J15" s="338">
        <v>5.19</v>
      </c>
      <c r="K15" s="338">
        <v>4.0000000000000001E-3</v>
      </c>
      <c r="L15" s="338">
        <v>0.65</v>
      </c>
      <c r="M15" s="338">
        <v>1</v>
      </c>
      <c r="N15" s="338">
        <v>-1E-3</v>
      </c>
      <c r="O15" s="338">
        <v>4.0000000000000001E-3</v>
      </c>
      <c r="P15" s="335" t="s">
        <v>1005</v>
      </c>
      <c r="Q15" s="338">
        <v>4.0000000000000001E-3</v>
      </c>
      <c r="R15" s="337" t="s">
        <v>19</v>
      </c>
    </row>
    <row r="16" spans="1:18" x14ac:dyDescent="0.25">
      <c r="A16" s="334" t="s">
        <v>1014</v>
      </c>
      <c r="B16" s="338">
        <v>15</v>
      </c>
      <c r="C16" s="338">
        <v>907</v>
      </c>
      <c r="D16" s="335" t="s">
        <v>1015</v>
      </c>
      <c r="E16" s="338">
        <v>0</v>
      </c>
      <c r="F16" s="338">
        <v>0</v>
      </c>
      <c r="G16" s="338">
        <v>1</v>
      </c>
      <c r="H16" s="339">
        <v>45722.477662037039</v>
      </c>
      <c r="I16" s="338">
        <v>0.151</v>
      </c>
      <c r="J16" s="338">
        <v>250.22</v>
      </c>
      <c r="K16" s="338">
        <v>0.154</v>
      </c>
      <c r="L16" s="338">
        <v>63.07</v>
      </c>
      <c r="M16" s="338">
        <v>1</v>
      </c>
      <c r="N16" s="338">
        <v>0.151</v>
      </c>
      <c r="O16" s="338">
        <v>0.154</v>
      </c>
      <c r="P16" s="338">
        <v>0.151</v>
      </c>
      <c r="Q16" s="338">
        <v>0.154</v>
      </c>
      <c r="R16" s="337" t="s">
        <v>19</v>
      </c>
    </row>
    <row r="17" spans="1:18" x14ac:dyDescent="0.25">
      <c r="A17" s="334" t="s">
        <v>1016</v>
      </c>
      <c r="B17" s="338">
        <v>16</v>
      </c>
      <c r="C17" s="338">
        <v>908</v>
      </c>
      <c r="D17" s="335" t="s">
        <v>1017</v>
      </c>
      <c r="E17" s="338">
        <v>0</v>
      </c>
      <c r="F17" s="338">
        <v>0</v>
      </c>
      <c r="G17" s="338">
        <v>0</v>
      </c>
      <c r="H17" s="339">
        <v>45722.478472222225</v>
      </c>
      <c r="I17" s="338">
        <v>0.151</v>
      </c>
      <c r="J17" s="338">
        <v>251.29</v>
      </c>
      <c r="K17" s="338">
        <v>3.3000000000000002E-2</v>
      </c>
      <c r="L17" s="338">
        <v>12.71</v>
      </c>
      <c r="M17" s="338">
        <v>1</v>
      </c>
      <c r="N17" s="338">
        <v>0.151</v>
      </c>
      <c r="O17" s="338">
        <v>3.3000000000000002E-2</v>
      </c>
      <c r="P17" s="338">
        <v>0.151</v>
      </c>
      <c r="Q17" s="338">
        <v>3.3000000000000002E-2</v>
      </c>
      <c r="R17" s="337" t="s">
        <v>19</v>
      </c>
    </row>
    <row r="18" spans="1:18" x14ac:dyDescent="0.25">
      <c r="A18" s="334" t="s">
        <v>1006</v>
      </c>
      <c r="B18" s="338">
        <v>17</v>
      </c>
      <c r="C18" s="338">
        <v>0</v>
      </c>
      <c r="D18" s="335" t="s">
        <v>1007</v>
      </c>
      <c r="E18" s="338">
        <v>0</v>
      </c>
      <c r="F18" s="338">
        <v>0</v>
      </c>
      <c r="G18" s="338">
        <v>0</v>
      </c>
      <c r="H18" s="339">
        <v>45722.47928240741</v>
      </c>
      <c r="I18" s="338">
        <v>-4.0000000000000001E-3</v>
      </c>
      <c r="J18" s="338">
        <v>0</v>
      </c>
      <c r="K18" s="338">
        <v>2E-3</v>
      </c>
      <c r="L18" s="338">
        <v>0</v>
      </c>
      <c r="M18" s="338">
        <v>1</v>
      </c>
      <c r="N18" s="338">
        <v>-4.0000000000000001E-3</v>
      </c>
      <c r="O18" s="338">
        <v>2E-3</v>
      </c>
      <c r="P18" s="335" t="s">
        <v>1005</v>
      </c>
      <c r="Q18" s="335" t="s">
        <v>1008</v>
      </c>
      <c r="R18" s="337" t="s">
        <v>19</v>
      </c>
    </row>
    <row r="19" spans="1:18" x14ac:dyDescent="0.25">
      <c r="A19" s="340">
        <v>152</v>
      </c>
      <c r="B19" s="338">
        <v>18</v>
      </c>
      <c r="C19" s="338">
        <v>1</v>
      </c>
      <c r="D19" s="335" t="s">
        <v>1013</v>
      </c>
      <c r="E19" s="338">
        <v>0</v>
      </c>
      <c r="F19" s="338">
        <v>0</v>
      </c>
      <c r="G19" s="338">
        <v>0</v>
      </c>
      <c r="H19" s="339">
        <v>45722.481712962966</v>
      </c>
      <c r="I19" s="338">
        <v>8.0000000000000002E-3</v>
      </c>
      <c r="J19" s="338">
        <v>19.350000000000001</v>
      </c>
      <c r="K19" s="338">
        <v>1.2E-2</v>
      </c>
      <c r="L19" s="338">
        <v>4.0199999999999996</v>
      </c>
      <c r="M19" s="338">
        <v>1</v>
      </c>
      <c r="N19" s="338">
        <v>8.0000000000000002E-3</v>
      </c>
      <c r="O19" s="338">
        <v>1.2E-2</v>
      </c>
      <c r="P19" s="338">
        <v>8.0000000000000002E-3</v>
      </c>
      <c r="Q19" s="338">
        <v>1.2E-2</v>
      </c>
      <c r="R19" s="337" t="s">
        <v>19</v>
      </c>
    </row>
    <row r="20" spans="1:18" x14ac:dyDescent="0.25">
      <c r="A20" s="340">
        <v>48</v>
      </c>
      <c r="B20" s="338">
        <v>19</v>
      </c>
      <c r="C20" s="338">
        <v>2</v>
      </c>
      <c r="D20" s="335" t="s">
        <v>1013</v>
      </c>
      <c r="E20" s="338">
        <v>0</v>
      </c>
      <c r="F20" s="338">
        <v>0</v>
      </c>
      <c r="G20" s="338">
        <v>0</v>
      </c>
      <c r="H20" s="339">
        <v>45722.482523148145</v>
      </c>
      <c r="I20" s="338">
        <v>7.0000000000000001E-3</v>
      </c>
      <c r="J20" s="338">
        <v>17.649999999999999</v>
      </c>
      <c r="K20" s="338">
        <v>1.6E-2</v>
      </c>
      <c r="L20" s="338">
        <v>5.85</v>
      </c>
      <c r="M20" s="338">
        <v>1</v>
      </c>
      <c r="N20" s="338">
        <v>7.0000000000000001E-3</v>
      </c>
      <c r="O20" s="338">
        <v>1.6E-2</v>
      </c>
      <c r="P20" s="338">
        <v>7.0000000000000001E-3</v>
      </c>
      <c r="Q20" s="338">
        <v>1.6E-2</v>
      </c>
      <c r="R20" s="337" t="s">
        <v>19</v>
      </c>
    </row>
    <row r="21" spans="1:18" x14ac:dyDescent="0.25">
      <c r="A21" s="340">
        <v>61</v>
      </c>
      <c r="B21" s="338">
        <v>20</v>
      </c>
      <c r="C21" s="338">
        <v>3</v>
      </c>
      <c r="D21" s="335" t="s">
        <v>1013</v>
      </c>
      <c r="E21" s="338">
        <v>0</v>
      </c>
      <c r="F21" s="338">
        <v>0</v>
      </c>
      <c r="G21" s="338">
        <v>0</v>
      </c>
      <c r="H21" s="339">
        <v>45722.48333333333</v>
      </c>
      <c r="I21" s="338">
        <v>4.0000000000000001E-3</v>
      </c>
      <c r="J21" s="338">
        <v>12.76</v>
      </c>
      <c r="K21" s="338">
        <v>1.4E-2</v>
      </c>
      <c r="L21" s="338">
        <v>4.9400000000000004</v>
      </c>
      <c r="M21" s="338">
        <v>1</v>
      </c>
      <c r="N21" s="338">
        <v>4.0000000000000001E-3</v>
      </c>
      <c r="O21" s="338">
        <v>1.4E-2</v>
      </c>
      <c r="P21" s="338">
        <v>4.0000000000000001E-3</v>
      </c>
      <c r="Q21" s="338">
        <v>1.4E-2</v>
      </c>
      <c r="R21" s="337" t="s">
        <v>19</v>
      </c>
    </row>
    <row r="22" spans="1:18" x14ac:dyDescent="0.25">
      <c r="A22" s="340">
        <v>204</v>
      </c>
      <c r="B22" s="338">
        <v>21</v>
      </c>
      <c r="C22" s="338">
        <v>4</v>
      </c>
      <c r="D22" s="335" t="s">
        <v>1013</v>
      </c>
      <c r="E22" s="338">
        <v>0</v>
      </c>
      <c r="F22" s="338">
        <v>0</v>
      </c>
      <c r="G22" s="338">
        <v>0</v>
      </c>
      <c r="H22" s="339">
        <v>45722.484143518515</v>
      </c>
      <c r="I22" s="338">
        <v>8.9999999999999993E-3</v>
      </c>
      <c r="J22" s="338">
        <v>20.28</v>
      </c>
      <c r="K22" s="338">
        <v>3.0000000000000001E-3</v>
      </c>
      <c r="L22" s="338">
        <v>0.43</v>
      </c>
      <c r="M22" s="338">
        <v>1</v>
      </c>
      <c r="N22" s="338">
        <v>8.9999999999999993E-3</v>
      </c>
      <c r="O22" s="338">
        <v>3.0000000000000001E-3</v>
      </c>
      <c r="P22" s="338">
        <v>8.9999999999999993E-3</v>
      </c>
      <c r="Q22" s="338">
        <v>3.0000000000000001E-3</v>
      </c>
      <c r="R22" s="337" t="s">
        <v>19</v>
      </c>
    </row>
    <row r="23" spans="1:18" x14ac:dyDescent="0.25">
      <c r="A23" s="340">
        <v>113</v>
      </c>
      <c r="B23" s="338">
        <v>22</v>
      </c>
      <c r="C23" s="338">
        <v>5</v>
      </c>
      <c r="D23" s="335" t="s">
        <v>1013</v>
      </c>
      <c r="E23" s="338">
        <v>0</v>
      </c>
      <c r="F23" s="338">
        <v>0</v>
      </c>
      <c r="G23" s="338">
        <v>0</v>
      </c>
      <c r="H23" s="339">
        <v>45722.484953703701</v>
      </c>
      <c r="I23" s="338">
        <v>1.6E-2</v>
      </c>
      <c r="J23" s="338">
        <v>32.01</v>
      </c>
      <c r="K23" s="338">
        <v>3.0000000000000001E-3</v>
      </c>
      <c r="L23" s="338">
        <v>0.33</v>
      </c>
      <c r="M23" s="338">
        <v>1</v>
      </c>
      <c r="N23" s="338">
        <v>1.6E-2</v>
      </c>
      <c r="O23" s="338">
        <v>3.0000000000000001E-3</v>
      </c>
      <c r="P23" s="338">
        <v>1.6E-2</v>
      </c>
      <c r="Q23" s="338">
        <v>3.0000000000000001E-3</v>
      </c>
      <c r="R23" s="337" t="s">
        <v>19</v>
      </c>
    </row>
    <row r="24" spans="1:18" x14ac:dyDescent="0.25">
      <c r="A24" s="340">
        <v>87</v>
      </c>
      <c r="B24" s="338">
        <v>23</v>
      </c>
      <c r="C24" s="338">
        <v>6</v>
      </c>
      <c r="D24" s="335" t="s">
        <v>1013</v>
      </c>
      <c r="E24" s="338">
        <v>0</v>
      </c>
      <c r="F24" s="338">
        <v>0</v>
      </c>
      <c r="G24" s="338">
        <v>0</v>
      </c>
      <c r="H24" s="339">
        <v>45722.485763888886</v>
      </c>
      <c r="I24" s="338">
        <v>3.0000000000000001E-3</v>
      </c>
      <c r="J24" s="338">
        <v>11.81</v>
      </c>
      <c r="K24" s="338">
        <v>1.0999999999999999E-2</v>
      </c>
      <c r="L24" s="338">
        <v>3.68</v>
      </c>
      <c r="M24" s="338">
        <v>1</v>
      </c>
      <c r="N24" s="338">
        <v>3.0000000000000001E-3</v>
      </c>
      <c r="O24" s="338">
        <v>1.0999999999999999E-2</v>
      </c>
      <c r="P24" s="338">
        <v>3.0000000000000001E-3</v>
      </c>
      <c r="Q24" s="338">
        <v>1.0999999999999999E-2</v>
      </c>
      <c r="R24" s="337" t="s">
        <v>19</v>
      </c>
    </row>
    <row r="25" spans="1:18" x14ac:dyDescent="0.25">
      <c r="A25" s="334" t="s">
        <v>1018</v>
      </c>
      <c r="B25" s="338">
        <v>24</v>
      </c>
      <c r="C25" s="338">
        <v>7</v>
      </c>
      <c r="D25" s="335" t="s">
        <v>1015</v>
      </c>
      <c r="E25" s="338">
        <v>0</v>
      </c>
      <c r="F25" s="338">
        <v>0</v>
      </c>
      <c r="G25" s="338">
        <v>1</v>
      </c>
      <c r="H25" s="339">
        <v>45722.486574074072</v>
      </c>
      <c r="I25" s="338">
        <v>0.161</v>
      </c>
      <c r="J25" s="338">
        <v>265.93</v>
      </c>
      <c r="K25" s="338">
        <v>0.17199999999999999</v>
      </c>
      <c r="L25" s="338">
        <v>70.459999999999994</v>
      </c>
      <c r="M25" s="338">
        <v>1</v>
      </c>
      <c r="N25" s="338">
        <v>0.161</v>
      </c>
      <c r="O25" s="338">
        <v>0.17199999999999999</v>
      </c>
      <c r="P25" s="338">
        <v>0.161</v>
      </c>
      <c r="Q25" s="338">
        <v>0.17199999999999999</v>
      </c>
      <c r="R25" s="337" t="s">
        <v>19</v>
      </c>
    </row>
    <row r="26" spans="1:18" x14ac:dyDescent="0.25">
      <c r="A26" s="334" t="s">
        <v>1016</v>
      </c>
      <c r="B26" s="338">
        <v>25</v>
      </c>
      <c r="C26" s="338">
        <v>908</v>
      </c>
      <c r="D26" s="335" t="s">
        <v>1017</v>
      </c>
      <c r="E26" s="338">
        <v>0</v>
      </c>
      <c r="F26" s="338">
        <v>0</v>
      </c>
      <c r="G26" s="338">
        <v>0</v>
      </c>
      <c r="H26" s="339">
        <v>45722.487384259257</v>
      </c>
      <c r="I26" s="338">
        <v>0.151</v>
      </c>
      <c r="J26" s="338">
        <v>250.46</v>
      </c>
      <c r="K26" s="338">
        <v>3.2000000000000001E-2</v>
      </c>
      <c r="L26" s="338">
        <v>12.19</v>
      </c>
      <c r="M26" s="338">
        <v>1</v>
      </c>
      <c r="N26" s="338">
        <v>0.151</v>
      </c>
      <c r="O26" s="338">
        <v>3.2000000000000001E-2</v>
      </c>
      <c r="P26" s="338">
        <v>0.151</v>
      </c>
      <c r="Q26" s="338">
        <v>3.2000000000000001E-2</v>
      </c>
      <c r="R26" s="337" t="s">
        <v>19</v>
      </c>
    </row>
    <row r="27" spans="1:18" x14ac:dyDescent="0.25">
      <c r="A27" s="334" t="s">
        <v>1006</v>
      </c>
      <c r="B27" s="338">
        <v>26</v>
      </c>
      <c r="C27" s="338">
        <v>0</v>
      </c>
      <c r="D27" s="335" t="s">
        <v>1007</v>
      </c>
      <c r="E27" s="338">
        <v>0</v>
      </c>
      <c r="F27" s="338">
        <v>0</v>
      </c>
      <c r="G27" s="338">
        <v>0</v>
      </c>
      <c r="H27" s="339">
        <v>45722.488194444442</v>
      </c>
      <c r="I27" s="338">
        <v>-4.0000000000000001E-3</v>
      </c>
      <c r="J27" s="338">
        <v>0</v>
      </c>
      <c r="K27" s="338">
        <v>2E-3</v>
      </c>
      <c r="L27" s="338">
        <v>0</v>
      </c>
      <c r="M27" s="338">
        <v>1</v>
      </c>
      <c r="N27" s="338">
        <v>-4.0000000000000001E-3</v>
      </c>
      <c r="O27" s="338">
        <v>2E-3</v>
      </c>
      <c r="P27" s="335" t="s">
        <v>1005</v>
      </c>
      <c r="Q27" s="335" t="s">
        <v>1008</v>
      </c>
      <c r="R27" s="337" t="s">
        <v>19</v>
      </c>
    </row>
    <row r="28" spans="1:18" x14ac:dyDescent="0.25">
      <c r="A28" s="340">
        <v>22</v>
      </c>
      <c r="B28" s="338">
        <v>27</v>
      </c>
      <c r="C28" s="338">
        <v>8</v>
      </c>
      <c r="D28" s="335" t="s">
        <v>1013</v>
      </c>
      <c r="E28" s="338">
        <v>0</v>
      </c>
      <c r="F28" s="338">
        <v>0</v>
      </c>
      <c r="G28" s="338">
        <v>0</v>
      </c>
      <c r="H28" s="339">
        <v>45722.490624999999</v>
      </c>
      <c r="I28" s="338">
        <v>3.0000000000000001E-3</v>
      </c>
      <c r="J28" s="338">
        <v>11.02</v>
      </c>
      <c r="K28" s="338">
        <v>1.2999999999999999E-2</v>
      </c>
      <c r="L28" s="338">
        <v>4.3499999999999996</v>
      </c>
      <c r="M28" s="338">
        <v>1</v>
      </c>
      <c r="N28" s="338">
        <v>3.0000000000000001E-3</v>
      </c>
      <c r="O28" s="338">
        <v>1.2999999999999999E-2</v>
      </c>
      <c r="P28" s="338">
        <v>3.0000000000000001E-3</v>
      </c>
      <c r="Q28" s="338">
        <v>1.2999999999999999E-2</v>
      </c>
      <c r="R28" s="337" t="s">
        <v>19</v>
      </c>
    </row>
    <row r="29" spans="1:18" x14ac:dyDescent="0.25">
      <c r="A29" s="340">
        <v>9</v>
      </c>
      <c r="B29" s="338">
        <v>28</v>
      </c>
      <c r="C29" s="338">
        <v>9</v>
      </c>
      <c r="D29" s="335" t="s">
        <v>1013</v>
      </c>
      <c r="E29" s="338">
        <v>0</v>
      </c>
      <c r="F29" s="338">
        <v>0</v>
      </c>
      <c r="G29" s="338">
        <v>0</v>
      </c>
      <c r="H29" s="339">
        <v>45722.491435185184</v>
      </c>
      <c r="I29" s="338">
        <v>8.0000000000000002E-3</v>
      </c>
      <c r="J29" s="338">
        <v>19.62</v>
      </c>
      <c r="K29" s="338">
        <v>1.0999999999999999E-2</v>
      </c>
      <c r="L29" s="338">
        <v>3.83</v>
      </c>
      <c r="M29" s="338">
        <v>1</v>
      </c>
      <c r="N29" s="338">
        <v>8.0000000000000002E-3</v>
      </c>
      <c r="O29" s="338">
        <v>1.0999999999999999E-2</v>
      </c>
      <c r="P29" s="338">
        <v>8.0000000000000002E-3</v>
      </c>
      <c r="Q29" s="338">
        <v>1.0999999999999999E-2</v>
      </c>
      <c r="R29" s="337" t="s">
        <v>19</v>
      </c>
    </row>
    <row r="30" spans="1:18" x14ac:dyDescent="0.25">
      <c r="A30" s="340">
        <v>74</v>
      </c>
      <c r="B30" s="338">
        <v>29</v>
      </c>
      <c r="C30" s="338">
        <v>10</v>
      </c>
      <c r="D30" s="335" t="s">
        <v>1013</v>
      </c>
      <c r="E30" s="338">
        <v>0</v>
      </c>
      <c r="F30" s="338">
        <v>0</v>
      </c>
      <c r="G30" s="338">
        <v>0</v>
      </c>
      <c r="H30" s="339">
        <v>45722.492245370369</v>
      </c>
      <c r="I30" s="338">
        <v>3.0000000000000001E-3</v>
      </c>
      <c r="J30" s="338">
        <v>11.83</v>
      </c>
      <c r="K30" s="338">
        <v>0.02</v>
      </c>
      <c r="L30" s="338">
        <v>7.22</v>
      </c>
      <c r="M30" s="338">
        <v>1</v>
      </c>
      <c r="N30" s="338">
        <v>3.0000000000000001E-3</v>
      </c>
      <c r="O30" s="338">
        <v>0.02</v>
      </c>
      <c r="P30" s="338">
        <v>3.0000000000000001E-3</v>
      </c>
      <c r="Q30" s="338">
        <v>0.02</v>
      </c>
      <c r="R30" s="337" t="s">
        <v>19</v>
      </c>
    </row>
    <row r="31" spans="1:18" x14ac:dyDescent="0.25">
      <c r="A31" s="340">
        <v>100</v>
      </c>
      <c r="B31" s="338">
        <v>30</v>
      </c>
      <c r="C31" s="338">
        <v>11</v>
      </c>
      <c r="D31" s="335" t="s">
        <v>1013</v>
      </c>
      <c r="E31" s="338">
        <v>0</v>
      </c>
      <c r="F31" s="338">
        <v>0</v>
      </c>
      <c r="G31" s="338">
        <v>0</v>
      </c>
      <c r="H31" s="339">
        <v>45722.493055555555</v>
      </c>
      <c r="I31" s="338">
        <v>4.0000000000000001E-3</v>
      </c>
      <c r="J31" s="338">
        <v>13.1</v>
      </c>
      <c r="K31" s="338">
        <v>1.2E-2</v>
      </c>
      <c r="L31" s="338">
        <v>4.2300000000000004</v>
      </c>
      <c r="M31" s="338">
        <v>1</v>
      </c>
      <c r="N31" s="338">
        <v>4.0000000000000001E-3</v>
      </c>
      <c r="O31" s="338">
        <v>1.2E-2</v>
      </c>
      <c r="P31" s="338">
        <v>4.0000000000000001E-3</v>
      </c>
      <c r="Q31" s="338">
        <v>1.2E-2</v>
      </c>
      <c r="R31" s="337" t="s">
        <v>19</v>
      </c>
    </row>
    <row r="32" spans="1:18" x14ac:dyDescent="0.25">
      <c r="A32" s="340">
        <v>139</v>
      </c>
      <c r="B32" s="338">
        <v>31</v>
      </c>
      <c r="C32" s="338">
        <v>12</v>
      </c>
      <c r="D32" s="335" t="s">
        <v>1013</v>
      </c>
      <c r="E32" s="338">
        <v>0</v>
      </c>
      <c r="F32" s="338">
        <v>0</v>
      </c>
      <c r="G32" s="338">
        <v>0</v>
      </c>
      <c r="H32" s="339">
        <v>45722.49386574074</v>
      </c>
      <c r="I32" s="338">
        <v>4.0000000000000001E-3</v>
      </c>
      <c r="J32" s="338">
        <v>13.18</v>
      </c>
      <c r="K32" s="338">
        <v>1.0999999999999999E-2</v>
      </c>
      <c r="L32" s="338">
        <v>3.68</v>
      </c>
      <c r="M32" s="338">
        <v>1</v>
      </c>
      <c r="N32" s="338">
        <v>4.0000000000000001E-3</v>
      </c>
      <c r="O32" s="338">
        <v>1.0999999999999999E-2</v>
      </c>
      <c r="P32" s="338">
        <v>4.0000000000000001E-3</v>
      </c>
      <c r="Q32" s="338">
        <v>1.0999999999999999E-2</v>
      </c>
      <c r="R32" s="337" t="s">
        <v>19</v>
      </c>
    </row>
    <row r="33" spans="1:18" x14ac:dyDescent="0.25">
      <c r="A33" s="340">
        <v>35</v>
      </c>
      <c r="B33" s="338">
        <v>32</v>
      </c>
      <c r="C33" s="338">
        <v>13</v>
      </c>
      <c r="D33" s="335" t="s">
        <v>1013</v>
      </c>
      <c r="E33" s="338">
        <v>0</v>
      </c>
      <c r="F33" s="338">
        <v>0</v>
      </c>
      <c r="G33" s="338">
        <v>0</v>
      </c>
      <c r="H33" s="339">
        <v>45722.494675925926</v>
      </c>
      <c r="I33" s="338">
        <v>4.0000000000000001E-3</v>
      </c>
      <c r="J33" s="338">
        <v>12.74</v>
      </c>
      <c r="K33" s="338">
        <v>1.0999999999999999E-2</v>
      </c>
      <c r="L33" s="338">
        <v>3.58</v>
      </c>
      <c r="M33" s="338">
        <v>1</v>
      </c>
      <c r="N33" s="338">
        <v>4.0000000000000001E-3</v>
      </c>
      <c r="O33" s="338">
        <v>1.0999999999999999E-2</v>
      </c>
      <c r="P33" s="338">
        <v>4.0000000000000001E-3</v>
      </c>
      <c r="Q33" s="338">
        <v>1.0999999999999999E-2</v>
      </c>
      <c r="R33" s="337" t="s">
        <v>19</v>
      </c>
    </row>
    <row r="34" spans="1:18" x14ac:dyDescent="0.25">
      <c r="A34" s="334" t="s">
        <v>1019</v>
      </c>
      <c r="B34" s="338">
        <v>33</v>
      </c>
      <c r="C34" s="338">
        <v>14</v>
      </c>
      <c r="D34" s="335" t="s">
        <v>1015</v>
      </c>
      <c r="E34" s="338">
        <v>0</v>
      </c>
      <c r="F34" s="338">
        <v>0</v>
      </c>
      <c r="G34" s="338">
        <v>1</v>
      </c>
      <c r="H34" s="339">
        <v>45722.495486111111</v>
      </c>
      <c r="I34" s="338">
        <v>0.16300000000000001</v>
      </c>
      <c r="J34" s="338">
        <v>269.97000000000003</v>
      </c>
      <c r="K34" s="338">
        <v>0.152</v>
      </c>
      <c r="L34" s="338">
        <v>62.18</v>
      </c>
      <c r="M34" s="338">
        <v>1</v>
      </c>
      <c r="N34" s="338">
        <v>0.16300000000000001</v>
      </c>
      <c r="O34" s="338">
        <v>0.152</v>
      </c>
      <c r="P34" s="338">
        <v>0.16300000000000001</v>
      </c>
      <c r="Q34" s="338">
        <v>0.152</v>
      </c>
      <c r="R34" s="337" t="s">
        <v>19</v>
      </c>
    </row>
    <row r="35" spans="1:18" x14ac:dyDescent="0.25">
      <c r="A35" s="334" t="s">
        <v>1016</v>
      </c>
      <c r="B35" s="338">
        <v>34</v>
      </c>
      <c r="C35" s="338">
        <v>908</v>
      </c>
      <c r="D35" s="335" t="s">
        <v>1017</v>
      </c>
      <c r="E35" s="338">
        <v>0</v>
      </c>
      <c r="F35" s="338">
        <v>0</v>
      </c>
      <c r="G35" s="338">
        <v>0</v>
      </c>
      <c r="H35" s="339">
        <v>45722.496296296296</v>
      </c>
      <c r="I35" s="338">
        <v>0.15</v>
      </c>
      <c r="J35" s="338">
        <v>249.18</v>
      </c>
      <c r="K35" s="338">
        <v>0.03</v>
      </c>
      <c r="L35" s="338">
        <v>11.61</v>
      </c>
      <c r="M35" s="338">
        <v>1</v>
      </c>
      <c r="N35" s="338">
        <v>0.15</v>
      </c>
      <c r="O35" s="338">
        <v>0.03</v>
      </c>
      <c r="P35" s="338">
        <v>0.15</v>
      </c>
      <c r="Q35" s="338">
        <v>0.03</v>
      </c>
      <c r="R35" s="337" t="s">
        <v>19</v>
      </c>
    </row>
    <row r="36" spans="1:18" x14ac:dyDescent="0.25">
      <c r="A36" s="334" t="s">
        <v>1006</v>
      </c>
      <c r="B36" s="338">
        <v>35</v>
      </c>
      <c r="C36" s="338">
        <v>0</v>
      </c>
      <c r="D36" s="335" t="s">
        <v>1007</v>
      </c>
      <c r="E36" s="338">
        <v>0</v>
      </c>
      <c r="F36" s="338">
        <v>0</v>
      </c>
      <c r="G36" s="338">
        <v>0</v>
      </c>
      <c r="H36" s="339">
        <v>45722.497106481482</v>
      </c>
      <c r="I36" s="338">
        <v>-4.0000000000000001E-3</v>
      </c>
      <c r="J36" s="338">
        <v>0</v>
      </c>
      <c r="K36" s="338">
        <v>2E-3</v>
      </c>
      <c r="L36" s="338">
        <v>0</v>
      </c>
      <c r="M36" s="338">
        <v>1</v>
      </c>
      <c r="N36" s="338">
        <v>-4.0000000000000001E-3</v>
      </c>
      <c r="O36" s="338">
        <v>2E-3</v>
      </c>
      <c r="P36" s="335" t="s">
        <v>1005</v>
      </c>
      <c r="Q36" s="335" t="s">
        <v>1008</v>
      </c>
      <c r="R36" s="337" t="s">
        <v>19</v>
      </c>
    </row>
    <row r="37" spans="1:18" x14ac:dyDescent="0.25">
      <c r="A37" s="334" t="s">
        <v>24</v>
      </c>
      <c r="B37" s="338">
        <v>36</v>
      </c>
      <c r="C37" s="338">
        <v>906</v>
      </c>
      <c r="D37" s="335" t="s">
        <v>1013</v>
      </c>
      <c r="E37" s="338">
        <v>0</v>
      </c>
      <c r="F37" s="338">
        <v>0</v>
      </c>
      <c r="G37" s="338">
        <v>0</v>
      </c>
      <c r="H37" s="339">
        <v>45722.499537037038</v>
      </c>
      <c r="I37" s="338">
        <v>-1E-3</v>
      </c>
      <c r="J37" s="338">
        <v>4.95</v>
      </c>
      <c r="K37" s="338">
        <v>3.0000000000000001E-3</v>
      </c>
      <c r="L37" s="338">
        <v>0.26</v>
      </c>
      <c r="M37" s="338">
        <v>1</v>
      </c>
      <c r="N37" s="338">
        <v>-1E-3</v>
      </c>
      <c r="O37" s="338">
        <v>3.0000000000000001E-3</v>
      </c>
      <c r="P37" s="335" t="s">
        <v>1005</v>
      </c>
      <c r="Q37" s="338">
        <v>3.0000000000000001E-3</v>
      </c>
      <c r="R37" s="337" t="s">
        <v>19</v>
      </c>
    </row>
    <row r="38" spans="1:18" x14ac:dyDescent="0.25">
      <c r="A38" s="334" t="s">
        <v>24</v>
      </c>
      <c r="B38" s="338">
        <v>37</v>
      </c>
      <c r="C38" s="338">
        <v>906</v>
      </c>
      <c r="D38" s="335" t="s">
        <v>1013</v>
      </c>
      <c r="E38" s="338">
        <v>0</v>
      </c>
      <c r="F38" s="338">
        <v>0</v>
      </c>
      <c r="G38" s="338">
        <v>0</v>
      </c>
      <c r="H38" s="339">
        <v>45722.500347222223</v>
      </c>
      <c r="I38" s="338">
        <v>-1E-3</v>
      </c>
      <c r="J38" s="338">
        <v>4.87</v>
      </c>
      <c r="K38" s="338">
        <v>3.0000000000000001E-3</v>
      </c>
      <c r="L38" s="338">
        <v>0.26</v>
      </c>
      <c r="M38" s="338">
        <v>1</v>
      </c>
      <c r="N38" s="338">
        <v>-1E-3</v>
      </c>
      <c r="O38" s="338">
        <v>3.0000000000000001E-3</v>
      </c>
      <c r="P38" s="335" t="s">
        <v>1005</v>
      </c>
      <c r="Q38" s="338">
        <v>3.0000000000000001E-3</v>
      </c>
      <c r="R38" s="337" t="s">
        <v>19</v>
      </c>
    </row>
    <row r="39" spans="1:18" x14ac:dyDescent="0.25">
      <c r="A39" s="334" t="s">
        <v>24</v>
      </c>
      <c r="B39" s="338">
        <v>38</v>
      </c>
      <c r="C39" s="338">
        <v>906</v>
      </c>
      <c r="D39" s="335" t="s">
        <v>1013</v>
      </c>
      <c r="E39" s="338">
        <v>0</v>
      </c>
      <c r="F39" s="338">
        <v>0</v>
      </c>
      <c r="G39" s="338">
        <v>0</v>
      </c>
      <c r="H39" s="339">
        <v>45722.501157407409</v>
      </c>
      <c r="I39" s="338">
        <v>-1E-3</v>
      </c>
      <c r="J39" s="338">
        <v>4.88</v>
      </c>
      <c r="K39" s="338">
        <v>3.0000000000000001E-3</v>
      </c>
      <c r="L39" s="338">
        <v>0.27</v>
      </c>
      <c r="M39" s="338">
        <v>1</v>
      </c>
      <c r="N39" s="338">
        <v>-1E-3</v>
      </c>
      <c r="O39" s="338">
        <v>3.0000000000000001E-3</v>
      </c>
      <c r="P39" s="335" t="s">
        <v>1005</v>
      </c>
      <c r="Q39" s="338">
        <v>3.0000000000000001E-3</v>
      </c>
      <c r="R39" s="337" t="s">
        <v>19</v>
      </c>
    </row>
    <row r="40" spans="1:18" x14ac:dyDescent="0.25">
      <c r="A40" s="334" t="s">
        <v>24</v>
      </c>
      <c r="B40" s="338">
        <v>39</v>
      </c>
      <c r="C40" s="338">
        <v>906</v>
      </c>
      <c r="D40" s="335" t="s">
        <v>1013</v>
      </c>
      <c r="E40" s="338">
        <v>0</v>
      </c>
      <c r="F40" s="338">
        <v>0</v>
      </c>
      <c r="G40" s="338">
        <v>0</v>
      </c>
      <c r="H40" s="339">
        <v>45722.501967592594</v>
      </c>
      <c r="I40" s="338">
        <v>-1E-3</v>
      </c>
      <c r="J40" s="338">
        <v>4.82</v>
      </c>
      <c r="K40" s="338">
        <v>3.0000000000000001E-3</v>
      </c>
      <c r="L40" s="338">
        <v>0.19</v>
      </c>
      <c r="M40" s="338">
        <v>1</v>
      </c>
      <c r="N40" s="338">
        <v>-1E-3</v>
      </c>
      <c r="O40" s="338">
        <v>3.0000000000000001E-3</v>
      </c>
      <c r="P40" s="335" t="s">
        <v>1005</v>
      </c>
      <c r="Q40" s="338">
        <v>3.0000000000000001E-3</v>
      </c>
      <c r="R40" s="337" t="s">
        <v>19</v>
      </c>
    </row>
    <row r="41" spans="1:18" x14ac:dyDescent="0.25">
      <c r="A41" s="334" t="s">
        <v>24</v>
      </c>
      <c r="B41" s="338">
        <v>40</v>
      </c>
      <c r="C41" s="338">
        <v>906</v>
      </c>
      <c r="D41" s="335" t="s">
        <v>1013</v>
      </c>
      <c r="E41" s="338">
        <v>0</v>
      </c>
      <c r="F41" s="338">
        <v>0</v>
      </c>
      <c r="G41" s="338">
        <v>0</v>
      </c>
      <c r="H41" s="339">
        <v>45722.50277777778</v>
      </c>
      <c r="I41" s="338">
        <v>-1E-3</v>
      </c>
      <c r="J41" s="338">
        <v>4.83</v>
      </c>
      <c r="K41" s="338">
        <v>3.0000000000000001E-3</v>
      </c>
      <c r="L41" s="338">
        <v>0.24</v>
      </c>
      <c r="M41" s="338">
        <v>1</v>
      </c>
      <c r="N41" s="338">
        <v>-1E-3</v>
      </c>
      <c r="O41" s="338">
        <v>3.0000000000000001E-3</v>
      </c>
      <c r="P41" s="335" t="s">
        <v>1005</v>
      </c>
      <c r="Q41" s="338">
        <v>3.0000000000000001E-3</v>
      </c>
      <c r="R41" s="337" t="s">
        <v>19</v>
      </c>
    </row>
    <row r="42" spans="1:18" x14ac:dyDescent="0.25">
      <c r="A42" s="334" t="s">
        <v>24</v>
      </c>
      <c r="B42" s="338">
        <v>41</v>
      </c>
      <c r="C42" s="338">
        <v>906</v>
      </c>
      <c r="D42" s="335" t="s">
        <v>1013</v>
      </c>
      <c r="E42" s="338">
        <v>0</v>
      </c>
      <c r="F42" s="338">
        <v>0</v>
      </c>
      <c r="G42" s="338">
        <v>0</v>
      </c>
      <c r="H42" s="339">
        <v>45722.503587962965</v>
      </c>
      <c r="I42" s="338">
        <v>-1E-3</v>
      </c>
      <c r="J42" s="338">
        <v>4.8099999999999996</v>
      </c>
      <c r="K42" s="338">
        <v>3.0000000000000001E-3</v>
      </c>
      <c r="L42" s="338">
        <v>0.49</v>
      </c>
      <c r="M42" s="338">
        <v>1</v>
      </c>
      <c r="N42" s="338">
        <v>-1E-3</v>
      </c>
      <c r="O42" s="338">
        <v>3.0000000000000001E-3</v>
      </c>
      <c r="P42" s="335" t="s">
        <v>1005</v>
      </c>
      <c r="Q42" s="338">
        <v>3.0000000000000001E-3</v>
      </c>
      <c r="R42" s="337" t="s">
        <v>19</v>
      </c>
    </row>
    <row r="43" spans="1:18" x14ac:dyDescent="0.25">
      <c r="A43" s="334" t="s">
        <v>24</v>
      </c>
      <c r="B43" s="338">
        <v>42</v>
      </c>
      <c r="C43" s="338">
        <v>906</v>
      </c>
      <c r="D43" s="335" t="s">
        <v>1013</v>
      </c>
      <c r="E43" s="338">
        <v>0</v>
      </c>
      <c r="F43" s="338">
        <v>0</v>
      </c>
      <c r="G43" s="338">
        <v>0</v>
      </c>
      <c r="H43" s="339">
        <v>45722.50439814815</v>
      </c>
      <c r="I43" s="338">
        <v>-1E-3</v>
      </c>
      <c r="J43" s="338">
        <v>4.83</v>
      </c>
      <c r="K43" s="338">
        <v>3.0000000000000001E-3</v>
      </c>
      <c r="L43" s="338">
        <v>0.21</v>
      </c>
      <c r="M43" s="338">
        <v>1</v>
      </c>
      <c r="N43" s="338">
        <v>-1E-3</v>
      </c>
      <c r="O43" s="338">
        <v>3.0000000000000001E-3</v>
      </c>
      <c r="P43" s="335" t="s">
        <v>1005</v>
      </c>
      <c r="Q43" s="338">
        <v>3.0000000000000001E-3</v>
      </c>
      <c r="R43" s="337" t="s">
        <v>19</v>
      </c>
    </row>
    <row r="44" spans="1:18" x14ac:dyDescent="0.25">
      <c r="A44" s="334" t="s">
        <v>24</v>
      </c>
      <c r="B44" s="338">
        <v>43</v>
      </c>
      <c r="C44" s="338">
        <v>906</v>
      </c>
      <c r="D44" s="335" t="s">
        <v>1013</v>
      </c>
      <c r="E44" s="338">
        <v>0</v>
      </c>
      <c r="F44" s="338">
        <v>0</v>
      </c>
      <c r="G44" s="338">
        <v>0</v>
      </c>
      <c r="H44" s="339">
        <v>45722.505208333336</v>
      </c>
      <c r="I44" s="338">
        <v>-1E-3</v>
      </c>
      <c r="J44" s="338">
        <v>4.8499999999999996</v>
      </c>
      <c r="K44" s="338">
        <v>3.0000000000000001E-3</v>
      </c>
      <c r="L44" s="338">
        <v>0.27</v>
      </c>
      <c r="M44" s="338">
        <v>1</v>
      </c>
      <c r="N44" s="338">
        <v>-1E-3</v>
      </c>
      <c r="O44" s="338">
        <v>3.0000000000000001E-3</v>
      </c>
      <c r="P44" s="335" t="s">
        <v>1005</v>
      </c>
      <c r="Q44" s="338">
        <v>3.0000000000000001E-3</v>
      </c>
      <c r="R44" s="337" t="s">
        <v>19</v>
      </c>
    </row>
    <row r="45" spans="1:18" x14ac:dyDescent="0.25">
      <c r="A45" s="334" t="s">
        <v>24</v>
      </c>
      <c r="B45" s="338">
        <v>44</v>
      </c>
      <c r="C45" s="338">
        <v>906</v>
      </c>
      <c r="D45" s="335" t="s">
        <v>1013</v>
      </c>
      <c r="E45" s="338">
        <v>0</v>
      </c>
      <c r="F45" s="338">
        <v>0</v>
      </c>
      <c r="G45" s="338">
        <v>0</v>
      </c>
      <c r="H45" s="339">
        <v>45722.506018518521</v>
      </c>
      <c r="I45" s="338">
        <v>-1E-3</v>
      </c>
      <c r="J45" s="338">
        <v>4.7699999999999996</v>
      </c>
      <c r="K45" s="338">
        <v>3.0000000000000001E-3</v>
      </c>
      <c r="L45" s="338">
        <v>0.28000000000000003</v>
      </c>
      <c r="M45" s="338">
        <v>1</v>
      </c>
      <c r="N45" s="338">
        <v>-1E-3</v>
      </c>
      <c r="O45" s="338">
        <v>3.0000000000000001E-3</v>
      </c>
      <c r="P45" s="335" t="s">
        <v>1005</v>
      </c>
      <c r="Q45" s="338">
        <v>3.0000000000000001E-3</v>
      </c>
      <c r="R45" s="337" t="s">
        <v>19</v>
      </c>
    </row>
    <row r="46" spans="1:18" x14ac:dyDescent="0.25">
      <c r="A46" s="334" t="s">
        <v>24</v>
      </c>
      <c r="B46" s="338">
        <v>45</v>
      </c>
      <c r="C46" s="338">
        <v>906</v>
      </c>
      <c r="D46" s="335" t="s">
        <v>1013</v>
      </c>
      <c r="E46" s="338">
        <v>0</v>
      </c>
      <c r="F46" s="338">
        <v>0</v>
      </c>
      <c r="G46" s="338">
        <v>0</v>
      </c>
      <c r="H46" s="339">
        <v>45722.506828703707</v>
      </c>
      <c r="I46" s="338">
        <v>-1E-3</v>
      </c>
      <c r="J46" s="338">
        <v>4.79</v>
      </c>
      <c r="K46" s="338">
        <v>3.0000000000000001E-3</v>
      </c>
      <c r="L46" s="338">
        <v>0.27</v>
      </c>
      <c r="M46" s="338">
        <v>1</v>
      </c>
      <c r="N46" s="338">
        <v>-1E-3</v>
      </c>
      <c r="O46" s="338">
        <v>3.0000000000000001E-3</v>
      </c>
      <c r="P46" s="335" t="s">
        <v>1005</v>
      </c>
      <c r="Q46" s="338">
        <v>3.0000000000000001E-3</v>
      </c>
      <c r="R46" s="337" t="s">
        <v>19</v>
      </c>
    </row>
    <row r="47" spans="1:18" x14ac:dyDescent="0.25">
      <c r="A47" s="334" t="s">
        <v>1014</v>
      </c>
      <c r="B47" s="338">
        <v>46</v>
      </c>
      <c r="C47" s="338">
        <v>907</v>
      </c>
      <c r="D47" s="335" t="s">
        <v>1015</v>
      </c>
      <c r="E47" s="338">
        <v>0</v>
      </c>
      <c r="F47" s="338">
        <v>0</v>
      </c>
      <c r="G47" s="338">
        <v>1</v>
      </c>
      <c r="H47" s="339">
        <v>45722.507638888892</v>
      </c>
      <c r="I47" s="338">
        <v>0.14799999999999999</v>
      </c>
      <c r="J47" s="338">
        <v>245.69</v>
      </c>
      <c r="K47" s="338">
        <v>0.152</v>
      </c>
      <c r="L47" s="338">
        <v>62.07</v>
      </c>
      <c r="M47" s="338">
        <v>1</v>
      </c>
      <c r="N47" s="338">
        <v>0.14799999999999999</v>
      </c>
      <c r="O47" s="338">
        <v>0.152</v>
      </c>
      <c r="P47" s="338">
        <v>0.14799999999999999</v>
      </c>
      <c r="Q47" s="338">
        <v>0.152</v>
      </c>
      <c r="R47" s="337" t="s">
        <v>19</v>
      </c>
    </row>
    <row r="48" spans="1:18" x14ac:dyDescent="0.25">
      <c r="A48" s="334" t="s">
        <v>1016</v>
      </c>
      <c r="B48" s="338">
        <v>47</v>
      </c>
      <c r="C48" s="338">
        <v>908</v>
      </c>
      <c r="D48" s="335" t="s">
        <v>1017</v>
      </c>
      <c r="E48" s="338">
        <v>0</v>
      </c>
      <c r="F48" s="338">
        <v>0</v>
      </c>
      <c r="G48" s="338">
        <v>0</v>
      </c>
      <c r="H48" s="339">
        <v>45722.508449074077</v>
      </c>
      <c r="I48" s="338">
        <v>0.15</v>
      </c>
      <c r="J48" s="338">
        <v>248.26</v>
      </c>
      <c r="K48" s="338">
        <v>3.3000000000000002E-2</v>
      </c>
      <c r="L48" s="338">
        <v>12.65</v>
      </c>
      <c r="M48" s="338">
        <v>1</v>
      </c>
      <c r="N48" s="338">
        <v>0.15</v>
      </c>
      <c r="O48" s="338">
        <v>3.3000000000000002E-2</v>
      </c>
      <c r="P48" s="338">
        <v>0.15</v>
      </c>
      <c r="Q48" s="338">
        <v>3.3000000000000002E-2</v>
      </c>
      <c r="R48" s="337" t="s">
        <v>19</v>
      </c>
    </row>
    <row r="49" spans="1:18" x14ac:dyDescent="0.25">
      <c r="A49" s="334" t="s">
        <v>1006</v>
      </c>
      <c r="B49" s="338">
        <v>48</v>
      </c>
      <c r="C49" s="338">
        <v>0</v>
      </c>
      <c r="D49" s="335" t="s">
        <v>1007</v>
      </c>
      <c r="E49" s="338">
        <v>0</v>
      </c>
      <c r="F49" s="338">
        <v>0</v>
      </c>
      <c r="G49" s="338">
        <v>0</v>
      </c>
      <c r="H49" s="339">
        <v>45722.509259259263</v>
      </c>
      <c r="I49" s="338">
        <v>-4.0000000000000001E-3</v>
      </c>
      <c r="J49" s="338">
        <v>0</v>
      </c>
      <c r="K49" s="338">
        <v>2E-3</v>
      </c>
      <c r="L49" s="338">
        <v>0</v>
      </c>
      <c r="M49" s="338">
        <v>1</v>
      </c>
      <c r="N49" s="338">
        <v>-4.0000000000000001E-3</v>
      </c>
      <c r="O49" s="338">
        <v>2E-3</v>
      </c>
      <c r="P49" s="335" t="s">
        <v>1005</v>
      </c>
      <c r="Q49" s="335" t="s">
        <v>1008</v>
      </c>
      <c r="R49" s="337" t="s">
        <v>19</v>
      </c>
    </row>
    <row r="50" spans="1:18" x14ac:dyDescent="0.25">
      <c r="A50" s="334" t="s">
        <v>1002</v>
      </c>
      <c r="B50" s="338">
        <v>49</v>
      </c>
      <c r="C50" s="338">
        <v>921</v>
      </c>
      <c r="D50" s="335" t="s">
        <v>1003</v>
      </c>
      <c r="E50" s="338">
        <v>0</v>
      </c>
      <c r="F50" s="338">
        <v>0</v>
      </c>
      <c r="G50" s="338">
        <v>0</v>
      </c>
      <c r="H50" s="339">
        <v>45722.511689814812</v>
      </c>
      <c r="I50" s="338">
        <v>0.19900000000000001</v>
      </c>
      <c r="J50" s="338">
        <v>327.64</v>
      </c>
      <c r="K50" s="338">
        <v>0.20399999999999999</v>
      </c>
      <c r="L50" s="338">
        <v>83.41</v>
      </c>
      <c r="M50" s="338">
        <v>1</v>
      </c>
      <c r="N50" s="338">
        <v>0.19900000000000001</v>
      </c>
      <c r="O50" s="338">
        <v>0.20399999999999999</v>
      </c>
      <c r="P50" s="338">
        <v>0.19900000000000001</v>
      </c>
      <c r="Q50" s="338">
        <v>0.20399999999999999</v>
      </c>
      <c r="R50" s="337" t="s">
        <v>19</v>
      </c>
    </row>
    <row r="51" spans="1:18" x14ac:dyDescent="0.25">
      <c r="A51" s="334" t="s">
        <v>1020</v>
      </c>
      <c r="B51" s="338">
        <v>50</v>
      </c>
      <c r="C51" s="338">
        <v>0</v>
      </c>
      <c r="D51" s="335" t="s">
        <v>1021</v>
      </c>
      <c r="E51" s="338">
        <v>0</v>
      </c>
      <c r="F51" s="338">
        <v>0</v>
      </c>
      <c r="G51" s="338">
        <v>0</v>
      </c>
      <c r="H51" s="339">
        <v>45722.512499999997</v>
      </c>
      <c r="I51" s="338">
        <v>-4.0000000000000001E-3</v>
      </c>
      <c r="J51" s="338">
        <v>0</v>
      </c>
      <c r="K51" s="338">
        <v>2E-3</v>
      </c>
      <c r="L51" s="338">
        <v>0</v>
      </c>
      <c r="M51" s="338">
        <v>1</v>
      </c>
      <c r="N51" s="338">
        <v>-4.0000000000000001E-3</v>
      </c>
      <c r="O51" s="338">
        <v>2E-3</v>
      </c>
      <c r="P51" s="335" t="s">
        <v>1005</v>
      </c>
      <c r="Q51" s="335" t="s">
        <v>1008</v>
      </c>
      <c r="R51" s="337" t="s">
        <v>19</v>
      </c>
    </row>
    <row r="52" spans="1:18" x14ac:dyDescent="0.25">
      <c r="A52" s="334" t="s">
        <v>1000</v>
      </c>
      <c r="B52" s="338">
        <v>1</v>
      </c>
      <c r="C52" s="338">
        <v>921</v>
      </c>
      <c r="D52" s="335" t="s">
        <v>1001</v>
      </c>
      <c r="E52" s="338">
        <v>0</v>
      </c>
      <c r="F52" s="338">
        <v>0</v>
      </c>
      <c r="G52" s="338">
        <v>0</v>
      </c>
      <c r="H52" s="339">
        <v>45724.766770833332</v>
      </c>
      <c r="I52" s="338">
        <v>0.19700000000000001</v>
      </c>
      <c r="J52" s="338">
        <v>345.93</v>
      </c>
      <c r="K52" s="338">
        <v>0.20100000000000001</v>
      </c>
      <c r="L52" s="338">
        <v>82.36</v>
      </c>
      <c r="M52" s="338">
        <v>1</v>
      </c>
      <c r="N52" s="338">
        <v>0.19700000000000001</v>
      </c>
      <c r="O52" s="338">
        <v>0.20100000000000001</v>
      </c>
      <c r="P52" s="338">
        <v>0.19700000000000001</v>
      </c>
      <c r="Q52" s="338">
        <v>0.20100000000000001</v>
      </c>
      <c r="R52" s="337" t="s">
        <v>19</v>
      </c>
    </row>
    <row r="53" spans="1:18" x14ac:dyDescent="0.25">
      <c r="A53" s="334" t="s">
        <v>1002</v>
      </c>
      <c r="B53" s="338">
        <v>2</v>
      </c>
      <c r="C53" s="338">
        <v>921</v>
      </c>
      <c r="D53" s="335" t="s">
        <v>1003</v>
      </c>
      <c r="E53" s="338">
        <v>0</v>
      </c>
      <c r="F53" s="338">
        <v>0</v>
      </c>
      <c r="G53" s="338">
        <v>0</v>
      </c>
      <c r="H53" s="339">
        <v>45724.767581018517</v>
      </c>
      <c r="I53" s="338">
        <v>0.19800000000000001</v>
      </c>
      <c r="J53" s="338">
        <v>347.52</v>
      </c>
      <c r="K53" s="338">
        <v>0.20200000000000001</v>
      </c>
      <c r="L53" s="338">
        <v>82.88</v>
      </c>
      <c r="M53" s="338">
        <v>1</v>
      </c>
      <c r="N53" s="338">
        <v>0.19800000000000001</v>
      </c>
      <c r="O53" s="338">
        <v>0.20200000000000001</v>
      </c>
      <c r="P53" s="338">
        <v>0.19800000000000001</v>
      </c>
      <c r="Q53" s="338">
        <v>0.20200000000000001</v>
      </c>
      <c r="R53" s="337" t="s">
        <v>19</v>
      </c>
    </row>
    <row r="54" spans="1:18" x14ac:dyDescent="0.25">
      <c r="A54" s="334" t="s">
        <v>24</v>
      </c>
      <c r="B54" s="338">
        <v>3</v>
      </c>
      <c r="C54" s="338">
        <v>906</v>
      </c>
      <c r="D54" s="335" t="s">
        <v>1004</v>
      </c>
      <c r="E54" s="338">
        <v>0</v>
      </c>
      <c r="F54" s="338">
        <v>0</v>
      </c>
      <c r="G54" s="338">
        <v>0</v>
      </c>
      <c r="H54" s="339">
        <v>45724.768391203703</v>
      </c>
      <c r="I54" s="338">
        <v>2E-3</v>
      </c>
      <c r="J54" s="338">
        <v>11.1</v>
      </c>
      <c r="K54" s="338">
        <v>6.0000000000000001E-3</v>
      </c>
      <c r="L54" s="338">
        <v>1.08</v>
      </c>
      <c r="M54" s="338">
        <v>1</v>
      </c>
      <c r="N54" s="338">
        <v>2E-3</v>
      </c>
      <c r="O54" s="338">
        <v>6.0000000000000001E-3</v>
      </c>
      <c r="P54" s="338">
        <v>2E-3</v>
      </c>
      <c r="Q54" s="338">
        <v>6.0000000000000001E-3</v>
      </c>
      <c r="R54" s="337" t="s">
        <v>19</v>
      </c>
    </row>
    <row r="55" spans="1:18" x14ac:dyDescent="0.25">
      <c r="A55" s="334" t="s">
        <v>1006</v>
      </c>
      <c r="B55" s="338">
        <v>4</v>
      </c>
      <c r="C55" s="338">
        <v>0</v>
      </c>
      <c r="D55" s="335" t="s">
        <v>1007</v>
      </c>
      <c r="E55" s="338">
        <v>0</v>
      </c>
      <c r="F55" s="338">
        <v>0</v>
      </c>
      <c r="G55" s="338">
        <v>0</v>
      </c>
      <c r="H55" s="339">
        <v>45724.769201388888</v>
      </c>
      <c r="I55" s="338">
        <v>-4.0000000000000001E-3</v>
      </c>
      <c r="J55" s="338">
        <v>0</v>
      </c>
      <c r="K55" s="338">
        <v>3.0000000000000001E-3</v>
      </c>
      <c r="L55" s="338">
        <v>0</v>
      </c>
      <c r="M55" s="338">
        <v>1</v>
      </c>
      <c r="N55" s="338">
        <v>-4.0000000000000001E-3</v>
      </c>
      <c r="O55" s="338">
        <v>3.0000000000000001E-3</v>
      </c>
      <c r="P55" s="335" t="s">
        <v>1022</v>
      </c>
      <c r="Q55" s="335" t="s">
        <v>1023</v>
      </c>
      <c r="R55" s="337" t="s">
        <v>19</v>
      </c>
    </row>
    <row r="56" spans="1:18" x14ac:dyDescent="0.25">
      <c r="A56" s="334" t="s">
        <v>1009</v>
      </c>
      <c r="B56" s="338">
        <v>5</v>
      </c>
      <c r="C56" s="338">
        <v>921</v>
      </c>
      <c r="D56" s="335" t="s">
        <v>1010</v>
      </c>
      <c r="E56" s="338">
        <v>0</v>
      </c>
      <c r="F56" s="338">
        <v>1</v>
      </c>
      <c r="G56" s="338">
        <v>1</v>
      </c>
      <c r="H56" s="339">
        <v>45724.771631944444</v>
      </c>
      <c r="I56" s="338">
        <v>0.19800000000000001</v>
      </c>
      <c r="J56" s="338">
        <v>346</v>
      </c>
      <c r="K56" s="338">
        <v>0.20100000000000001</v>
      </c>
      <c r="L56" s="338">
        <v>82.55</v>
      </c>
      <c r="M56" s="338">
        <v>1</v>
      </c>
      <c r="N56" s="338">
        <v>0.19800000000000001</v>
      </c>
      <c r="O56" s="338">
        <v>0.20100000000000001</v>
      </c>
      <c r="P56" s="338">
        <v>0.19800000000000001</v>
      </c>
      <c r="Q56" s="338">
        <v>0.20100000000000001</v>
      </c>
      <c r="R56" s="337" t="s">
        <v>19</v>
      </c>
    </row>
    <row r="57" spans="1:18" x14ac:dyDescent="0.25">
      <c r="A57" s="334" t="s">
        <v>1011</v>
      </c>
      <c r="B57" s="338">
        <v>6</v>
      </c>
      <c r="C57" s="338">
        <v>905</v>
      </c>
      <c r="D57" s="335" t="s">
        <v>1012</v>
      </c>
      <c r="E57" s="338">
        <v>0</v>
      </c>
      <c r="F57" s="338">
        <v>1</v>
      </c>
      <c r="G57" s="338">
        <v>2</v>
      </c>
      <c r="H57" s="339">
        <v>45724.77244212963</v>
      </c>
      <c r="I57" s="338">
        <v>4.0000000000000001E-3</v>
      </c>
      <c r="J57" s="338">
        <v>14.63</v>
      </c>
      <c r="K57" s="338">
        <v>8.9999999999999993E-3</v>
      </c>
      <c r="L57" s="338">
        <v>2.36</v>
      </c>
      <c r="M57" s="338">
        <v>1</v>
      </c>
      <c r="N57" s="338">
        <v>4.0000000000000001E-3</v>
      </c>
      <c r="O57" s="338">
        <v>8.9999999999999993E-3</v>
      </c>
      <c r="P57" s="338">
        <v>4.0000000000000001E-3</v>
      </c>
      <c r="Q57" s="338">
        <v>8.9999999999999993E-3</v>
      </c>
      <c r="R57" s="337" t="s">
        <v>19</v>
      </c>
    </row>
    <row r="58" spans="1:18" x14ac:dyDescent="0.25">
      <c r="A58" s="334" t="s">
        <v>1011</v>
      </c>
      <c r="B58" s="338">
        <v>7</v>
      </c>
      <c r="C58" s="338">
        <v>905</v>
      </c>
      <c r="D58" s="335" t="s">
        <v>1012</v>
      </c>
      <c r="E58" s="338">
        <v>0</v>
      </c>
      <c r="F58" s="338">
        <v>1</v>
      </c>
      <c r="G58" s="338">
        <v>3</v>
      </c>
      <c r="H58" s="339">
        <v>45724.773252314815</v>
      </c>
      <c r="I58" s="338">
        <v>4.0000000000000001E-3</v>
      </c>
      <c r="J58" s="338">
        <v>14.64</v>
      </c>
      <c r="K58" s="338">
        <v>8.9999999999999993E-3</v>
      </c>
      <c r="L58" s="338">
        <v>2.37</v>
      </c>
      <c r="M58" s="338">
        <v>1</v>
      </c>
      <c r="N58" s="338">
        <v>4.0000000000000001E-3</v>
      </c>
      <c r="O58" s="338">
        <v>8.9999999999999993E-3</v>
      </c>
      <c r="P58" s="338">
        <v>4.0000000000000001E-3</v>
      </c>
      <c r="Q58" s="338">
        <v>8.9999999999999993E-3</v>
      </c>
      <c r="R58" s="337" t="s">
        <v>19</v>
      </c>
    </row>
    <row r="59" spans="1:18" x14ac:dyDescent="0.25">
      <c r="A59" s="334" t="s">
        <v>24</v>
      </c>
      <c r="B59" s="338">
        <v>8</v>
      </c>
      <c r="C59" s="338">
        <v>906</v>
      </c>
      <c r="D59" s="335" t="s">
        <v>1013</v>
      </c>
      <c r="E59" s="338">
        <v>0</v>
      </c>
      <c r="F59" s="338">
        <v>0</v>
      </c>
      <c r="G59" s="338">
        <v>0</v>
      </c>
      <c r="H59" s="339">
        <v>45724.774062500001</v>
      </c>
      <c r="I59" s="338">
        <v>2E-3</v>
      </c>
      <c r="J59" s="338">
        <v>10.91</v>
      </c>
      <c r="K59" s="338">
        <v>5.0000000000000001E-3</v>
      </c>
      <c r="L59" s="338">
        <v>0.85</v>
      </c>
      <c r="M59" s="338">
        <v>1</v>
      </c>
      <c r="N59" s="338">
        <v>2E-3</v>
      </c>
      <c r="O59" s="338">
        <v>5.0000000000000001E-3</v>
      </c>
      <c r="P59" s="338">
        <v>2E-3</v>
      </c>
      <c r="Q59" s="335" t="s">
        <v>1023</v>
      </c>
      <c r="R59" s="337" t="s">
        <v>19</v>
      </c>
    </row>
    <row r="60" spans="1:18" x14ac:dyDescent="0.25">
      <c r="A60" s="334" t="s">
        <v>1014</v>
      </c>
      <c r="B60" s="338">
        <v>9</v>
      </c>
      <c r="C60" s="338">
        <v>907</v>
      </c>
      <c r="D60" s="335" t="s">
        <v>1015</v>
      </c>
      <c r="E60" s="338">
        <v>0</v>
      </c>
      <c r="F60" s="338">
        <v>0</v>
      </c>
      <c r="G60" s="338">
        <v>1</v>
      </c>
      <c r="H60" s="339">
        <v>45724.774872685186</v>
      </c>
      <c r="I60" s="338">
        <v>0.14899999999999999</v>
      </c>
      <c r="J60" s="338">
        <v>262.02</v>
      </c>
      <c r="K60" s="338">
        <v>0.15</v>
      </c>
      <c r="L60" s="338">
        <v>60.98</v>
      </c>
      <c r="M60" s="338">
        <v>1</v>
      </c>
      <c r="N60" s="338">
        <v>0.14899999999999999</v>
      </c>
      <c r="O60" s="338">
        <v>0.15</v>
      </c>
      <c r="P60" s="338">
        <v>0.14899999999999999</v>
      </c>
      <c r="Q60" s="338">
        <v>0.15</v>
      </c>
      <c r="R60" s="337" t="s">
        <v>19</v>
      </c>
    </row>
    <row r="61" spans="1:18" x14ac:dyDescent="0.25">
      <c r="A61" s="334" t="s">
        <v>1016</v>
      </c>
      <c r="B61" s="338">
        <v>10</v>
      </c>
      <c r="C61" s="338">
        <v>908</v>
      </c>
      <c r="D61" s="335" t="s">
        <v>1017</v>
      </c>
      <c r="E61" s="338">
        <v>0</v>
      </c>
      <c r="F61" s="338">
        <v>0</v>
      </c>
      <c r="G61" s="338">
        <v>0</v>
      </c>
      <c r="H61" s="339">
        <v>45724.775682870371</v>
      </c>
      <c r="I61" s="338">
        <v>0.14899999999999999</v>
      </c>
      <c r="J61" s="338">
        <v>262.77</v>
      </c>
      <c r="K61" s="338">
        <v>3.4000000000000002E-2</v>
      </c>
      <c r="L61" s="338">
        <v>13.12</v>
      </c>
      <c r="M61" s="338">
        <v>1</v>
      </c>
      <c r="N61" s="338">
        <v>0.14899999999999999</v>
      </c>
      <c r="O61" s="338">
        <v>3.4000000000000002E-2</v>
      </c>
      <c r="P61" s="338">
        <v>0.14899999999999999</v>
      </c>
      <c r="Q61" s="338">
        <v>3.4000000000000002E-2</v>
      </c>
      <c r="R61" s="337" t="s">
        <v>19</v>
      </c>
    </row>
    <row r="62" spans="1:18" x14ac:dyDescent="0.25">
      <c r="A62" s="334" t="s">
        <v>1006</v>
      </c>
      <c r="B62" s="338">
        <v>11</v>
      </c>
      <c r="C62" s="338">
        <v>0</v>
      </c>
      <c r="D62" s="335" t="s">
        <v>1007</v>
      </c>
      <c r="E62" s="338">
        <v>0</v>
      </c>
      <c r="F62" s="338">
        <v>0</v>
      </c>
      <c r="G62" s="338">
        <v>0</v>
      </c>
      <c r="H62" s="339">
        <v>45724.776493055557</v>
      </c>
      <c r="I62" s="338">
        <v>-4.0000000000000001E-3</v>
      </c>
      <c r="J62" s="338">
        <v>0</v>
      </c>
      <c r="K62" s="338">
        <v>3.0000000000000001E-3</v>
      </c>
      <c r="L62" s="338">
        <v>0</v>
      </c>
      <c r="M62" s="338">
        <v>1</v>
      </c>
      <c r="N62" s="338">
        <v>-4.0000000000000001E-3</v>
      </c>
      <c r="O62" s="338">
        <v>3.0000000000000001E-3</v>
      </c>
      <c r="P62" s="335" t="s">
        <v>1022</v>
      </c>
      <c r="Q62" s="335" t="s">
        <v>1023</v>
      </c>
      <c r="R62" s="337" t="s">
        <v>19</v>
      </c>
    </row>
    <row r="63" spans="1:18" x14ac:dyDescent="0.25">
      <c r="A63" s="340">
        <v>126</v>
      </c>
      <c r="B63" s="338">
        <v>12</v>
      </c>
      <c r="C63" s="338">
        <v>1</v>
      </c>
      <c r="D63" s="335" t="s">
        <v>1013</v>
      </c>
      <c r="E63" s="338">
        <v>0</v>
      </c>
      <c r="F63" s="338">
        <v>0</v>
      </c>
      <c r="G63" s="338">
        <v>0</v>
      </c>
      <c r="H63" s="339">
        <v>45724.778923611113</v>
      </c>
      <c r="I63" s="338">
        <v>2E-3</v>
      </c>
      <c r="J63" s="338">
        <v>10.63</v>
      </c>
      <c r="K63" s="338">
        <v>8.0000000000000002E-3</v>
      </c>
      <c r="L63" s="338">
        <v>2.2799999999999998</v>
      </c>
      <c r="M63" s="338">
        <v>1</v>
      </c>
      <c r="N63" s="338">
        <v>2E-3</v>
      </c>
      <c r="O63" s="338">
        <v>8.0000000000000002E-3</v>
      </c>
      <c r="P63" s="338">
        <v>2E-3</v>
      </c>
      <c r="Q63" s="338">
        <v>8.0000000000000002E-3</v>
      </c>
      <c r="R63" s="337" t="s">
        <v>19</v>
      </c>
    </row>
    <row r="64" spans="1:18" x14ac:dyDescent="0.25">
      <c r="A64" s="340">
        <v>516</v>
      </c>
      <c r="B64" s="338">
        <v>13</v>
      </c>
      <c r="C64" s="338">
        <v>2</v>
      </c>
      <c r="D64" s="335" t="s">
        <v>1013</v>
      </c>
      <c r="E64" s="338">
        <v>0</v>
      </c>
      <c r="F64" s="338">
        <v>0</v>
      </c>
      <c r="G64" s="338">
        <v>0</v>
      </c>
      <c r="H64" s="339">
        <v>45724.779733796298</v>
      </c>
      <c r="I64" s="338">
        <v>2E-3</v>
      </c>
      <c r="J64" s="338">
        <v>10.82</v>
      </c>
      <c r="K64" s="338">
        <v>6.0000000000000001E-3</v>
      </c>
      <c r="L64" s="338">
        <v>1.39</v>
      </c>
      <c r="M64" s="338">
        <v>1</v>
      </c>
      <c r="N64" s="338">
        <v>2E-3</v>
      </c>
      <c r="O64" s="338">
        <v>6.0000000000000001E-3</v>
      </c>
      <c r="P64" s="338">
        <v>2E-3</v>
      </c>
      <c r="Q64" s="338">
        <v>6.0000000000000001E-3</v>
      </c>
      <c r="R64" s="337" t="s">
        <v>19</v>
      </c>
    </row>
    <row r="65" spans="1:18" x14ac:dyDescent="0.25">
      <c r="A65" s="340">
        <v>334</v>
      </c>
      <c r="B65" s="338">
        <v>14</v>
      </c>
      <c r="C65" s="338">
        <v>3</v>
      </c>
      <c r="D65" s="335" t="s">
        <v>1013</v>
      </c>
      <c r="E65" s="338">
        <v>0</v>
      </c>
      <c r="F65" s="338">
        <v>0</v>
      </c>
      <c r="G65" s="338">
        <v>0</v>
      </c>
      <c r="H65" s="339">
        <v>45724.780543981484</v>
      </c>
      <c r="I65" s="338">
        <v>1E-3</v>
      </c>
      <c r="J65" s="338">
        <v>9.2100000000000009</v>
      </c>
      <c r="K65" s="338">
        <v>8.9999999999999993E-3</v>
      </c>
      <c r="L65" s="338">
        <v>2.65</v>
      </c>
      <c r="M65" s="338">
        <v>1</v>
      </c>
      <c r="N65" s="338">
        <v>1E-3</v>
      </c>
      <c r="O65" s="338">
        <v>8.9999999999999993E-3</v>
      </c>
      <c r="P65" s="335" t="s">
        <v>1022</v>
      </c>
      <c r="Q65" s="338">
        <v>8.9999999999999993E-3</v>
      </c>
      <c r="R65" s="337" t="s">
        <v>19</v>
      </c>
    </row>
    <row r="66" spans="1:18" x14ac:dyDescent="0.25">
      <c r="A66" s="340">
        <v>178</v>
      </c>
      <c r="B66" s="338">
        <v>15</v>
      </c>
      <c r="C66" s="338">
        <v>4</v>
      </c>
      <c r="D66" s="335" t="s">
        <v>1013</v>
      </c>
      <c r="E66" s="338">
        <v>0</v>
      </c>
      <c r="F66" s="338">
        <v>0</v>
      </c>
      <c r="G66" s="338">
        <v>0</v>
      </c>
      <c r="H66" s="339">
        <v>45724.781354166669</v>
      </c>
      <c r="I66" s="338">
        <v>-2E-3</v>
      </c>
      <c r="J66" s="338">
        <v>3.05</v>
      </c>
      <c r="K66" s="338">
        <v>7.0000000000000001E-3</v>
      </c>
      <c r="L66" s="338">
        <v>1.67</v>
      </c>
      <c r="M66" s="338">
        <v>1</v>
      </c>
      <c r="N66" s="338">
        <v>-2E-3</v>
      </c>
      <c r="O66" s="338">
        <v>7.0000000000000001E-3</v>
      </c>
      <c r="P66" s="335" t="s">
        <v>1022</v>
      </c>
      <c r="Q66" s="338">
        <v>7.0000000000000001E-3</v>
      </c>
      <c r="R66" s="337" t="s">
        <v>610</v>
      </c>
    </row>
    <row r="67" spans="1:18" x14ac:dyDescent="0.25">
      <c r="A67" s="340">
        <v>399</v>
      </c>
      <c r="B67" s="338">
        <v>16</v>
      </c>
      <c r="C67" s="338">
        <v>5</v>
      </c>
      <c r="D67" s="335" t="s">
        <v>1013</v>
      </c>
      <c r="E67" s="338">
        <v>0</v>
      </c>
      <c r="F67" s="338">
        <v>0</v>
      </c>
      <c r="G67" s="338">
        <v>0</v>
      </c>
      <c r="H67" s="339">
        <v>45724.782164351855</v>
      </c>
      <c r="I67" s="338">
        <v>5.0000000000000001E-3</v>
      </c>
      <c r="J67" s="338">
        <v>15.39</v>
      </c>
      <c r="K67" s="338">
        <v>6.0000000000000001E-3</v>
      </c>
      <c r="L67" s="338">
        <v>1.39</v>
      </c>
      <c r="M67" s="338">
        <v>1</v>
      </c>
      <c r="N67" s="338">
        <v>5.0000000000000001E-3</v>
      </c>
      <c r="O67" s="338">
        <v>6.0000000000000001E-3</v>
      </c>
      <c r="P67" s="338">
        <v>5.0000000000000001E-3</v>
      </c>
      <c r="Q67" s="338">
        <v>6.0000000000000001E-3</v>
      </c>
      <c r="R67" s="337" t="s">
        <v>19</v>
      </c>
    </row>
    <row r="68" spans="1:18" x14ac:dyDescent="0.25">
      <c r="A68" s="340">
        <v>555</v>
      </c>
      <c r="B68" s="338">
        <v>17</v>
      </c>
      <c r="C68" s="338">
        <v>6</v>
      </c>
      <c r="D68" s="335" t="s">
        <v>1013</v>
      </c>
      <c r="E68" s="338">
        <v>0</v>
      </c>
      <c r="F68" s="338">
        <v>0</v>
      </c>
      <c r="G68" s="338">
        <v>0</v>
      </c>
      <c r="H68" s="339">
        <v>45724.78297453704</v>
      </c>
      <c r="I68" s="338">
        <v>2E-3</v>
      </c>
      <c r="J68" s="338">
        <v>11.02</v>
      </c>
      <c r="K68" s="338">
        <v>5.0000000000000001E-3</v>
      </c>
      <c r="L68" s="338">
        <v>0.87</v>
      </c>
      <c r="M68" s="338">
        <v>1</v>
      </c>
      <c r="N68" s="338">
        <v>2E-3</v>
      </c>
      <c r="O68" s="338">
        <v>5.0000000000000001E-3</v>
      </c>
      <c r="P68" s="338">
        <v>2E-3</v>
      </c>
      <c r="Q68" s="335" t="s">
        <v>1023</v>
      </c>
      <c r="R68" s="337" t="s">
        <v>19</v>
      </c>
    </row>
    <row r="69" spans="1:18" x14ac:dyDescent="0.25">
      <c r="A69" s="340">
        <v>256</v>
      </c>
      <c r="B69" s="338">
        <v>18</v>
      </c>
      <c r="C69" s="338">
        <v>7</v>
      </c>
      <c r="D69" s="335" t="s">
        <v>1013</v>
      </c>
      <c r="E69" s="338">
        <v>0</v>
      </c>
      <c r="F69" s="338">
        <v>0</v>
      </c>
      <c r="G69" s="338">
        <v>0</v>
      </c>
      <c r="H69" s="339">
        <v>45724.783784722225</v>
      </c>
      <c r="I69" s="338">
        <v>0</v>
      </c>
      <c r="J69" s="338">
        <v>6.32</v>
      </c>
      <c r="K69" s="338">
        <v>6.0000000000000001E-3</v>
      </c>
      <c r="L69" s="338">
        <v>1.47</v>
      </c>
      <c r="M69" s="338">
        <v>1</v>
      </c>
      <c r="N69" s="338">
        <v>0</v>
      </c>
      <c r="O69" s="338">
        <v>6.0000000000000001E-3</v>
      </c>
      <c r="P69" s="335" t="s">
        <v>1022</v>
      </c>
      <c r="Q69" s="338">
        <v>6.0000000000000001E-3</v>
      </c>
      <c r="R69" s="337" t="s">
        <v>19</v>
      </c>
    </row>
    <row r="70" spans="1:18" x14ac:dyDescent="0.25">
      <c r="A70" s="340">
        <v>464</v>
      </c>
      <c r="B70" s="338">
        <v>19</v>
      </c>
      <c r="C70" s="338">
        <v>8</v>
      </c>
      <c r="D70" s="335" t="s">
        <v>1013</v>
      </c>
      <c r="E70" s="338">
        <v>0</v>
      </c>
      <c r="F70" s="338">
        <v>0</v>
      </c>
      <c r="G70" s="338">
        <v>0</v>
      </c>
      <c r="H70" s="339">
        <v>45724.784594907411</v>
      </c>
      <c r="I70" s="338">
        <v>-1E-3</v>
      </c>
      <c r="J70" s="338">
        <v>5.84</v>
      </c>
      <c r="K70" s="338">
        <v>5.0000000000000001E-3</v>
      </c>
      <c r="L70" s="338">
        <v>0.78</v>
      </c>
      <c r="M70" s="338">
        <v>1</v>
      </c>
      <c r="N70" s="338">
        <v>-1E-3</v>
      </c>
      <c r="O70" s="338">
        <v>5.0000000000000001E-3</v>
      </c>
      <c r="P70" s="335" t="s">
        <v>1022</v>
      </c>
      <c r="Q70" s="335" t="s">
        <v>1023</v>
      </c>
      <c r="R70" s="337" t="s">
        <v>610</v>
      </c>
    </row>
    <row r="71" spans="1:18" x14ac:dyDescent="0.25">
      <c r="A71" s="340">
        <v>568</v>
      </c>
      <c r="B71" s="338">
        <v>20</v>
      </c>
      <c r="C71" s="338">
        <v>9</v>
      </c>
      <c r="D71" s="335" t="s">
        <v>1013</v>
      </c>
      <c r="E71" s="338">
        <v>0</v>
      </c>
      <c r="F71" s="338">
        <v>0</v>
      </c>
      <c r="G71" s="338">
        <v>0</v>
      </c>
      <c r="H71" s="339">
        <v>45724.785405092596</v>
      </c>
      <c r="I71" s="338">
        <v>2E-3</v>
      </c>
      <c r="J71" s="338">
        <v>11.15</v>
      </c>
      <c r="K71" s="338">
        <v>5.0000000000000001E-3</v>
      </c>
      <c r="L71" s="338">
        <v>0.67</v>
      </c>
      <c r="M71" s="338">
        <v>1</v>
      </c>
      <c r="N71" s="338">
        <v>2E-3</v>
      </c>
      <c r="O71" s="338">
        <v>5.0000000000000001E-3</v>
      </c>
      <c r="P71" s="338">
        <v>2E-3</v>
      </c>
      <c r="Q71" s="335" t="s">
        <v>1023</v>
      </c>
      <c r="R71" s="337" t="s">
        <v>19</v>
      </c>
    </row>
    <row r="72" spans="1:18" x14ac:dyDescent="0.25">
      <c r="A72" s="340">
        <v>594</v>
      </c>
      <c r="B72" s="338">
        <v>21</v>
      </c>
      <c r="C72" s="338">
        <v>10</v>
      </c>
      <c r="D72" s="335" t="s">
        <v>1013</v>
      </c>
      <c r="E72" s="338">
        <v>0</v>
      </c>
      <c r="F72" s="338">
        <v>0</v>
      </c>
      <c r="G72" s="338">
        <v>0</v>
      </c>
      <c r="H72" s="339">
        <v>45724.786215277774</v>
      </c>
      <c r="I72" s="338">
        <v>1E-3</v>
      </c>
      <c r="J72" s="338">
        <v>8.02</v>
      </c>
      <c r="K72" s="338">
        <v>1.4999999999999999E-2</v>
      </c>
      <c r="L72" s="338">
        <v>4.83</v>
      </c>
      <c r="M72" s="338">
        <v>1</v>
      </c>
      <c r="N72" s="338">
        <v>1E-3</v>
      </c>
      <c r="O72" s="338">
        <v>1.4999999999999999E-2</v>
      </c>
      <c r="P72" s="335" t="s">
        <v>1022</v>
      </c>
      <c r="Q72" s="338">
        <v>1.4999999999999999E-2</v>
      </c>
      <c r="R72" s="337" t="s">
        <v>19</v>
      </c>
    </row>
    <row r="73" spans="1:18" x14ac:dyDescent="0.25">
      <c r="A73" s="334" t="s">
        <v>1024</v>
      </c>
      <c r="B73" s="338">
        <v>22</v>
      </c>
      <c r="C73" s="338">
        <v>11</v>
      </c>
      <c r="D73" s="335" t="s">
        <v>1015</v>
      </c>
      <c r="E73" s="338">
        <v>0</v>
      </c>
      <c r="F73" s="338">
        <v>0</v>
      </c>
      <c r="G73" s="338">
        <v>1</v>
      </c>
      <c r="H73" s="339">
        <v>45724.78702546296</v>
      </c>
      <c r="I73" s="338">
        <v>0.158</v>
      </c>
      <c r="J73" s="338">
        <v>277.57</v>
      </c>
      <c r="K73" s="338">
        <v>0.16300000000000001</v>
      </c>
      <c r="L73" s="338">
        <v>66.59</v>
      </c>
      <c r="M73" s="338">
        <v>1</v>
      </c>
      <c r="N73" s="338">
        <v>0.158</v>
      </c>
      <c r="O73" s="338">
        <v>0.16300000000000001</v>
      </c>
      <c r="P73" s="338">
        <v>0.158</v>
      </c>
      <c r="Q73" s="338">
        <v>0.16300000000000001</v>
      </c>
      <c r="R73" s="337" t="s">
        <v>19</v>
      </c>
    </row>
    <row r="74" spans="1:18" x14ac:dyDescent="0.25">
      <c r="A74" s="334" t="s">
        <v>1016</v>
      </c>
      <c r="B74" s="338">
        <v>23</v>
      </c>
      <c r="C74" s="338">
        <v>908</v>
      </c>
      <c r="D74" s="335" t="s">
        <v>1017</v>
      </c>
      <c r="E74" s="338">
        <v>0</v>
      </c>
      <c r="F74" s="338">
        <v>0</v>
      </c>
      <c r="G74" s="338">
        <v>0</v>
      </c>
      <c r="H74" s="339">
        <v>45724.787835648145</v>
      </c>
      <c r="I74" s="338">
        <v>0.14899999999999999</v>
      </c>
      <c r="J74" s="338">
        <v>262.32</v>
      </c>
      <c r="K74" s="338">
        <v>3.3000000000000002E-2</v>
      </c>
      <c r="L74" s="338">
        <v>12.53</v>
      </c>
      <c r="M74" s="338">
        <v>1</v>
      </c>
      <c r="N74" s="338">
        <v>0.14899999999999999</v>
      </c>
      <c r="O74" s="338">
        <v>3.3000000000000002E-2</v>
      </c>
      <c r="P74" s="338">
        <v>0.14899999999999999</v>
      </c>
      <c r="Q74" s="338">
        <v>3.3000000000000002E-2</v>
      </c>
      <c r="R74" s="337" t="s">
        <v>19</v>
      </c>
    </row>
    <row r="75" spans="1:18" x14ac:dyDescent="0.25">
      <c r="A75" s="334" t="s">
        <v>1006</v>
      </c>
      <c r="B75" s="338">
        <v>24</v>
      </c>
      <c r="C75" s="338">
        <v>0</v>
      </c>
      <c r="D75" s="335" t="s">
        <v>1007</v>
      </c>
      <c r="E75" s="338">
        <v>0</v>
      </c>
      <c r="F75" s="338">
        <v>0</v>
      </c>
      <c r="G75" s="338">
        <v>0</v>
      </c>
      <c r="H75" s="339">
        <v>45724.788645833331</v>
      </c>
      <c r="I75" s="338">
        <v>-4.0000000000000001E-3</v>
      </c>
      <c r="J75" s="338">
        <v>0</v>
      </c>
      <c r="K75" s="338">
        <v>3.0000000000000001E-3</v>
      </c>
      <c r="L75" s="338">
        <v>0</v>
      </c>
      <c r="M75" s="338">
        <v>1</v>
      </c>
      <c r="N75" s="338">
        <v>-4.0000000000000001E-3</v>
      </c>
      <c r="O75" s="338">
        <v>3.0000000000000001E-3</v>
      </c>
      <c r="P75" s="335" t="s">
        <v>1022</v>
      </c>
      <c r="Q75" s="335" t="s">
        <v>1023</v>
      </c>
      <c r="R75" s="337" t="s">
        <v>19</v>
      </c>
    </row>
    <row r="76" spans="1:18" x14ac:dyDescent="0.25">
      <c r="A76" s="340">
        <v>438</v>
      </c>
      <c r="B76" s="338">
        <v>25</v>
      </c>
      <c r="C76" s="338">
        <v>12</v>
      </c>
      <c r="D76" s="335" t="s">
        <v>1013</v>
      </c>
      <c r="E76" s="338">
        <v>0</v>
      </c>
      <c r="F76" s="338">
        <v>0</v>
      </c>
      <c r="G76" s="338">
        <v>0</v>
      </c>
      <c r="H76" s="339">
        <v>45724.791076388887</v>
      </c>
      <c r="I76" s="338">
        <v>1E-3</v>
      </c>
      <c r="J76" s="338">
        <v>8.0399999999999991</v>
      </c>
      <c r="K76" s="338">
        <v>5.0000000000000001E-3</v>
      </c>
      <c r="L76" s="338">
        <v>0.73</v>
      </c>
      <c r="M76" s="338">
        <v>1</v>
      </c>
      <c r="N76" s="338">
        <v>1E-3</v>
      </c>
      <c r="O76" s="338">
        <v>5.0000000000000001E-3</v>
      </c>
      <c r="P76" s="335" t="s">
        <v>1022</v>
      </c>
      <c r="Q76" s="335" t="s">
        <v>1023</v>
      </c>
      <c r="R76" s="337" t="s">
        <v>19</v>
      </c>
    </row>
    <row r="77" spans="1:18" x14ac:dyDescent="0.25">
      <c r="A77" s="340">
        <v>503</v>
      </c>
      <c r="B77" s="338">
        <v>26</v>
      </c>
      <c r="C77" s="338">
        <v>13</v>
      </c>
      <c r="D77" s="335" t="s">
        <v>1013</v>
      </c>
      <c r="E77" s="338">
        <v>0</v>
      </c>
      <c r="F77" s="338">
        <v>0</v>
      </c>
      <c r="G77" s="338">
        <v>0</v>
      </c>
      <c r="H77" s="339">
        <v>45724.791886574072</v>
      </c>
      <c r="I77" s="338">
        <v>-1E-3</v>
      </c>
      <c r="J77" s="338">
        <v>6.08</v>
      </c>
      <c r="K77" s="338">
        <v>5.0000000000000001E-3</v>
      </c>
      <c r="L77" s="338">
        <v>0.86</v>
      </c>
      <c r="M77" s="338">
        <v>1</v>
      </c>
      <c r="N77" s="338">
        <v>-1E-3</v>
      </c>
      <c r="O77" s="338">
        <v>5.0000000000000001E-3</v>
      </c>
      <c r="P77" s="335" t="s">
        <v>1022</v>
      </c>
      <c r="Q77" s="335" t="s">
        <v>1023</v>
      </c>
      <c r="R77" s="337" t="s">
        <v>610</v>
      </c>
    </row>
    <row r="78" spans="1:18" x14ac:dyDescent="0.25">
      <c r="A78" s="340">
        <v>412</v>
      </c>
      <c r="B78" s="338">
        <v>27</v>
      </c>
      <c r="C78" s="338">
        <v>14</v>
      </c>
      <c r="D78" s="335" t="s">
        <v>1013</v>
      </c>
      <c r="E78" s="338">
        <v>0</v>
      </c>
      <c r="F78" s="338">
        <v>0</v>
      </c>
      <c r="G78" s="338">
        <v>0</v>
      </c>
      <c r="H78" s="339">
        <v>45724.792696759258</v>
      </c>
      <c r="I78" s="338">
        <v>3.0000000000000001E-3</v>
      </c>
      <c r="J78" s="338">
        <v>11.76</v>
      </c>
      <c r="K78" s="338">
        <v>0.01</v>
      </c>
      <c r="L78" s="338">
        <v>2.96</v>
      </c>
      <c r="M78" s="338">
        <v>1</v>
      </c>
      <c r="N78" s="338">
        <v>3.0000000000000001E-3</v>
      </c>
      <c r="O78" s="338">
        <v>0.01</v>
      </c>
      <c r="P78" s="338">
        <v>3.0000000000000001E-3</v>
      </c>
      <c r="Q78" s="338">
        <v>0.01</v>
      </c>
      <c r="R78" s="337" t="s">
        <v>19</v>
      </c>
    </row>
    <row r="79" spans="1:18" x14ac:dyDescent="0.25">
      <c r="A79" s="340">
        <v>165</v>
      </c>
      <c r="B79" s="338">
        <v>28</v>
      </c>
      <c r="C79" s="338">
        <v>15</v>
      </c>
      <c r="D79" s="335" t="s">
        <v>1013</v>
      </c>
      <c r="E79" s="338">
        <v>0</v>
      </c>
      <c r="F79" s="338">
        <v>0</v>
      </c>
      <c r="G79" s="338">
        <v>0</v>
      </c>
      <c r="H79" s="339">
        <v>45724.793506944443</v>
      </c>
      <c r="I79" s="338">
        <v>3.0000000000000001E-3</v>
      </c>
      <c r="J79" s="338">
        <v>12.33</v>
      </c>
      <c r="K79" s="338">
        <v>4.0000000000000001E-3</v>
      </c>
      <c r="L79" s="338">
        <v>0.45</v>
      </c>
      <c r="M79" s="338">
        <v>1</v>
      </c>
      <c r="N79" s="338">
        <v>3.0000000000000001E-3</v>
      </c>
      <c r="O79" s="338">
        <v>4.0000000000000001E-3</v>
      </c>
      <c r="P79" s="338">
        <v>3.0000000000000001E-3</v>
      </c>
      <c r="Q79" s="335" t="s">
        <v>1023</v>
      </c>
      <c r="R79" s="337" t="s">
        <v>19</v>
      </c>
    </row>
    <row r="80" spans="1:18" x14ac:dyDescent="0.25">
      <c r="A80" s="340">
        <v>581</v>
      </c>
      <c r="B80" s="338">
        <v>29</v>
      </c>
      <c r="C80" s="338">
        <v>16</v>
      </c>
      <c r="D80" s="335" t="s">
        <v>1013</v>
      </c>
      <c r="E80" s="338">
        <v>0</v>
      </c>
      <c r="F80" s="338">
        <v>0</v>
      </c>
      <c r="G80" s="338">
        <v>0</v>
      </c>
      <c r="H80" s="339">
        <v>45724.794317129628</v>
      </c>
      <c r="I80" s="338">
        <v>3.0000000000000001E-3</v>
      </c>
      <c r="J80" s="338">
        <v>11.93</v>
      </c>
      <c r="K80" s="338">
        <v>5.0000000000000001E-3</v>
      </c>
      <c r="L80" s="338">
        <v>0.74</v>
      </c>
      <c r="M80" s="338">
        <v>1</v>
      </c>
      <c r="N80" s="338">
        <v>3.0000000000000001E-3</v>
      </c>
      <c r="O80" s="338">
        <v>5.0000000000000001E-3</v>
      </c>
      <c r="P80" s="338">
        <v>3.0000000000000001E-3</v>
      </c>
      <c r="Q80" s="335" t="s">
        <v>1023</v>
      </c>
      <c r="R80" s="337" t="s">
        <v>19</v>
      </c>
    </row>
    <row r="81" spans="1:18" x14ac:dyDescent="0.25">
      <c r="A81" s="340">
        <v>191</v>
      </c>
      <c r="B81" s="338">
        <v>30</v>
      </c>
      <c r="C81" s="338">
        <v>17</v>
      </c>
      <c r="D81" s="335" t="s">
        <v>1013</v>
      </c>
      <c r="E81" s="338">
        <v>0</v>
      </c>
      <c r="F81" s="338">
        <v>0</v>
      </c>
      <c r="G81" s="338">
        <v>0</v>
      </c>
      <c r="H81" s="339">
        <v>45724.795127314814</v>
      </c>
      <c r="I81" s="338">
        <v>3.0000000000000001E-3</v>
      </c>
      <c r="J81" s="338">
        <v>12.11</v>
      </c>
      <c r="K81" s="338">
        <v>6.0000000000000001E-3</v>
      </c>
      <c r="L81" s="338">
        <v>1.19</v>
      </c>
      <c r="M81" s="338">
        <v>1</v>
      </c>
      <c r="N81" s="338">
        <v>3.0000000000000001E-3</v>
      </c>
      <c r="O81" s="338">
        <v>6.0000000000000001E-3</v>
      </c>
      <c r="P81" s="338">
        <v>3.0000000000000001E-3</v>
      </c>
      <c r="Q81" s="338">
        <v>6.0000000000000001E-3</v>
      </c>
      <c r="R81" s="337" t="s">
        <v>19</v>
      </c>
    </row>
    <row r="82" spans="1:18" x14ac:dyDescent="0.25">
      <c r="A82" s="340">
        <v>321</v>
      </c>
      <c r="B82" s="338">
        <v>31</v>
      </c>
      <c r="C82" s="338">
        <v>18</v>
      </c>
      <c r="D82" s="335" t="s">
        <v>1013</v>
      </c>
      <c r="E82" s="338">
        <v>0</v>
      </c>
      <c r="F82" s="338">
        <v>0</v>
      </c>
      <c r="G82" s="338">
        <v>0</v>
      </c>
      <c r="H82" s="339">
        <v>45724.795937499999</v>
      </c>
      <c r="I82" s="338">
        <v>0</v>
      </c>
      <c r="J82" s="338">
        <v>6.54</v>
      </c>
      <c r="K82" s="338">
        <v>5.0000000000000001E-3</v>
      </c>
      <c r="L82" s="338">
        <v>1.07</v>
      </c>
      <c r="M82" s="338">
        <v>1</v>
      </c>
      <c r="N82" s="338">
        <v>0</v>
      </c>
      <c r="O82" s="338">
        <v>5.0000000000000001E-3</v>
      </c>
      <c r="P82" s="335" t="s">
        <v>1022</v>
      </c>
      <c r="Q82" s="335" t="s">
        <v>1023</v>
      </c>
      <c r="R82" s="337" t="s">
        <v>19</v>
      </c>
    </row>
    <row r="83" spans="1:18" x14ac:dyDescent="0.25">
      <c r="A83" s="334" t="s">
        <v>1025</v>
      </c>
      <c r="B83" s="338">
        <v>32</v>
      </c>
      <c r="C83" s="338">
        <v>19</v>
      </c>
      <c r="D83" s="335" t="s">
        <v>1015</v>
      </c>
      <c r="E83" s="338">
        <v>0</v>
      </c>
      <c r="F83" s="338">
        <v>0</v>
      </c>
      <c r="G83" s="338">
        <v>1</v>
      </c>
      <c r="H83" s="339">
        <v>45724.796747685185</v>
      </c>
      <c r="I83" s="338">
        <v>0.14899999999999999</v>
      </c>
      <c r="J83" s="338">
        <v>262.7</v>
      </c>
      <c r="K83" s="338">
        <v>0.156</v>
      </c>
      <c r="L83" s="338">
        <v>63.63</v>
      </c>
      <c r="M83" s="338">
        <v>1</v>
      </c>
      <c r="N83" s="338">
        <v>0.14899999999999999</v>
      </c>
      <c r="O83" s="338">
        <v>0.156</v>
      </c>
      <c r="P83" s="338">
        <v>0.14899999999999999</v>
      </c>
      <c r="Q83" s="338">
        <v>0.156</v>
      </c>
      <c r="R83" s="337" t="s">
        <v>19</v>
      </c>
    </row>
    <row r="84" spans="1:18" x14ac:dyDescent="0.25">
      <c r="A84" s="334" t="s">
        <v>1016</v>
      </c>
      <c r="B84" s="338">
        <v>33</v>
      </c>
      <c r="C84" s="338">
        <v>908</v>
      </c>
      <c r="D84" s="335" t="s">
        <v>1017</v>
      </c>
      <c r="E84" s="338">
        <v>0</v>
      </c>
      <c r="F84" s="338">
        <v>0</v>
      </c>
      <c r="G84" s="338">
        <v>0</v>
      </c>
      <c r="H84" s="339">
        <v>45724.79755787037</v>
      </c>
      <c r="I84" s="338">
        <v>0.14799999999999999</v>
      </c>
      <c r="J84" s="338">
        <v>261.36</v>
      </c>
      <c r="K84" s="338">
        <v>3.3000000000000002E-2</v>
      </c>
      <c r="L84" s="338">
        <v>12.57</v>
      </c>
      <c r="M84" s="338">
        <v>1</v>
      </c>
      <c r="N84" s="338">
        <v>0.14799999999999999</v>
      </c>
      <c r="O84" s="338">
        <v>3.3000000000000002E-2</v>
      </c>
      <c r="P84" s="338">
        <v>0.14799999999999999</v>
      </c>
      <c r="Q84" s="338">
        <v>3.3000000000000002E-2</v>
      </c>
      <c r="R84" s="337" t="s">
        <v>19</v>
      </c>
    </row>
    <row r="85" spans="1:18" x14ac:dyDescent="0.25">
      <c r="A85" s="334" t="s">
        <v>1006</v>
      </c>
      <c r="B85" s="338">
        <v>34</v>
      </c>
      <c r="C85" s="338">
        <v>0</v>
      </c>
      <c r="D85" s="335" t="s">
        <v>1007</v>
      </c>
      <c r="E85" s="338">
        <v>0</v>
      </c>
      <c r="F85" s="338">
        <v>0</v>
      </c>
      <c r="G85" s="338">
        <v>0</v>
      </c>
      <c r="H85" s="339">
        <v>45724.798368055555</v>
      </c>
      <c r="I85" s="338">
        <v>-4.0000000000000001E-3</v>
      </c>
      <c r="J85" s="338">
        <v>0</v>
      </c>
      <c r="K85" s="338">
        <v>3.0000000000000001E-3</v>
      </c>
      <c r="L85" s="338">
        <v>0</v>
      </c>
      <c r="M85" s="338">
        <v>1</v>
      </c>
      <c r="N85" s="338">
        <v>-4.0000000000000001E-3</v>
      </c>
      <c r="O85" s="338">
        <v>3.0000000000000001E-3</v>
      </c>
      <c r="P85" s="335" t="s">
        <v>1022</v>
      </c>
      <c r="Q85" s="335" t="s">
        <v>1023</v>
      </c>
      <c r="R85" s="337" t="s">
        <v>19</v>
      </c>
    </row>
    <row r="86" spans="1:18" x14ac:dyDescent="0.25">
      <c r="A86" s="334" t="s">
        <v>24</v>
      </c>
      <c r="B86" s="338">
        <v>35</v>
      </c>
      <c r="C86" s="338">
        <v>906</v>
      </c>
      <c r="D86" s="335" t="s">
        <v>1013</v>
      </c>
      <c r="E86" s="338">
        <v>0</v>
      </c>
      <c r="F86" s="338">
        <v>0</v>
      </c>
      <c r="G86" s="338">
        <v>0</v>
      </c>
      <c r="H86" s="339">
        <v>45724.800798611112</v>
      </c>
      <c r="I86" s="338">
        <v>1E-3</v>
      </c>
      <c r="J86" s="338">
        <v>9.42</v>
      </c>
      <c r="K86" s="338">
        <v>4.0000000000000001E-3</v>
      </c>
      <c r="L86" s="338">
        <v>0.53</v>
      </c>
      <c r="M86" s="338">
        <v>1</v>
      </c>
      <c r="N86" s="338">
        <v>1E-3</v>
      </c>
      <c r="O86" s="338">
        <v>4.0000000000000001E-3</v>
      </c>
      <c r="P86" s="335" t="s">
        <v>1022</v>
      </c>
      <c r="Q86" s="335" t="s">
        <v>1023</v>
      </c>
      <c r="R86" s="337" t="s">
        <v>19</v>
      </c>
    </row>
    <row r="87" spans="1:18" x14ac:dyDescent="0.25">
      <c r="A87" s="334" t="s">
        <v>24</v>
      </c>
      <c r="B87" s="338">
        <v>36</v>
      </c>
      <c r="C87" s="338">
        <v>906</v>
      </c>
      <c r="D87" s="335" t="s">
        <v>1013</v>
      </c>
      <c r="E87" s="338">
        <v>0</v>
      </c>
      <c r="F87" s="338">
        <v>0</v>
      </c>
      <c r="G87" s="338">
        <v>0</v>
      </c>
      <c r="H87" s="339">
        <v>45724.801608796297</v>
      </c>
      <c r="I87" s="338">
        <v>1E-3</v>
      </c>
      <c r="J87" s="338">
        <v>9.11</v>
      </c>
      <c r="K87" s="338">
        <v>4.0000000000000001E-3</v>
      </c>
      <c r="L87" s="338">
        <v>0.49</v>
      </c>
      <c r="M87" s="338">
        <v>1</v>
      </c>
      <c r="N87" s="338">
        <v>1E-3</v>
      </c>
      <c r="O87" s="338">
        <v>4.0000000000000001E-3</v>
      </c>
      <c r="P87" s="335" t="s">
        <v>1022</v>
      </c>
      <c r="Q87" s="335" t="s">
        <v>1023</v>
      </c>
      <c r="R87" s="337" t="s">
        <v>19</v>
      </c>
    </row>
    <row r="88" spans="1:18" x14ac:dyDescent="0.25">
      <c r="A88" s="334" t="s">
        <v>24</v>
      </c>
      <c r="B88" s="338">
        <v>37</v>
      </c>
      <c r="C88" s="338">
        <v>906</v>
      </c>
      <c r="D88" s="335" t="s">
        <v>1013</v>
      </c>
      <c r="E88" s="338">
        <v>0</v>
      </c>
      <c r="F88" s="338">
        <v>0</v>
      </c>
      <c r="G88" s="338">
        <v>0</v>
      </c>
      <c r="H88" s="339">
        <v>45724.802418981482</v>
      </c>
      <c r="I88" s="338">
        <v>1E-3</v>
      </c>
      <c r="J88" s="338">
        <v>9.2100000000000009</v>
      </c>
      <c r="K88" s="338">
        <v>4.0000000000000001E-3</v>
      </c>
      <c r="L88" s="338">
        <v>0.56000000000000005</v>
      </c>
      <c r="M88" s="338">
        <v>1</v>
      </c>
      <c r="N88" s="338">
        <v>1E-3</v>
      </c>
      <c r="O88" s="338">
        <v>4.0000000000000001E-3</v>
      </c>
      <c r="P88" s="335" t="s">
        <v>1022</v>
      </c>
      <c r="Q88" s="335" t="s">
        <v>1023</v>
      </c>
      <c r="R88" s="337" t="s">
        <v>19</v>
      </c>
    </row>
    <row r="89" spans="1:18" x14ac:dyDescent="0.25">
      <c r="A89" s="334" t="s">
        <v>24</v>
      </c>
      <c r="B89" s="338">
        <v>38</v>
      </c>
      <c r="C89" s="338">
        <v>906</v>
      </c>
      <c r="D89" s="335" t="s">
        <v>1013</v>
      </c>
      <c r="E89" s="338">
        <v>0</v>
      </c>
      <c r="F89" s="338">
        <v>0</v>
      </c>
      <c r="G89" s="338">
        <v>0</v>
      </c>
      <c r="H89" s="339">
        <v>45724.803229166668</v>
      </c>
      <c r="I89" s="338">
        <v>1E-3</v>
      </c>
      <c r="J89" s="338">
        <v>8.0399999999999991</v>
      </c>
      <c r="K89" s="338">
        <v>4.0000000000000001E-3</v>
      </c>
      <c r="L89" s="338">
        <v>0.52</v>
      </c>
      <c r="M89" s="338">
        <v>1</v>
      </c>
      <c r="N89" s="338">
        <v>1E-3</v>
      </c>
      <c r="O89" s="338">
        <v>4.0000000000000001E-3</v>
      </c>
      <c r="P89" s="335" t="s">
        <v>1022</v>
      </c>
      <c r="Q89" s="335" t="s">
        <v>1023</v>
      </c>
      <c r="R89" s="337" t="s">
        <v>19</v>
      </c>
    </row>
    <row r="90" spans="1:18" x14ac:dyDescent="0.25">
      <c r="A90" s="334" t="s">
        <v>24</v>
      </c>
      <c r="B90" s="338">
        <v>39</v>
      </c>
      <c r="C90" s="338">
        <v>906</v>
      </c>
      <c r="D90" s="335" t="s">
        <v>1013</v>
      </c>
      <c r="E90" s="338">
        <v>0</v>
      </c>
      <c r="F90" s="338">
        <v>0</v>
      </c>
      <c r="G90" s="338">
        <v>0</v>
      </c>
      <c r="H90" s="339">
        <v>45724.804039351853</v>
      </c>
      <c r="I90" s="338">
        <v>1E-3</v>
      </c>
      <c r="J90" s="338">
        <v>8</v>
      </c>
      <c r="K90" s="338">
        <v>4.0000000000000001E-3</v>
      </c>
      <c r="L90" s="338">
        <v>0.52</v>
      </c>
      <c r="M90" s="338">
        <v>1</v>
      </c>
      <c r="N90" s="338">
        <v>1E-3</v>
      </c>
      <c r="O90" s="338">
        <v>4.0000000000000001E-3</v>
      </c>
      <c r="P90" s="335" t="s">
        <v>1022</v>
      </c>
      <c r="Q90" s="335" t="s">
        <v>1023</v>
      </c>
      <c r="R90" s="337" t="s">
        <v>19</v>
      </c>
    </row>
    <row r="91" spans="1:18" x14ac:dyDescent="0.25">
      <c r="A91" s="334" t="s">
        <v>24</v>
      </c>
      <c r="B91" s="338">
        <v>40</v>
      </c>
      <c r="C91" s="338">
        <v>906</v>
      </c>
      <c r="D91" s="335" t="s">
        <v>1013</v>
      </c>
      <c r="E91" s="338">
        <v>0</v>
      </c>
      <c r="F91" s="338">
        <v>0</v>
      </c>
      <c r="G91" s="338">
        <v>0</v>
      </c>
      <c r="H91" s="339">
        <v>45724.804849537039</v>
      </c>
      <c r="I91" s="338">
        <v>0</v>
      </c>
      <c r="J91" s="338">
        <v>7.79</v>
      </c>
      <c r="K91" s="338">
        <v>5.0000000000000001E-3</v>
      </c>
      <c r="L91" s="338">
        <v>0.67</v>
      </c>
      <c r="M91" s="338">
        <v>1</v>
      </c>
      <c r="N91" s="338">
        <v>0</v>
      </c>
      <c r="O91" s="338">
        <v>5.0000000000000001E-3</v>
      </c>
      <c r="P91" s="335" t="s">
        <v>1022</v>
      </c>
      <c r="Q91" s="335" t="s">
        <v>1023</v>
      </c>
      <c r="R91" s="337" t="s">
        <v>19</v>
      </c>
    </row>
    <row r="92" spans="1:18" x14ac:dyDescent="0.25">
      <c r="A92" s="334" t="s">
        <v>24</v>
      </c>
      <c r="B92" s="338">
        <v>41</v>
      </c>
      <c r="C92" s="338">
        <v>906</v>
      </c>
      <c r="D92" s="335" t="s">
        <v>1013</v>
      </c>
      <c r="E92" s="338">
        <v>0</v>
      </c>
      <c r="F92" s="338">
        <v>0</v>
      </c>
      <c r="G92" s="338">
        <v>0</v>
      </c>
      <c r="H92" s="339">
        <v>45724.805659722224</v>
      </c>
      <c r="I92" s="338">
        <v>0</v>
      </c>
      <c r="J92" s="338">
        <v>7.62</v>
      </c>
      <c r="K92" s="338">
        <v>5.0000000000000001E-3</v>
      </c>
      <c r="L92" s="338">
        <v>0.72</v>
      </c>
      <c r="M92" s="338">
        <v>1</v>
      </c>
      <c r="N92" s="338">
        <v>0</v>
      </c>
      <c r="O92" s="338">
        <v>5.0000000000000001E-3</v>
      </c>
      <c r="P92" s="335" t="s">
        <v>1022</v>
      </c>
      <c r="Q92" s="335" t="s">
        <v>1023</v>
      </c>
      <c r="R92" s="337" t="s">
        <v>19</v>
      </c>
    </row>
    <row r="93" spans="1:18" x14ac:dyDescent="0.25">
      <c r="A93" s="334" t="s">
        <v>24</v>
      </c>
      <c r="B93" s="338">
        <v>42</v>
      </c>
      <c r="C93" s="338">
        <v>906</v>
      </c>
      <c r="D93" s="335" t="s">
        <v>1013</v>
      </c>
      <c r="E93" s="338">
        <v>0</v>
      </c>
      <c r="F93" s="338">
        <v>0</v>
      </c>
      <c r="G93" s="338">
        <v>0</v>
      </c>
      <c r="H93" s="339">
        <v>45724.806469907409</v>
      </c>
      <c r="I93" s="338">
        <v>0</v>
      </c>
      <c r="J93" s="338">
        <v>7.64</v>
      </c>
      <c r="K93" s="338">
        <v>4.0000000000000001E-3</v>
      </c>
      <c r="L93" s="338">
        <v>0.61</v>
      </c>
      <c r="M93" s="338">
        <v>1</v>
      </c>
      <c r="N93" s="338">
        <v>0</v>
      </c>
      <c r="O93" s="338">
        <v>4.0000000000000001E-3</v>
      </c>
      <c r="P93" s="335" t="s">
        <v>1022</v>
      </c>
      <c r="Q93" s="335" t="s">
        <v>1023</v>
      </c>
      <c r="R93" s="337" t="s">
        <v>19</v>
      </c>
    </row>
    <row r="94" spans="1:18" x14ac:dyDescent="0.25">
      <c r="A94" s="334" t="s">
        <v>24</v>
      </c>
      <c r="B94" s="338">
        <v>43</v>
      </c>
      <c r="C94" s="338">
        <v>906</v>
      </c>
      <c r="D94" s="335" t="s">
        <v>1013</v>
      </c>
      <c r="E94" s="338">
        <v>0</v>
      </c>
      <c r="F94" s="338">
        <v>0</v>
      </c>
      <c r="G94" s="338">
        <v>0</v>
      </c>
      <c r="H94" s="339">
        <v>45724.807280092595</v>
      </c>
      <c r="I94" s="338">
        <v>0</v>
      </c>
      <c r="J94" s="338">
        <v>7.33</v>
      </c>
      <c r="K94" s="338">
        <v>5.0000000000000001E-3</v>
      </c>
      <c r="L94" s="338">
        <v>0.75</v>
      </c>
      <c r="M94" s="338">
        <v>1</v>
      </c>
      <c r="N94" s="338">
        <v>0</v>
      </c>
      <c r="O94" s="338">
        <v>5.0000000000000001E-3</v>
      </c>
      <c r="P94" s="335" t="s">
        <v>1022</v>
      </c>
      <c r="Q94" s="335" t="s">
        <v>1023</v>
      </c>
      <c r="R94" s="337" t="s">
        <v>19</v>
      </c>
    </row>
    <row r="95" spans="1:18" x14ac:dyDescent="0.25">
      <c r="A95" s="334" t="s">
        <v>24</v>
      </c>
      <c r="B95" s="338">
        <v>44</v>
      </c>
      <c r="C95" s="338">
        <v>906</v>
      </c>
      <c r="D95" s="335" t="s">
        <v>1013</v>
      </c>
      <c r="E95" s="338">
        <v>0</v>
      </c>
      <c r="F95" s="338">
        <v>0</v>
      </c>
      <c r="G95" s="338">
        <v>0</v>
      </c>
      <c r="H95" s="339">
        <v>45724.80809027778</v>
      </c>
      <c r="I95" s="338">
        <v>0</v>
      </c>
      <c r="J95" s="338">
        <v>7.28</v>
      </c>
      <c r="K95" s="338">
        <v>4.0000000000000001E-3</v>
      </c>
      <c r="L95" s="338">
        <v>0.56000000000000005</v>
      </c>
      <c r="M95" s="338">
        <v>1</v>
      </c>
      <c r="N95" s="338">
        <v>0</v>
      </c>
      <c r="O95" s="338">
        <v>4.0000000000000001E-3</v>
      </c>
      <c r="P95" s="335" t="s">
        <v>1022</v>
      </c>
      <c r="Q95" s="335" t="s">
        <v>1023</v>
      </c>
      <c r="R95" s="337" t="s">
        <v>19</v>
      </c>
    </row>
    <row r="96" spans="1:18" x14ac:dyDescent="0.25">
      <c r="A96" s="334" t="s">
        <v>1014</v>
      </c>
      <c r="B96" s="338">
        <v>45</v>
      </c>
      <c r="C96" s="338">
        <v>907</v>
      </c>
      <c r="D96" s="335" t="s">
        <v>1015</v>
      </c>
      <c r="E96" s="338">
        <v>0</v>
      </c>
      <c r="F96" s="338">
        <v>0</v>
      </c>
      <c r="G96" s="338">
        <v>1</v>
      </c>
      <c r="H96" s="339">
        <v>45724.808900462966</v>
      </c>
      <c r="I96" s="338">
        <v>0.14799999999999999</v>
      </c>
      <c r="J96" s="338">
        <v>261.73</v>
      </c>
      <c r="K96" s="338">
        <v>0.14699999999999999</v>
      </c>
      <c r="L96" s="338">
        <v>60.08</v>
      </c>
      <c r="M96" s="338">
        <v>1</v>
      </c>
      <c r="N96" s="338">
        <v>0.14799999999999999</v>
      </c>
      <c r="O96" s="338">
        <v>0.14699999999999999</v>
      </c>
      <c r="P96" s="338">
        <v>0.14799999999999999</v>
      </c>
      <c r="Q96" s="338">
        <v>0.14699999999999999</v>
      </c>
      <c r="R96" s="337" t="s">
        <v>19</v>
      </c>
    </row>
    <row r="97" spans="1:19" x14ac:dyDescent="0.25">
      <c r="A97" s="334" t="s">
        <v>1016</v>
      </c>
      <c r="B97" s="338">
        <v>46</v>
      </c>
      <c r="C97" s="338">
        <v>908</v>
      </c>
      <c r="D97" s="335" t="s">
        <v>1017</v>
      </c>
      <c r="E97" s="338">
        <v>0</v>
      </c>
      <c r="F97" s="338">
        <v>0</v>
      </c>
      <c r="G97" s="338">
        <v>0</v>
      </c>
      <c r="H97" s="339">
        <v>45724.809710648151</v>
      </c>
      <c r="I97" s="338">
        <v>0.14899999999999999</v>
      </c>
      <c r="J97" s="338">
        <v>262.86</v>
      </c>
      <c r="K97" s="338">
        <v>3.4000000000000002E-2</v>
      </c>
      <c r="L97" s="338">
        <v>12.92</v>
      </c>
      <c r="M97" s="338">
        <v>1</v>
      </c>
      <c r="N97" s="338">
        <v>0.14899999999999999</v>
      </c>
      <c r="O97" s="338">
        <v>3.4000000000000002E-2</v>
      </c>
      <c r="P97" s="338">
        <v>0.14899999999999999</v>
      </c>
      <c r="Q97" s="338">
        <v>3.4000000000000002E-2</v>
      </c>
      <c r="R97" s="337" t="s">
        <v>19</v>
      </c>
    </row>
    <row r="98" spans="1:19" x14ac:dyDescent="0.25">
      <c r="A98" s="334" t="s">
        <v>1006</v>
      </c>
      <c r="B98" s="338">
        <v>47</v>
      </c>
      <c r="C98" s="338">
        <v>0</v>
      </c>
      <c r="D98" s="335" t="s">
        <v>1007</v>
      </c>
      <c r="E98" s="338">
        <v>0</v>
      </c>
      <c r="F98" s="338">
        <v>0</v>
      </c>
      <c r="G98" s="338">
        <v>0</v>
      </c>
      <c r="H98" s="339">
        <v>45724.810520833336</v>
      </c>
      <c r="I98" s="338">
        <v>-4.0000000000000001E-3</v>
      </c>
      <c r="J98" s="338">
        <v>0</v>
      </c>
      <c r="K98" s="338">
        <v>3.0000000000000001E-3</v>
      </c>
      <c r="L98" s="338">
        <v>0</v>
      </c>
      <c r="M98" s="338">
        <v>1</v>
      </c>
      <c r="N98" s="338">
        <v>-4.0000000000000001E-3</v>
      </c>
      <c r="O98" s="338">
        <v>3.0000000000000001E-3</v>
      </c>
      <c r="P98" s="335" t="s">
        <v>1022</v>
      </c>
      <c r="Q98" s="335" t="s">
        <v>1023</v>
      </c>
      <c r="R98" s="337" t="s">
        <v>19</v>
      </c>
    </row>
    <row r="99" spans="1:19" x14ac:dyDescent="0.25">
      <c r="A99" s="334" t="s">
        <v>1002</v>
      </c>
      <c r="B99" s="338">
        <v>48</v>
      </c>
      <c r="C99" s="338">
        <v>921</v>
      </c>
      <c r="D99" s="335" t="s">
        <v>1003</v>
      </c>
      <c r="E99" s="338">
        <v>0</v>
      </c>
      <c r="F99" s="338">
        <v>0</v>
      </c>
      <c r="G99" s="338">
        <v>0</v>
      </c>
      <c r="H99" s="339">
        <v>45724.812951388885</v>
      </c>
      <c r="I99" s="338">
        <v>0.19800000000000001</v>
      </c>
      <c r="J99" s="338">
        <v>347.52</v>
      </c>
      <c r="K99" s="338">
        <v>0.20200000000000001</v>
      </c>
      <c r="L99" s="338">
        <v>82.88</v>
      </c>
      <c r="M99" s="338">
        <v>1</v>
      </c>
      <c r="N99" s="338">
        <v>0.19800000000000001</v>
      </c>
      <c r="O99" s="338">
        <v>0.20200000000000001</v>
      </c>
      <c r="P99" s="338">
        <v>0.19800000000000001</v>
      </c>
      <c r="Q99" s="338">
        <v>0.20200000000000001</v>
      </c>
      <c r="R99" s="337" t="s">
        <v>19</v>
      </c>
    </row>
    <row r="100" spans="1:19" x14ac:dyDescent="0.25">
      <c r="A100" s="334" t="s">
        <v>1020</v>
      </c>
      <c r="B100" s="338">
        <v>49</v>
      </c>
      <c r="C100" s="338">
        <v>0</v>
      </c>
      <c r="D100" s="335" t="s">
        <v>1021</v>
      </c>
      <c r="E100" s="338">
        <v>0</v>
      </c>
      <c r="F100" s="338">
        <v>0</v>
      </c>
      <c r="G100" s="338">
        <v>0</v>
      </c>
      <c r="H100" s="339">
        <v>45724.813761574071</v>
      </c>
      <c r="I100" s="338">
        <v>-4.0000000000000001E-3</v>
      </c>
      <c r="J100" s="338">
        <v>0</v>
      </c>
      <c r="K100" s="338">
        <v>3.0000000000000001E-3</v>
      </c>
      <c r="L100" s="338">
        <v>0</v>
      </c>
      <c r="M100" s="338">
        <v>1</v>
      </c>
      <c r="N100" s="338">
        <v>-4.0000000000000001E-3</v>
      </c>
      <c r="O100" s="338">
        <v>3.0000000000000001E-3</v>
      </c>
      <c r="P100" s="335" t="s">
        <v>1022</v>
      </c>
      <c r="Q100" s="335" t="s">
        <v>1023</v>
      </c>
      <c r="R100" s="337" t="s">
        <v>19</v>
      </c>
    </row>
    <row r="101" spans="1:19" x14ac:dyDescent="0.25">
      <c r="A101" s="334" t="s">
        <v>1000</v>
      </c>
      <c r="B101" s="338">
        <v>1</v>
      </c>
      <c r="C101" s="338">
        <v>921</v>
      </c>
      <c r="D101" s="335" t="s">
        <v>1001</v>
      </c>
      <c r="E101" s="338">
        <v>0</v>
      </c>
      <c r="F101" s="338">
        <v>0</v>
      </c>
      <c r="G101" s="338">
        <v>0</v>
      </c>
      <c r="H101" s="339">
        <v>45749.60496527778</v>
      </c>
      <c r="I101" s="339">
        <v>0.17799999999999999</v>
      </c>
      <c r="J101" s="338">
        <v>249.85</v>
      </c>
      <c r="K101" s="338">
        <v>0.19800000000000001</v>
      </c>
      <c r="L101" s="338">
        <v>85.1</v>
      </c>
      <c r="M101" s="338">
        <v>1</v>
      </c>
      <c r="N101" s="338">
        <v>0.17799999999999999</v>
      </c>
      <c r="O101" s="338">
        <v>0.19800000000000001</v>
      </c>
      <c r="P101" s="341">
        <v>0.17799999999999999</v>
      </c>
      <c r="Q101" s="341">
        <v>0.19800000000000001</v>
      </c>
      <c r="R101" s="337" t="s">
        <v>19</v>
      </c>
      <c r="S101" s="342"/>
    </row>
    <row r="102" spans="1:19" x14ac:dyDescent="0.25">
      <c r="A102" s="334" t="s">
        <v>1002</v>
      </c>
      <c r="B102" s="338">
        <v>2</v>
      </c>
      <c r="C102" s="338">
        <v>921</v>
      </c>
      <c r="D102" s="335" t="s">
        <v>1003</v>
      </c>
      <c r="E102" s="338">
        <v>0</v>
      </c>
      <c r="F102" s="338">
        <v>0</v>
      </c>
      <c r="G102" s="338">
        <v>0</v>
      </c>
      <c r="H102" s="339">
        <v>45749.605775462966</v>
      </c>
      <c r="I102" s="339">
        <v>0.19700000000000001</v>
      </c>
      <c r="J102" s="338">
        <v>276.77999999999997</v>
      </c>
      <c r="K102" s="338">
        <v>0.19900000000000001</v>
      </c>
      <c r="L102" s="338">
        <v>85.57</v>
      </c>
      <c r="M102" s="338">
        <v>1</v>
      </c>
      <c r="N102" s="338">
        <v>0.19700000000000001</v>
      </c>
      <c r="O102" s="338">
        <v>0.19900000000000001</v>
      </c>
      <c r="P102" s="341">
        <v>0.19700000000000001</v>
      </c>
      <c r="Q102" s="341">
        <v>0.19900000000000001</v>
      </c>
      <c r="R102" s="337" t="s">
        <v>19</v>
      </c>
      <c r="S102" s="342"/>
    </row>
    <row r="103" spans="1:19" x14ac:dyDescent="0.25">
      <c r="A103" s="340">
        <v>0.2</v>
      </c>
      <c r="B103" s="338">
        <v>3</v>
      </c>
      <c r="C103" s="338">
        <v>921</v>
      </c>
      <c r="D103" s="335" t="s">
        <v>1004</v>
      </c>
      <c r="E103" s="338">
        <v>0</v>
      </c>
      <c r="F103" s="338">
        <v>0</v>
      </c>
      <c r="G103" s="338">
        <v>0</v>
      </c>
      <c r="H103" s="339">
        <v>45749.606585648151</v>
      </c>
      <c r="I103" s="339">
        <v>0.19900000000000001</v>
      </c>
      <c r="J103" s="338">
        <v>279.02999999999997</v>
      </c>
      <c r="K103" s="338">
        <v>0.2</v>
      </c>
      <c r="L103" s="338">
        <v>85.92</v>
      </c>
      <c r="M103" s="338">
        <v>1</v>
      </c>
      <c r="N103" s="338">
        <v>0.19900000000000001</v>
      </c>
      <c r="O103" s="338">
        <v>0.2</v>
      </c>
      <c r="P103" s="341">
        <v>0.19900000000000001</v>
      </c>
      <c r="Q103" s="341">
        <v>0.2</v>
      </c>
      <c r="R103" s="337" t="s">
        <v>19</v>
      </c>
      <c r="S103" s="342"/>
    </row>
    <row r="104" spans="1:19" x14ac:dyDescent="0.25">
      <c r="A104" s="340">
        <v>0.1</v>
      </c>
      <c r="B104" s="338">
        <v>4</v>
      </c>
      <c r="C104" s="338">
        <v>901</v>
      </c>
      <c r="D104" s="335" t="s">
        <v>1004</v>
      </c>
      <c r="E104" s="338">
        <v>0</v>
      </c>
      <c r="F104" s="338">
        <v>0</v>
      </c>
      <c r="G104" s="338">
        <v>0</v>
      </c>
      <c r="H104" s="339">
        <v>45749.607395833336</v>
      </c>
      <c r="I104" s="339">
        <v>0.10199999999999999</v>
      </c>
      <c r="J104" s="338">
        <v>145.1</v>
      </c>
      <c r="K104" s="338">
        <v>0.1</v>
      </c>
      <c r="L104" s="338">
        <v>42.97</v>
      </c>
      <c r="M104" s="338">
        <v>1</v>
      </c>
      <c r="N104" s="338">
        <v>0.10199999999999999</v>
      </c>
      <c r="O104" s="338">
        <v>0.1</v>
      </c>
      <c r="P104" s="341">
        <v>0.10199999999999999</v>
      </c>
      <c r="Q104" s="341">
        <v>0.1</v>
      </c>
      <c r="R104" s="337" t="s">
        <v>19</v>
      </c>
      <c r="S104" s="342"/>
    </row>
    <row r="105" spans="1:19" x14ac:dyDescent="0.25">
      <c r="A105" s="340">
        <v>0.05</v>
      </c>
      <c r="B105" s="338">
        <v>5</v>
      </c>
      <c r="C105" s="338">
        <v>902</v>
      </c>
      <c r="D105" s="335" t="s">
        <v>1004</v>
      </c>
      <c r="E105" s="338">
        <v>0</v>
      </c>
      <c r="F105" s="338">
        <v>0</v>
      </c>
      <c r="G105" s="338">
        <v>0</v>
      </c>
      <c r="H105" s="339">
        <v>45749.608206018522</v>
      </c>
      <c r="I105" s="339">
        <v>5.0999999999999997E-2</v>
      </c>
      <c r="J105" s="338">
        <v>75.739999999999995</v>
      </c>
      <c r="K105" s="338">
        <v>0.05</v>
      </c>
      <c r="L105" s="338">
        <v>21.64</v>
      </c>
      <c r="M105" s="338">
        <v>1</v>
      </c>
      <c r="N105" s="338">
        <v>5.0999999999999997E-2</v>
      </c>
      <c r="O105" s="338">
        <v>0.05</v>
      </c>
      <c r="P105" s="341">
        <v>5.0999999999999997E-2</v>
      </c>
      <c r="Q105" s="341">
        <v>0.05</v>
      </c>
      <c r="R105" s="337" t="s">
        <v>19</v>
      </c>
      <c r="S105" s="342"/>
    </row>
    <row r="106" spans="1:19" x14ac:dyDescent="0.25">
      <c r="A106" s="340">
        <v>2.5000000000000001E-2</v>
      </c>
      <c r="B106" s="338">
        <v>6</v>
      </c>
      <c r="C106" s="338">
        <v>903</v>
      </c>
      <c r="D106" s="335" t="s">
        <v>1004</v>
      </c>
      <c r="E106" s="338">
        <v>0</v>
      </c>
      <c r="F106" s="338">
        <v>0</v>
      </c>
      <c r="G106" s="338">
        <v>0</v>
      </c>
      <c r="H106" s="339">
        <v>45749.609016203707</v>
      </c>
      <c r="I106" s="339">
        <v>2.5000000000000001E-2</v>
      </c>
      <c r="J106" s="338">
        <v>39.36</v>
      </c>
      <c r="K106" s="338">
        <v>2.5000000000000001E-2</v>
      </c>
      <c r="L106" s="338">
        <v>10.94</v>
      </c>
      <c r="M106" s="338">
        <v>1</v>
      </c>
      <c r="N106" s="338">
        <v>2.5000000000000001E-2</v>
      </c>
      <c r="O106" s="338">
        <v>2.5000000000000001E-2</v>
      </c>
      <c r="P106" s="341">
        <v>2.5000000000000001E-2</v>
      </c>
      <c r="Q106" s="341">
        <v>2.5000000000000001E-2</v>
      </c>
      <c r="R106" s="337" t="s">
        <v>19</v>
      </c>
      <c r="S106" s="342"/>
    </row>
    <row r="107" spans="1:19" x14ac:dyDescent="0.25">
      <c r="A107" s="340">
        <v>0.01</v>
      </c>
      <c r="B107" s="338">
        <v>7</v>
      </c>
      <c r="C107" s="338">
        <v>904</v>
      </c>
      <c r="D107" s="335" t="s">
        <v>1004</v>
      </c>
      <c r="E107" s="338">
        <v>0</v>
      </c>
      <c r="F107" s="338">
        <v>0</v>
      </c>
      <c r="G107" s="338">
        <v>0</v>
      </c>
      <c r="H107" s="339">
        <v>45749.609826388885</v>
      </c>
      <c r="I107" s="339">
        <v>1.2E-2</v>
      </c>
      <c r="J107" s="338">
        <v>21.29</v>
      </c>
      <c r="K107" s="338">
        <v>0.01</v>
      </c>
      <c r="L107" s="338">
        <v>4.66</v>
      </c>
      <c r="M107" s="338">
        <v>1</v>
      </c>
      <c r="N107" s="338">
        <v>1.2E-2</v>
      </c>
      <c r="O107" s="338">
        <v>0.01</v>
      </c>
      <c r="P107" s="341">
        <v>1.2E-2</v>
      </c>
      <c r="Q107" s="341">
        <v>0.01</v>
      </c>
      <c r="R107" s="337" t="s">
        <v>19</v>
      </c>
      <c r="S107" s="342"/>
    </row>
    <row r="108" spans="1:19" x14ac:dyDescent="0.25">
      <c r="A108" s="340">
        <v>5.0000000000000001E-3</v>
      </c>
      <c r="B108" s="338">
        <v>8</v>
      </c>
      <c r="C108" s="338">
        <v>905</v>
      </c>
      <c r="D108" s="335" t="s">
        <v>1004</v>
      </c>
      <c r="E108" s="338">
        <v>0</v>
      </c>
      <c r="F108" s="338">
        <v>0</v>
      </c>
      <c r="G108" s="338">
        <v>0</v>
      </c>
      <c r="H108" s="339">
        <v>45749.610636574071</v>
      </c>
      <c r="I108" s="339">
        <v>4.0000000000000001E-3</v>
      </c>
      <c r="J108" s="338">
        <v>10.11</v>
      </c>
      <c r="K108" s="338">
        <v>6.0000000000000001E-3</v>
      </c>
      <c r="L108" s="338">
        <v>3.17</v>
      </c>
      <c r="M108" s="338">
        <v>1</v>
      </c>
      <c r="N108" s="338">
        <v>4.0000000000000001E-3</v>
      </c>
      <c r="O108" s="338">
        <v>6.0000000000000001E-3</v>
      </c>
      <c r="P108" s="341">
        <v>4.0000000000000001E-3</v>
      </c>
      <c r="Q108" s="341">
        <v>6.0000000000000001E-3</v>
      </c>
      <c r="R108" s="337" t="s">
        <v>19</v>
      </c>
      <c r="S108" s="342"/>
    </row>
    <row r="109" spans="1:19" x14ac:dyDescent="0.25">
      <c r="A109" s="334" t="s">
        <v>24</v>
      </c>
      <c r="B109" s="338">
        <v>9</v>
      </c>
      <c r="C109" s="338">
        <v>906</v>
      </c>
      <c r="D109" s="335" t="s">
        <v>1004</v>
      </c>
      <c r="E109" s="338">
        <v>0</v>
      </c>
      <c r="F109" s="338">
        <v>0</v>
      </c>
      <c r="G109" s="338">
        <v>0</v>
      </c>
      <c r="H109" s="339">
        <v>45749.611446759256</v>
      </c>
      <c r="I109" s="339" t="s">
        <v>1026</v>
      </c>
      <c r="J109" s="338">
        <v>2</v>
      </c>
      <c r="K109" s="338">
        <v>0</v>
      </c>
      <c r="L109" s="338">
        <v>0.3</v>
      </c>
      <c r="M109" s="338">
        <v>1</v>
      </c>
      <c r="N109" s="338">
        <v>-2E-3</v>
      </c>
      <c r="O109" s="338">
        <v>0</v>
      </c>
      <c r="P109" s="336" t="s">
        <v>1022</v>
      </c>
      <c r="Q109" s="336" t="s">
        <v>1027</v>
      </c>
      <c r="R109" s="337" t="s">
        <v>19</v>
      </c>
      <c r="S109" s="342"/>
    </row>
    <row r="110" spans="1:19" x14ac:dyDescent="0.25">
      <c r="A110" s="334" t="s">
        <v>1006</v>
      </c>
      <c r="B110" s="338">
        <v>10</v>
      </c>
      <c r="C110" s="338">
        <v>0</v>
      </c>
      <c r="D110" s="335" t="s">
        <v>1007</v>
      </c>
      <c r="E110" s="338">
        <v>0</v>
      </c>
      <c r="F110" s="338">
        <v>0</v>
      </c>
      <c r="G110" s="338">
        <v>0</v>
      </c>
      <c r="H110" s="339">
        <v>45749.612256944441</v>
      </c>
      <c r="I110" s="339" t="s">
        <v>1028</v>
      </c>
      <c r="J110" s="338">
        <v>0</v>
      </c>
      <c r="K110" s="338">
        <v>-1E-3</v>
      </c>
      <c r="L110" s="338">
        <v>0</v>
      </c>
      <c r="M110" s="338">
        <v>1</v>
      </c>
      <c r="N110" s="338">
        <v>-4.0000000000000001E-3</v>
      </c>
      <c r="O110" s="338">
        <v>-1E-3</v>
      </c>
      <c r="P110" s="336" t="s">
        <v>1022</v>
      </c>
      <c r="Q110" s="336" t="s">
        <v>1027</v>
      </c>
      <c r="R110" s="337" t="s">
        <v>19</v>
      </c>
      <c r="S110" s="342"/>
    </row>
    <row r="111" spans="1:19" x14ac:dyDescent="0.25">
      <c r="A111" s="334" t="s">
        <v>1009</v>
      </c>
      <c r="B111" s="338">
        <v>11</v>
      </c>
      <c r="C111" s="338">
        <v>921</v>
      </c>
      <c r="D111" s="335" t="s">
        <v>1010</v>
      </c>
      <c r="E111" s="338">
        <v>0</v>
      </c>
      <c r="F111" s="338">
        <v>1</v>
      </c>
      <c r="G111" s="338">
        <v>1</v>
      </c>
      <c r="H111" s="339">
        <v>45749.614687499998</v>
      </c>
      <c r="I111" s="339">
        <v>0.21099999999999999</v>
      </c>
      <c r="J111" s="338">
        <v>295.49</v>
      </c>
      <c r="K111" s="338">
        <v>0.19900000000000001</v>
      </c>
      <c r="L111" s="338">
        <v>85.45</v>
      </c>
      <c r="M111" s="338">
        <v>1</v>
      </c>
      <c r="N111" s="338">
        <v>0.21099999999999999</v>
      </c>
      <c r="O111" s="338">
        <v>0.19900000000000001</v>
      </c>
      <c r="P111" s="341">
        <v>0.21099999999999999</v>
      </c>
      <c r="Q111" s="341">
        <v>0.19900000000000001</v>
      </c>
      <c r="R111" s="337" t="s">
        <v>19</v>
      </c>
      <c r="S111" s="342"/>
    </row>
    <row r="112" spans="1:19" x14ac:dyDescent="0.25">
      <c r="A112" s="334" t="s">
        <v>1011</v>
      </c>
      <c r="B112" s="338">
        <v>12</v>
      </c>
      <c r="C112" s="338">
        <v>905</v>
      </c>
      <c r="D112" s="335" t="s">
        <v>1012</v>
      </c>
      <c r="E112" s="338">
        <v>0</v>
      </c>
      <c r="F112" s="338">
        <v>1</v>
      </c>
      <c r="G112" s="338">
        <v>2</v>
      </c>
      <c r="H112" s="339">
        <v>45749.615497685183</v>
      </c>
      <c r="I112" s="339">
        <v>5.0000000000000001E-3</v>
      </c>
      <c r="J112" s="338">
        <v>11.35</v>
      </c>
      <c r="K112" s="338">
        <v>6.0000000000000001E-3</v>
      </c>
      <c r="L112" s="338">
        <v>3.17</v>
      </c>
      <c r="M112" s="338">
        <v>1</v>
      </c>
      <c r="N112" s="338">
        <v>5.0000000000000001E-3</v>
      </c>
      <c r="O112" s="338">
        <v>6.0000000000000001E-3</v>
      </c>
      <c r="P112" s="341">
        <v>5.0000000000000001E-3</v>
      </c>
      <c r="Q112" s="341">
        <v>6.0000000000000001E-3</v>
      </c>
      <c r="R112" s="337" t="s">
        <v>19</v>
      </c>
      <c r="S112" s="342"/>
    </row>
    <row r="113" spans="1:19" x14ac:dyDescent="0.25">
      <c r="A113" s="334" t="s">
        <v>1011</v>
      </c>
      <c r="B113" s="338">
        <v>13</v>
      </c>
      <c r="C113" s="338">
        <v>905</v>
      </c>
      <c r="D113" s="335" t="s">
        <v>1012</v>
      </c>
      <c r="E113" s="338">
        <v>0</v>
      </c>
      <c r="F113" s="338">
        <v>1</v>
      </c>
      <c r="G113" s="338">
        <v>3</v>
      </c>
      <c r="H113" s="339">
        <v>45749.616307870368</v>
      </c>
      <c r="I113" s="339">
        <v>4.0000000000000001E-3</v>
      </c>
      <c r="J113" s="338">
        <v>10.28</v>
      </c>
      <c r="K113" s="338">
        <v>6.0000000000000001E-3</v>
      </c>
      <c r="L113" s="338">
        <v>3.17</v>
      </c>
      <c r="M113" s="338">
        <v>1</v>
      </c>
      <c r="N113" s="338">
        <v>4.0000000000000001E-3</v>
      </c>
      <c r="O113" s="338">
        <v>6.0000000000000001E-3</v>
      </c>
      <c r="P113" s="341">
        <v>4.0000000000000001E-3</v>
      </c>
      <c r="Q113" s="341">
        <v>6.0000000000000001E-3</v>
      </c>
      <c r="R113" s="337" t="s">
        <v>19</v>
      </c>
      <c r="S113" s="342"/>
    </row>
    <row r="114" spans="1:19" x14ac:dyDescent="0.25">
      <c r="A114" s="334" t="s">
        <v>24</v>
      </c>
      <c r="B114" s="338">
        <v>14</v>
      </c>
      <c r="C114" s="338">
        <v>906</v>
      </c>
      <c r="D114" s="335" t="s">
        <v>1013</v>
      </c>
      <c r="E114" s="338">
        <v>0</v>
      </c>
      <c r="F114" s="338">
        <v>0</v>
      </c>
      <c r="G114" s="338">
        <v>0</v>
      </c>
      <c r="H114" s="339">
        <v>45749.617118055554</v>
      </c>
      <c r="I114" s="339" t="s">
        <v>1026</v>
      </c>
      <c r="J114" s="338">
        <v>2</v>
      </c>
      <c r="K114" s="338">
        <v>0</v>
      </c>
      <c r="L114" s="338">
        <v>0.28999999999999998</v>
      </c>
      <c r="M114" s="338">
        <v>1</v>
      </c>
      <c r="N114" s="338">
        <v>-2E-3</v>
      </c>
      <c r="O114" s="338">
        <v>0</v>
      </c>
      <c r="P114" s="336" t="s">
        <v>1022</v>
      </c>
      <c r="Q114" s="336" t="s">
        <v>1027</v>
      </c>
      <c r="R114" s="337" t="s">
        <v>19</v>
      </c>
      <c r="S114" s="342"/>
    </row>
    <row r="115" spans="1:19" x14ac:dyDescent="0.25">
      <c r="A115" s="334" t="s">
        <v>1014</v>
      </c>
      <c r="B115" s="338">
        <v>15</v>
      </c>
      <c r="C115" s="338">
        <v>907</v>
      </c>
      <c r="D115" s="335" t="s">
        <v>1015</v>
      </c>
      <c r="E115" s="338">
        <v>0</v>
      </c>
      <c r="F115" s="338">
        <v>0</v>
      </c>
      <c r="G115" s="338">
        <v>1</v>
      </c>
      <c r="H115" s="339">
        <v>45749.617928240739</v>
      </c>
      <c r="I115" s="339">
        <v>0.16600000000000001</v>
      </c>
      <c r="J115" s="338">
        <v>233.13</v>
      </c>
      <c r="K115" s="338">
        <v>0.14699999999999999</v>
      </c>
      <c r="L115" s="338">
        <v>63.3</v>
      </c>
      <c r="M115" s="338">
        <v>1</v>
      </c>
      <c r="N115" s="338">
        <v>0.16600000000000001</v>
      </c>
      <c r="O115" s="338">
        <v>0.14699999999999999</v>
      </c>
      <c r="P115" s="341">
        <v>0.16600000000000001</v>
      </c>
      <c r="Q115" s="341">
        <v>0.14699999999999999</v>
      </c>
      <c r="R115" s="337" t="s">
        <v>19</v>
      </c>
      <c r="S115" s="342"/>
    </row>
    <row r="116" spans="1:19" x14ac:dyDescent="0.25">
      <c r="A116" s="334" t="s">
        <v>1016</v>
      </c>
      <c r="B116" s="338">
        <v>16</v>
      </c>
      <c r="C116" s="338">
        <v>908</v>
      </c>
      <c r="D116" s="335" t="s">
        <v>1017</v>
      </c>
      <c r="E116" s="338">
        <v>0</v>
      </c>
      <c r="F116" s="338">
        <v>0</v>
      </c>
      <c r="G116" s="338">
        <v>0</v>
      </c>
      <c r="H116" s="339">
        <v>45749.618738425925</v>
      </c>
      <c r="I116" s="339">
        <v>0.16200000000000001</v>
      </c>
      <c r="J116" s="338">
        <v>228.36</v>
      </c>
      <c r="K116" s="338">
        <v>2.9000000000000001E-2</v>
      </c>
      <c r="L116" s="338">
        <v>12.74</v>
      </c>
      <c r="M116" s="338">
        <v>1</v>
      </c>
      <c r="N116" s="338">
        <v>0.16200000000000001</v>
      </c>
      <c r="O116" s="338">
        <v>2.9000000000000001E-2</v>
      </c>
      <c r="P116" s="341">
        <v>0.16200000000000001</v>
      </c>
      <c r="Q116" s="341">
        <v>2.9000000000000001E-2</v>
      </c>
      <c r="R116" s="337" t="s">
        <v>19</v>
      </c>
      <c r="S116" s="342"/>
    </row>
    <row r="117" spans="1:19" x14ac:dyDescent="0.25">
      <c r="A117" s="334" t="s">
        <v>1006</v>
      </c>
      <c r="B117" s="338">
        <v>17</v>
      </c>
      <c r="C117" s="338">
        <v>0</v>
      </c>
      <c r="D117" s="335" t="s">
        <v>1007</v>
      </c>
      <c r="E117" s="338">
        <v>0</v>
      </c>
      <c r="F117" s="338">
        <v>0</v>
      </c>
      <c r="G117" s="338">
        <v>0</v>
      </c>
      <c r="H117" s="339">
        <v>45749.61954861111</v>
      </c>
      <c r="I117" s="339" t="s">
        <v>1028</v>
      </c>
      <c r="J117" s="338">
        <v>0</v>
      </c>
      <c r="K117" s="338">
        <v>-1E-3</v>
      </c>
      <c r="L117" s="338">
        <v>0</v>
      </c>
      <c r="M117" s="338">
        <v>1</v>
      </c>
      <c r="N117" s="338">
        <v>-4.0000000000000001E-3</v>
      </c>
      <c r="O117" s="338">
        <v>-1E-3</v>
      </c>
      <c r="P117" s="336" t="s">
        <v>1022</v>
      </c>
      <c r="Q117" s="336" t="s">
        <v>1027</v>
      </c>
      <c r="R117" s="337" t="s">
        <v>19</v>
      </c>
      <c r="S117" s="342"/>
    </row>
    <row r="118" spans="1:19" x14ac:dyDescent="0.25">
      <c r="A118" s="340">
        <v>646</v>
      </c>
      <c r="B118" s="338">
        <v>18</v>
      </c>
      <c r="C118" s="338">
        <v>1</v>
      </c>
      <c r="D118" s="335" t="s">
        <v>1013</v>
      </c>
      <c r="E118" s="338">
        <v>0</v>
      </c>
      <c r="F118" s="338">
        <v>0</v>
      </c>
      <c r="G118" s="338">
        <v>0</v>
      </c>
      <c r="H118" s="339">
        <v>45749.621979166666</v>
      </c>
      <c r="I118" s="339">
        <v>0</v>
      </c>
      <c r="J118" s="338">
        <v>5</v>
      </c>
      <c r="K118" s="338">
        <v>2E-3</v>
      </c>
      <c r="L118" s="338">
        <v>1.41</v>
      </c>
      <c r="M118" s="338">
        <v>1</v>
      </c>
      <c r="N118" s="338">
        <v>0</v>
      </c>
      <c r="O118" s="338">
        <v>2E-3</v>
      </c>
      <c r="P118" s="336" t="s">
        <v>1022</v>
      </c>
      <c r="Q118" s="341">
        <v>2E-3</v>
      </c>
      <c r="R118" s="337" t="s">
        <v>19</v>
      </c>
      <c r="S118" s="342"/>
    </row>
    <row r="119" spans="1:19" x14ac:dyDescent="0.25">
      <c r="A119" s="340">
        <v>217</v>
      </c>
      <c r="B119" s="338">
        <v>19</v>
      </c>
      <c r="C119" s="338">
        <v>2</v>
      </c>
      <c r="D119" s="335" t="s">
        <v>1013</v>
      </c>
      <c r="E119" s="338">
        <v>0</v>
      </c>
      <c r="F119" s="338">
        <v>0</v>
      </c>
      <c r="G119" s="338">
        <v>0</v>
      </c>
      <c r="H119" s="339">
        <v>45749.622789351852</v>
      </c>
      <c r="I119" s="339" t="s">
        <v>1029</v>
      </c>
      <c r="J119" s="338">
        <v>3.48</v>
      </c>
      <c r="K119" s="338">
        <v>6.0000000000000001E-3</v>
      </c>
      <c r="L119" s="338">
        <v>2.95</v>
      </c>
      <c r="M119" s="338">
        <v>1</v>
      </c>
      <c r="N119" s="338">
        <v>-1E-3</v>
      </c>
      <c r="O119" s="338" t="s">
        <v>1030</v>
      </c>
      <c r="P119" s="336" t="s">
        <v>1022</v>
      </c>
      <c r="Q119" s="341" t="s">
        <v>1030</v>
      </c>
      <c r="R119" s="337" t="s">
        <v>19</v>
      </c>
      <c r="S119" s="343" t="s">
        <v>1031</v>
      </c>
    </row>
    <row r="120" spans="1:19" x14ac:dyDescent="0.25">
      <c r="A120" s="340">
        <v>607</v>
      </c>
      <c r="B120" s="338">
        <v>20</v>
      </c>
      <c r="C120" s="338">
        <v>3</v>
      </c>
      <c r="D120" s="335" t="s">
        <v>1013</v>
      </c>
      <c r="E120" s="338">
        <v>0</v>
      </c>
      <c r="F120" s="338">
        <v>0</v>
      </c>
      <c r="G120" s="338">
        <v>0</v>
      </c>
      <c r="H120" s="339">
        <v>45749.623599537037</v>
      </c>
      <c r="I120" s="339">
        <v>0</v>
      </c>
      <c r="J120" s="338">
        <v>5.23</v>
      </c>
      <c r="K120" s="338">
        <v>1E-3</v>
      </c>
      <c r="L120" s="338">
        <v>0.92</v>
      </c>
      <c r="M120" s="338">
        <v>1</v>
      </c>
      <c r="N120" s="338">
        <v>0</v>
      </c>
      <c r="O120" s="338">
        <v>1E-3</v>
      </c>
      <c r="P120" s="336" t="s">
        <v>1022</v>
      </c>
      <c r="Q120" s="336" t="s">
        <v>1027</v>
      </c>
      <c r="R120" s="337" t="s">
        <v>19</v>
      </c>
      <c r="S120" s="342"/>
    </row>
    <row r="121" spans="1:19" x14ac:dyDescent="0.25">
      <c r="A121" s="340">
        <v>672</v>
      </c>
      <c r="B121" s="338">
        <v>21</v>
      </c>
      <c r="C121" s="338">
        <v>4</v>
      </c>
      <c r="D121" s="335" t="s">
        <v>1013</v>
      </c>
      <c r="E121" s="338">
        <v>0</v>
      </c>
      <c r="F121" s="338">
        <v>0</v>
      </c>
      <c r="G121" s="338">
        <v>0</v>
      </c>
      <c r="H121" s="339">
        <v>45749.624409722222</v>
      </c>
      <c r="I121" s="339">
        <v>0</v>
      </c>
      <c r="J121" s="338">
        <v>4.95</v>
      </c>
      <c r="K121" s="338">
        <v>2E-3</v>
      </c>
      <c r="L121" s="338">
        <v>1.5</v>
      </c>
      <c r="M121" s="338">
        <v>1</v>
      </c>
      <c r="N121" s="338">
        <v>0</v>
      </c>
      <c r="O121" s="338">
        <v>2E-3</v>
      </c>
      <c r="P121" s="336" t="s">
        <v>1022</v>
      </c>
      <c r="Q121" s="341">
        <v>2E-3</v>
      </c>
      <c r="R121" s="337" t="s">
        <v>19</v>
      </c>
      <c r="S121" s="342"/>
    </row>
    <row r="122" spans="1:19" x14ac:dyDescent="0.25">
      <c r="A122" s="340">
        <v>542</v>
      </c>
      <c r="B122" s="338">
        <v>22</v>
      </c>
      <c r="C122" s="338">
        <v>5</v>
      </c>
      <c r="D122" s="335" t="s">
        <v>1013</v>
      </c>
      <c r="E122" s="338">
        <v>0</v>
      </c>
      <c r="F122" s="338">
        <v>0</v>
      </c>
      <c r="G122" s="338">
        <v>0</v>
      </c>
      <c r="H122" s="339">
        <v>45749.625219907408</v>
      </c>
      <c r="I122" s="339">
        <v>0</v>
      </c>
      <c r="J122" s="338">
        <v>5.12</v>
      </c>
      <c r="K122" s="338">
        <v>3.0000000000000001E-3</v>
      </c>
      <c r="L122" s="338">
        <v>1.89</v>
      </c>
      <c r="M122" s="338">
        <v>1</v>
      </c>
      <c r="N122" s="338">
        <v>0</v>
      </c>
      <c r="O122" s="338">
        <v>3.0000000000000001E-3</v>
      </c>
      <c r="P122" s="336" t="s">
        <v>1022</v>
      </c>
      <c r="Q122" s="341">
        <v>3.0000000000000001E-3</v>
      </c>
      <c r="R122" s="337" t="s">
        <v>19</v>
      </c>
      <c r="S122" s="342"/>
    </row>
    <row r="123" spans="1:19" x14ac:dyDescent="0.25">
      <c r="A123" s="340">
        <v>620</v>
      </c>
      <c r="B123" s="338">
        <v>23</v>
      </c>
      <c r="C123" s="338">
        <v>6</v>
      </c>
      <c r="D123" s="335" t="s">
        <v>1013</v>
      </c>
      <c r="E123" s="338">
        <v>0</v>
      </c>
      <c r="F123" s="338">
        <v>0</v>
      </c>
      <c r="G123" s="338">
        <v>0</v>
      </c>
      <c r="H123" s="339">
        <v>45749.626030092593</v>
      </c>
      <c r="I123" s="339">
        <v>2E-3</v>
      </c>
      <c r="J123" s="338">
        <v>7.67</v>
      </c>
      <c r="K123" s="338">
        <v>2E-3</v>
      </c>
      <c r="L123" s="338">
        <v>1.25</v>
      </c>
      <c r="M123" s="338">
        <v>1</v>
      </c>
      <c r="N123" s="338">
        <v>2E-3</v>
      </c>
      <c r="O123" s="338">
        <v>2E-3</v>
      </c>
      <c r="P123" s="341">
        <v>2E-3</v>
      </c>
      <c r="Q123" s="341">
        <v>2E-3</v>
      </c>
      <c r="R123" s="337" t="s">
        <v>19</v>
      </c>
      <c r="S123" s="342"/>
    </row>
    <row r="124" spans="1:19" x14ac:dyDescent="0.25">
      <c r="A124" s="340">
        <v>295</v>
      </c>
      <c r="B124" s="338">
        <v>24</v>
      </c>
      <c r="C124" s="338">
        <v>7</v>
      </c>
      <c r="D124" s="335" t="s">
        <v>1013</v>
      </c>
      <c r="E124" s="338">
        <v>0</v>
      </c>
      <c r="F124" s="338">
        <v>0</v>
      </c>
      <c r="G124" s="338">
        <v>0</v>
      </c>
      <c r="H124" s="339">
        <v>45749.626840277779</v>
      </c>
      <c r="I124" s="339" t="s">
        <v>1029</v>
      </c>
      <c r="J124" s="338">
        <v>3.76</v>
      </c>
      <c r="K124" s="338">
        <v>8.9999999999999993E-3</v>
      </c>
      <c r="L124" s="338">
        <v>4.3099999999999996</v>
      </c>
      <c r="M124" s="338">
        <v>1</v>
      </c>
      <c r="N124" s="338">
        <v>-1E-3</v>
      </c>
      <c r="O124" s="338" t="s">
        <v>1030</v>
      </c>
      <c r="P124" s="336" t="s">
        <v>1022</v>
      </c>
      <c r="Q124" s="341" t="s">
        <v>1030</v>
      </c>
      <c r="R124" s="337" t="s">
        <v>19</v>
      </c>
      <c r="S124" s="343" t="s">
        <v>1031</v>
      </c>
    </row>
    <row r="125" spans="1:19" x14ac:dyDescent="0.25">
      <c r="A125" s="340">
        <v>308</v>
      </c>
      <c r="B125" s="338">
        <v>25</v>
      </c>
      <c r="C125" s="338">
        <v>8</v>
      </c>
      <c r="D125" s="335" t="s">
        <v>1013</v>
      </c>
      <c r="E125" s="338">
        <v>0</v>
      </c>
      <c r="F125" s="338">
        <v>0</v>
      </c>
      <c r="G125" s="338">
        <v>0</v>
      </c>
      <c r="H125" s="339">
        <v>45749.627650462964</v>
      </c>
      <c r="I125" s="339" t="s">
        <v>1029</v>
      </c>
      <c r="J125" s="338">
        <v>3.39</v>
      </c>
      <c r="K125" s="338">
        <v>3.0000000000000001E-3</v>
      </c>
      <c r="L125" s="338">
        <v>1.84</v>
      </c>
      <c r="M125" s="338">
        <v>1</v>
      </c>
      <c r="N125" s="338">
        <v>-1E-3</v>
      </c>
      <c r="O125" s="338">
        <v>3.0000000000000001E-3</v>
      </c>
      <c r="P125" s="336" t="s">
        <v>1022</v>
      </c>
      <c r="Q125" s="341">
        <v>3.0000000000000001E-3</v>
      </c>
      <c r="R125" s="337" t="s">
        <v>19</v>
      </c>
      <c r="S125" s="342"/>
    </row>
    <row r="126" spans="1:19" x14ac:dyDescent="0.25">
      <c r="A126" s="340">
        <v>373</v>
      </c>
      <c r="B126" s="338">
        <v>26</v>
      </c>
      <c r="C126" s="338">
        <v>9</v>
      </c>
      <c r="D126" s="335" t="s">
        <v>1013</v>
      </c>
      <c r="E126" s="338">
        <v>0</v>
      </c>
      <c r="F126" s="338">
        <v>0</v>
      </c>
      <c r="G126" s="338">
        <v>0</v>
      </c>
      <c r="H126" s="339">
        <v>45749.628460648149</v>
      </c>
      <c r="I126" s="339" t="s">
        <v>1026</v>
      </c>
      <c r="J126" s="338">
        <v>2.67</v>
      </c>
      <c r="K126" s="338">
        <v>1.0999999999999999E-2</v>
      </c>
      <c r="L126" s="338">
        <v>5.1100000000000003</v>
      </c>
      <c r="M126" s="338">
        <v>1</v>
      </c>
      <c r="N126" s="338">
        <v>-2E-3</v>
      </c>
      <c r="O126" s="338">
        <v>1.0999999999999999E-2</v>
      </c>
      <c r="P126" s="336" t="s">
        <v>1022</v>
      </c>
      <c r="Q126" s="341">
        <v>1.0999999999999999E-2</v>
      </c>
      <c r="R126" s="337" t="s">
        <v>19</v>
      </c>
      <c r="S126" s="342"/>
    </row>
    <row r="127" spans="1:19" x14ac:dyDescent="0.25">
      <c r="A127" s="340">
        <v>256</v>
      </c>
      <c r="B127" s="338">
        <v>27</v>
      </c>
      <c r="C127" s="338">
        <v>10</v>
      </c>
      <c r="D127" s="335" t="s">
        <v>1013</v>
      </c>
      <c r="E127" s="338">
        <v>0</v>
      </c>
      <c r="F127" s="338">
        <v>0</v>
      </c>
      <c r="G127" s="338">
        <v>0</v>
      </c>
      <c r="H127" s="339">
        <v>45749.629270833335</v>
      </c>
      <c r="I127" s="339">
        <v>1E-3</v>
      </c>
      <c r="J127" s="338">
        <v>6.01</v>
      </c>
      <c r="K127" s="338">
        <v>-1E-3</v>
      </c>
      <c r="L127" s="338">
        <v>0.05</v>
      </c>
      <c r="M127" s="338">
        <v>1</v>
      </c>
      <c r="N127" s="338">
        <v>1E-3</v>
      </c>
      <c r="O127" s="338">
        <v>-1E-3</v>
      </c>
      <c r="P127" s="336" t="s">
        <v>1022</v>
      </c>
      <c r="Q127" s="336" t="s">
        <v>1027</v>
      </c>
      <c r="R127" s="337" t="s">
        <v>610</v>
      </c>
      <c r="S127" s="342"/>
    </row>
    <row r="128" spans="1:19" x14ac:dyDescent="0.25">
      <c r="A128" s="340">
        <v>269</v>
      </c>
      <c r="B128" s="338">
        <v>28</v>
      </c>
      <c r="C128" s="338">
        <v>11</v>
      </c>
      <c r="D128" s="335" t="s">
        <v>1013</v>
      </c>
      <c r="E128" s="338">
        <v>0</v>
      </c>
      <c r="F128" s="338">
        <v>0</v>
      </c>
      <c r="G128" s="338">
        <v>0</v>
      </c>
      <c r="H128" s="339">
        <v>45749.63008101852</v>
      </c>
      <c r="I128" s="339">
        <v>0</v>
      </c>
      <c r="J128" s="338">
        <v>4.96</v>
      </c>
      <c r="K128" s="338">
        <v>8.9999999999999993E-3</v>
      </c>
      <c r="L128" s="338">
        <v>4.47</v>
      </c>
      <c r="M128" s="338">
        <v>1</v>
      </c>
      <c r="N128" s="338">
        <v>0</v>
      </c>
      <c r="O128" s="338">
        <v>8.9999999999999993E-3</v>
      </c>
      <c r="P128" s="336" t="s">
        <v>1022</v>
      </c>
      <c r="Q128" s="341">
        <v>8.9999999999999993E-3</v>
      </c>
      <c r="R128" s="337" t="s">
        <v>19</v>
      </c>
      <c r="S128" s="342"/>
    </row>
    <row r="129" spans="1:19" x14ac:dyDescent="0.25">
      <c r="A129" s="334" t="s">
        <v>1032</v>
      </c>
      <c r="B129" s="338">
        <v>29</v>
      </c>
      <c r="C129" s="338">
        <v>12</v>
      </c>
      <c r="D129" s="335" t="s">
        <v>1015</v>
      </c>
      <c r="E129" s="338">
        <v>0</v>
      </c>
      <c r="F129" s="338">
        <v>0</v>
      </c>
      <c r="G129" s="338">
        <v>1</v>
      </c>
      <c r="H129" s="339">
        <v>45749.630891203706</v>
      </c>
      <c r="I129" s="339">
        <v>0.16700000000000001</v>
      </c>
      <c r="J129" s="338">
        <v>235</v>
      </c>
      <c r="K129" s="338">
        <v>0.157</v>
      </c>
      <c r="L129" s="338">
        <v>67.27</v>
      </c>
      <c r="M129" s="338">
        <v>1</v>
      </c>
      <c r="N129" s="338">
        <v>0.16700000000000001</v>
      </c>
      <c r="O129" s="338">
        <v>0.157</v>
      </c>
      <c r="P129" s="341">
        <v>0.16700000000000001</v>
      </c>
      <c r="Q129" s="341">
        <v>0.157</v>
      </c>
      <c r="R129" s="337" t="s">
        <v>19</v>
      </c>
      <c r="S129" s="342"/>
    </row>
    <row r="130" spans="1:19" x14ac:dyDescent="0.25">
      <c r="A130" s="334" t="s">
        <v>1016</v>
      </c>
      <c r="B130" s="338">
        <v>30</v>
      </c>
      <c r="C130" s="338">
        <v>908</v>
      </c>
      <c r="D130" s="335" t="s">
        <v>1017</v>
      </c>
      <c r="E130" s="338">
        <v>0</v>
      </c>
      <c r="F130" s="338">
        <v>0</v>
      </c>
      <c r="G130" s="338">
        <v>0</v>
      </c>
      <c r="H130" s="339">
        <v>45749.631701388891</v>
      </c>
      <c r="I130" s="339">
        <v>0.16400000000000001</v>
      </c>
      <c r="J130" s="338">
        <v>230.52</v>
      </c>
      <c r="K130" s="338">
        <v>2.7E-2</v>
      </c>
      <c r="L130" s="338">
        <v>12.15</v>
      </c>
      <c r="M130" s="338">
        <v>1</v>
      </c>
      <c r="N130" s="338">
        <v>0.16400000000000001</v>
      </c>
      <c r="O130" s="338">
        <v>2.7E-2</v>
      </c>
      <c r="P130" s="338">
        <v>0.16400000000000001</v>
      </c>
      <c r="Q130" s="338">
        <v>2.7E-2</v>
      </c>
      <c r="R130" s="337" t="s">
        <v>19</v>
      </c>
      <c r="S130" s="342"/>
    </row>
    <row r="131" spans="1:19" x14ac:dyDescent="0.25">
      <c r="A131" s="334" t="s">
        <v>1006</v>
      </c>
      <c r="B131" s="338">
        <v>31</v>
      </c>
      <c r="C131" s="338">
        <v>0</v>
      </c>
      <c r="D131" s="335" t="s">
        <v>1007</v>
      </c>
      <c r="E131" s="338">
        <v>0</v>
      </c>
      <c r="F131" s="338">
        <v>0</v>
      </c>
      <c r="G131" s="338">
        <v>0</v>
      </c>
      <c r="H131" s="339">
        <v>45749.632511574076</v>
      </c>
      <c r="I131" s="339" t="s">
        <v>1028</v>
      </c>
      <c r="J131" s="338">
        <v>0</v>
      </c>
      <c r="K131" s="338">
        <v>-1E-3</v>
      </c>
      <c r="L131" s="338">
        <v>0</v>
      </c>
      <c r="M131" s="338">
        <v>1</v>
      </c>
      <c r="N131" s="338">
        <v>-4.0000000000000001E-3</v>
      </c>
      <c r="O131" s="338">
        <v>-1E-3</v>
      </c>
      <c r="P131" s="335" t="s">
        <v>1022</v>
      </c>
      <c r="Q131" s="335" t="s">
        <v>1027</v>
      </c>
      <c r="R131" s="337" t="s">
        <v>19</v>
      </c>
      <c r="S131" s="342"/>
    </row>
    <row r="132" spans="1:19" x14ac:dyDescent="0.25">
      <c r="A132" s="340">
        <v>464</v>
      </c>
      <c r="B132" s="338">
        <v>32</v>
      </c>
      <c r="C132" s="338">
        <v>13</v>
      </c>
      <c r="D132" s="335" t="s">
        <v>1013</v>
      </c>
      <c r="E132" s="338">
        <v>0</v>
      </c>
      <c r="F132" s="338">
        <v>0</v>
      </c>
      <c r="G132" s="338">
        <v>0</v>
      </c>
      <c r="H132" s="339">
        <v>45749.634942129633</v>
      </c>
      <c r="I132" s="339" t="s">
        <v>1026</v>
      </c>
      <c r="J132" s="338">
        <v>2.04</v>
      </c>
      <c r="K132" s="338">
        <v>0</v>
      </c>
      <c r="L132" s="338">
        <v>0.28000000000000003</v>
      </c>
      <c r="M132" s="338">
        <v>1</v>
      </c>
      <c r="N132" s="338">
        <v>-2E-3</v>
      </c>
      <c r="O132" s="338">
        <v>0</v>
      </c>
      <c r="P132" s="335" t="s">
        <v>1022</v>
      </c>
      <c r="Q132" s="335" t="s">
        <v>1027</v>
      </c>
      <c r="R132" s="337" t="s">
        <v>19</v>
      </c>
      <c r="S132" s="342"/>
    </row>
    <row r="133" spans="1:19" x14ac:dyDescent="0.25">
      <c r="A133" s="340">
        <v>490</v>
      </c>
      <c r="B133" s="338">
        <v>33</v>
      </c>
      <c r="C133" s="338">
        <v>14</v>
      </c>
      <c r="D133" s="335" t="s">
        <v>1013</v>
      </c>
      <c r="E133" s="338">
        <v>0</v>
      </c>
      <c r="F133" s="338">
        <v>0</v>
      </c>
      <c r="G133" s="338">
        <v>0</v>
      </c>
      <c r="H133" s="339">
        <v>45749.635752314818</v>
      </c>
      <c r="I133" s="339">
        <v>4.0000000000000001E-3</v>
      </c>
      <c r="J133" s="338">
        <v>9.89</v>
      </c>
      <c r="K133" s="338">
        <v>5.0000000000000001E-3</v>
      </c>
      <c r="L133" s="338">
        <v>2.5</v>
      </c>
      <c r="M133" s="338">
        <v>1</v>
      </c>
      <c r="N133" s="338">
        <v>4.0000000000000001E-3</v>
      </c>
      <c r="O133" s="338">
        <v>5.0000000000000001E-3</v>
      </c>
      <c r="P133" s="338">
        <v>4.0000000000000001E-3</v>
      </c>
      <c r="Q133" s="338">
        <v>5.0000000000000001E-3</v>
      </c>
      <c r="R133" s="337" t="s">
        <v>19</v>
      </c>
      <c r="S133" s="342"/>
    </row>
    <row r="134" spans="1:19" x14ac:dyDescent="0.25">
      <c r="A134" s="340">
        <v>347</v>
      </c>
      <c r="B134" s="338">
        <v>34</v>
      </c>
      <c r="C134" s="338">
        <v>15</v>
      </c>
      <c r="D134" s="335" t="s">
        <v>1013</v>
      </c>
      <c r="E134" s="338">
        <v>0</v>
      </c>
      <c r="F134" s="338">
        <v>0</v>
      </c>
      <c r="G134" s="338">
        <v>0</v>
      </c>
      <c r="H134" s="339">
        <v>45749.636562500003</v>
      </c>
      <c r="I134" s="339">
        <v>0</v>
      </c>
      <c r="J134" s="338">
        <v>4.6500000000000004</v>
      </c>
      <c r="K134" s="338">
        <v>1E-3</v>
      </c>
      <c r="L134" s="338">
        <v>0.89</v>
      </c>
      <c r="M134" s="338">
        <v>1</v>
      </c>
      <c r="N134" s="338">
        <v>0</v>
      </c>
      <c r="O134" s="338">
        <v>1E-3</v>
      </c>
      <c r="P134" s="335" t="s">
        <v>1022</v>
      </c>
      <c r="Q134" s="335" t="s">
        <v>1027</v>
      </c>
      <c r="R134" s="337" t="s">
        <v>19</v>
      </c>
      <c r="S134" s="342"/>
    </row>
    <row r="135" spans="1:19" x14ac:dyDescent="0.25">
      <c r="A135" s="340">
        <v>360</v>
      </c>
      <c r="B135" s="338">
        <v>35</v>
      </c>
      <c r="C135" s="338">
        <v>16</v>
      </c>
      <c r="D135" s="335" t="s">
        <v>1013</v>
      </c>
      <c r="E135" s="338">
        <v>0</v>
      </c>
      <c r="F135" s="338">
        <v>0</v>
      </c>
      <c r="G135" s="338">
        <v>0</v>
      </c>
      <c r="H135" s="339">
        <v>45749.637372685182</v>
      </c>
      <c r="I135" s="339">
        <v>3.0000000000000001E-3</v>
      </c>
      <c r="J135" s="338">
        <v>9.77</v>
      </c>
      <c r="K135" s="338">
        <v>3.0000000000000001E-3</v>
      </c>
      <c r="L135" s="338">
        <v>1.57</v>
      </c>
      <c r="M135" s="338">
        <v>1</v>
      </c>
      <c r="N135" s="338">
        <v>3.0000000000000001E-3</v>
      </c>
      <c r="O135" s="338">
        <v>3.0000000000000001E-3</v>
      </c>
      <c r="P135" s="338">
        <v>3.0000000000000001E-3</v>
      </c>
      <c r="Q135" s="338">
        <v>3.0000000000000001E-3</v>
      </c>
      <c r="R135" s="337" t="s">
        <v>19</v>
      </c>
      <c r="S135" s="342"/>
    </row>
    <row r="136" spans="1:19" x14ac:dyDescent="0.25">
      <c r="A136" s="340">
        <v>529</v>
      </c>
      <c r="B136" s="338">
        <v>36</v>
      </c>
      <c r="C136" s="338">
        <v>17</v>
      </c>
      <c r="D136" s="335" t="s">
        <v>1013</v>
      </c>
      <c r="E136" s="338">
        <v>0</v>
      </c>
      <c r="F136" s="338">
        <v>0</v>
      </c>
      <c r="G136" s="338">
        <v>0</v>
      </c>
      <c r="H136" s="339">
        <v>45749.638182870367</v>
      </c>
      <c r="I136" s="339">
        <v>0</v>
      </c>
      <c r="J136" s="338">
        <v>4.9400000000000004</v>
      </c>
      <c r="K136" s="338">
        <v>2E-3</v>
      </c>
      <c r="L136" s="338">
        <v>1.1000000000000001</v>
      </c>
      <c r="M136" s="338">
        <v>1</v>
      </c>
      <c r="N136" s="338">
        <v>0</v>
      </c>
      <c r="O136" s="338">
        <v>2E-3</v>
      </c>
      <c r="P136" s="335" t="s">
        <v>1022</v>
      </c>
      <c r="Q136" s="338">
        <v>2E-3</v>
      </c>
      <c r="R136" s="337" t="s">
        <v>19</v>
      </c>
      <c r="S136" s="342"/>
    </row>
    <row r="137" spans="1:19" x14ac:dyDescent="0.25">
      <c r="A137" s="340">
        <v>659</v>
      </c>
      <c r="B137" s="338">
        <v>37</v>
      </c>
      <c r="C137" s="338">
        <v>18</v>
      </c>
      <c r="D137" s="335" t="s">
        <v>1013</v>
      </c>
      <c r="E137" s="338">
        <v>0</v>
      </c>
      <c r="F137" s="338">
        <v>0</v>
      </c>
      <c r="G137" s="338">
        <v>0</v>
      </c>
      <c r="H137" s="339">
        <v>45749.638993055552</v>
      </c>
      <c r="I137" s="339">
        <v>2E-3</v>
      </c>
      <c r="J137" s="338">
        <v>7.84</v>
      </c>
      <c r="K137" s="338">
        <v>2E-3</v>
      </c>
      <c r="L137" s="338">
        <v>1.39</v>
      </c>
      <c r="M137" s="338">
        <v>1</v>
      </c>
      <c r="N137" s="338">
        <v>2E-3</v>
      </c>
      <c r="O137" s="338">
        <v>2E-3</v>
      </c>
      <c r="P137" s="338">
        <v>2E-3</v>
      </c>
      <c r="Q137" s="338">
        <v>2E-3</v>
      </c>
      <c r="R137" s="337" t="s">
        <v>19</v>
      </c>
      <c r="S137" s="342"/>
    </row>
    <row r="138" spans="1:19" x14ac:dyDescent="0.25">
      <c r="A138" s="340">
        <v>503</v>
      </c>
      <c r="B138" s="338">
        <v>38</v>
      </c>
      <c r="C138" s="338">
        <v>19</v>
      </c>
      <c r="D138" s="335" t="s">
        <v>1013</v>
      </c>
      <c r="E138" s="338">
        <v>0</v>
      </c>
      <c r="F138" s="338">
        <v>0</v>
      </c>
      <c r="G138" s="338">
        <v>0</v>
      </c>
      <c r="H138" s="339">
        <v>45749.639803240738</v>
      </c>
      <c r="I138" s="338">
        <v>1E-3</v>
      </c>
      <c r="J138" s="338">
        <v>6.83</v>
      </c>
      <c r="K138" s="338">
        <v>-3.0000000000000001E-3</v>
      </c>
      <c r="L138" s="338">
        <v>-0.91</v>
      </c>
      <c r="M138" s="338">
        <v>1</v>
      </c>
      <c r="N138" s="338">
        <v>1E-3</v>
      </c>
      <c r="O138" s="338">
        <v>-3.0000000000000001E-3</v>
      </c>
      <c r="P138" s="335" t="s">
        <v>1022</v>
      </c>
      <c r="Q138" s="335" t="s">
        <v>1027</v>
      </c>
      <c r="R138" s="337" t="s">
        <v>19</v>
      </c>
    </row>
    <row r="139" spans="1:19" x14ac:dyDescent="0.25">
      <c r="A139" s="340">
        <v>282</v>
      </c>
      <c r="B139" s="338">
        <v>39</v>
      </c>
      <c r="C139" s="338">
        <v>20</v>
      </c>
      <c r="D139" s="335" t="s">
        <v>1013</v>
      </c>
      <c r="E139" s="338">
        <v>0</v>
      </c>
      <c r="F139" s="338">
        <v>0</v>
      </c>
      <c r="G139" s="338">
        <v>0</v>
      </c>
      <c r="H139" s="339">
        <v>45749.640613425923</v>
      </c>
      <c r="I139" s="338">
        <v>6.0000000000000001E-3</v>
      </c>
      <c r="J139" s="338">
        <v>13.91</v>
      </c>
      <c r="K139" s="338">
        <v>2E-3</v>
      </c>
      <c r="L139" s="338">
        <v>1.31</v>
      </c>
      <c r="M139" s="338">
        <v>1</v>
      </c>
      <c r="N139" s="338">
        <v>6.0000000000000001E-3</v>
      </c>
      <c r="O139" s="338">
        <v>2E-3</v>
      </c>
      <c r="P139" s="338">
        <v>6.0000000000000001E-3</v>
      </c>
      <c r="Q139" s="338">
        <v>2E-3</v>
      </c>
      <c r="R139" s="337" t="s">
        <v>19</v>
      </c>
    </row>
    <row r="140" spans="1:19" x14ac:dyDescent="0.25">
      <c r="A140" s="340">
        <v>685</v>
      </c>
      <c r="B140" s="338">
        <v>40</v>
      </c>
      <c r="C140" s="338">
        <v>21</v>
      </c>
      <c r="D140" s="335" t="s">
        <v>1013</v>
      </c>
      <c r="E140" s="338">
        <v>0</v>
      </c>
      <c r="F140" s="338">
        <v>0</v>
      </c>
      <c r="G140" s="338">
        <v>0</v>
      </c>
      <c r="H140" s="339">
        <v>45749.641423611109</v>
      </c>
      <c r="I140" s="338">
        <v>0</v>
      </c>
      <c r="J140" s="338">
        <v>4.57</v>
      </c>
      <c r="K140" s="338">
        <v>1E-3</v>
      </c>
      <c r="L140" s="338">
        <v>1</v>
      </c>
      <c r="M140" s="338">
        <v>1</v>
      </c>
      <c r="N140" s="338">
        <v>0</v>
      </c>
      <c r="O140" s="338">
        <v>1E-3</v>
      </c>
      <c r="P140" s="335" t="s">
        <v>1022</v>
      </c>
      <c r="Q140" s="335" t="s">
        <v>1027</v>
      </c>
      <c r="R140" s="337" t="s">
        <v>19</v>
      </c>
    </row>
    <row r="141" spans="1:19" x14ac:dyDescent="0.25">
      <c r="A141" s="340">
        <v>386</v>
      </c>
      <c r="B141" s="338">
        <v>41</v>
      </c>
      <c r="C141" s="338">
        <v>22</v>
      </c>
      <c r="D141" s="335" t="s">
        <v>1013</v>
      </c>
      <c r="E141" s="338">
        <v>0</v>
      </c>
      <c r="F141" s="338">
        <v>0</v>
      </c>
      <c r="G141" s="338">
        <v>0</v>
      </c>
      <c r="H141" s="339">
        <v>45749.642233796294</v>
      </c>
      <c r="I141" s="338">
        <v>1E-3</v>
      </c>
      <c r="J141" s="338">
        <v>5.84</v>
      </c>
      <c r="K141" s="338">
        <v>0.10299999999999999</v>
      </c>
      <c r="L141" s="338">
        <v>44.29</v>
      </c>
      <c r="M141" s="338">
        <v>1</v>
      </c>
      <c r="N141" s="338">
        <v>1E-3</v>
      </c>
      <c r="O141" s="338">
        <v>0.10299999999999999</v>
      </c>
      <c r="P141" s="335" t="s">
        <v>1022</v>
      </c>
      <c r="Q141" s="338">
        <v>0.10299999999999999</v>
      </c>
      <c r="R141" s="337" t="s">
        <v>19</v>
      </c>
    </row>
    <row r="142" spans="1:19" x14ac:dyDescent="0.25">
      <c r="A142" s="340">
        <v>178</v>
      </c>
      <c r="B142" s="338">
        <v>42</v>
      </c>
      <c r="C142" s="338">
        <v>23</v>
      </c>
      <c r="D142" s="335" t="s">
        <v>1013</v>
      </c>
      <c r="E142" s="338">
        <v>0</v>
      </c>
      <c r="F142" s="338">
        <v>0</v>
      </c>
      <c r="G142" s="338">
        <v>0</v>
      </c>
      <c r="H142" s="339">
        <v>45749.643043981479</v>
      </c>
      <c r="I142" s="338">
        <v>0</v>
      </c>
      <c r="J142" s="338">
        <v>4.34</v>
      </c>
      <c r="K142" s="338">
        <v>0.45700000000000002</v>
      </c>
      <c r="L142" s="338">
        <v>195.24</v>
      </c>
      <c r="M142" s="338">
        <v>1</v>
      </c>
      <c r="N142" s="338">
        <v>0</v>
      </c>
      <c r="O142" s="338">
        <v>0.45700000000000002</v>
      </c>
      <c r="P142" s="335" t="s">
        <v>1022</v>
      </c>
      <c r="Q142" s="338">
        <v>0.45700000000000002</v>
      </c>
      <c r="R142" s="337" t="s">
        <v>19</v>
      </c>
    </row>
    <row r="143" spans="1:19" x14ac:dyDescent="0.25">
      <c r="A143" s="334" t="s">
        <v>1033</v>
      </c>
      <c r="B143" s="338">
        <v>43</v>
      </c>
      <c r="C143" s="338">
        <v>24</v>
      </c>
      <c r="D143" s="335" t="s">
        <v>1015</v>
      </c>
      <c r="E143" s="338">
        <v>0</v>
      </c>
      <c r="F143" s="338">
        <v>0</v>
      </c>
      <c r="G143" s="338">
        <v>1</v>
      </c>
      <c r="H143" s="339">
        <v>45749.643854166665</v>
      </c>
      <c r="I143" s="338">
        <v>0.157</v>
      </c>
      <c r="J143" s="338">
        <v>222.02</v>
      </c>
      <c r="K143" s="338">
        <v>0.59099999999999997</v>
      </c>
      <c r="L143" s="338">
        <v>252.56</v>
      </c>
      <c r="M143" s="338">
        <v>1</v>
      </c>
      <c r="N143" s="338">
        <v>0.157</v>
      </c>
      <c r="O143" s="338">
        <v>0.59099999999999997</v>
      </c>
      <c r="P143" s="338">
        <v>0.157</v>
      </c>
      <c r="Q143" s="338">
        <v>0.59099999999999997</v>
      </c>
      <c r="R143" s="337" t="s">
        <v>19</v>
      </c>
    </row>
    <row r="144" spans="1:19" x14ac:dyDescent="0.25">
      <c r="A144" s="334" t="s">
        <v>1016</v>
      </c>
      <c r="B144" s="338">
        <v>44</v>
      </c>
      <c r="C144" s="338">
        <v>908</v>
      </c>
      <c r="D144" s="335" t="s">
        <v>1017</v>
      </c>
      <c r="E144" s="338">
        <v>0</v>
      </c>
      <c r="F144" s="338">
        <v>0</v>
      </c>
      <c r="G144" s="338">
        <v>0</v>
      </c>
      <c r="H144" s="339">
        <v>45749.64466435185</v>
      </c>
      <c r="I144" s="338">
        <v>0.161</v>
      </c>
      <c r="J144" s="338">
        <v>226.93</v>
      </c>
      <c r="K144" s="338">
        <v>2.7E-2</v>
      </c>
      <c r="L144" s="338">
        <v>11.81</v>
      </c>
      <c r="M144" s="338">
        <v>1</v>
      </c>
      <c r="N144" s="338">
        <v>0.161</v>
      </c>
      <c r="O144" s="338">
        <v>2.7E-2</v>
      </c>
      <c r="P144" s="338">
        <v>0.161</v>
      </c>
      <c r="Q144" s="338">
        <v>2.7E-2</v>
      </c>
      <c r="R144" s="337" t="s">
        <v>19</v>
      </c>
    </row>
    <row r="145" spans="1:18" x14ac:dyDescent="0.25">
      <c r="A145" s="334" t="s">
        <v>1006</v>
      </c>
      <c r="B145" s="338">
        <v>45</v>
      </c>
      <c r="C145" s="338">
        <v>0</v>
      </c>
      <c r="D145" s="335" t="s">
        <v>1007</v>
      </c>
      <c r="E145" s="338">
        <v>0</v>
      </c>
      <c r="F145" s="338">
        <v>0</v>
      </c>
      <c r="G145" s="338">
        <v>0</v>
      </c>
      <c r="H145" s="339">
        <v>45749.645474537036</v>
      </c>
      <c r="I145" s="338">
        <v>-4.0000000000000001E-3</v>
      </c>
      <c r="J145" s="338">
        <v>0</v>
      </c>
      <c r="K145" s="338">
        <v>-1E-3</v>
      </c>
      <c r="L145" s="338">
        <v>0</v>
      </c>
      <c r="M145" s="338">
        <v>1</v>
      </c>
      <c r="N145" s="338">
        <v>-4.0000000000000001E-3</v>
      </c>
      <c r="O145" s="338">
        <v>-1E-3</v>
      </c>
      <c r="P145" s="335" t="s">
        <v>1022</v>
      </c>
      <c r="Q145" s="335" t="s">
        <v>1027</v>
      </c>
      <c r="R145" s="337" t="s">
        <v>19</v>
      </c>
    </row>
    <row r="146" spans="1:18" x14ac:dyDescent="0.25">
      <c r="A146" s="334" t="s">
        <v>24</v>
      </c>
      <c r="B146" s="338">
        <v>46</v>
      </c>
      <c r="C146" s="338">
        <v>906</v>
      </c>
      <c r="D146" s="335" t="s">
        <v>1013</v>
      </c>
      <c r="E146" s="338">
        <v>0</v>
      </c>
      <c r="F146" s="338">
        <v>0</v>
      </c>
      <c r="G146" s="338">
        <v>0</v>
      </c>
      <c r="H146" s="339">
        <v>45749.647905092592</v>
      </c>
      <c r="I146" s="338">
        <v>0</v>
      </c>
      <c r="J146" s="338">
        <v>4.8600000000000003</v>
      </c>
      <c r="K146" s="338">
        <v>-1E-3</v>
      </c>
      <c r="L146" s="338">
        <v>0.05</v>
      </c>
      <c r="M146" s="338">
        <v>1</v>
      </c>
      <c r="N146" s="338">
        <v>0</v>
      </c>
      <c r="O146" s="338">
        <v>-1E-3</v>
      </c>
      <c r="P146" s="335" t="s">
        <v>1022</v>
      </c>
      <c r="Q146" s="335" t="s">
        <v>1027</v>
      </c>
      <c r="R146" s="337" t="s">
        <v>19</v>
      </c>
    </row>
    <row r="147" spans="1:18" x14ac:dyDescent="0.25">
      <c r="A147" s="334" t="s">
        <v>24</v>
      </c>
      <c r="B147" s="338">
        <v>47</v>
      </c>
      <c r="C147" s="338">
        <v>906</v>
      </c>
      <c r="D147" s="335" t="s">
        <v>1013</v>
      </c>
      <c r="E147" s="338">
        <v>0</v>
      </c>
      <c r="F147" s="338">
        <v>0</v>
      </c>
      <c r="G147" s="338">
        <v>0</v>
      </c>
      <c r="H147" s="339">
        <v>45749.648715277777</v>
      </c>
      <c r="I147" s="338">
        <v>0</v>
      </c>
      <c r="J147" s="338">
        <v>4.68</v>
      </c>
      <c r="K147" s="338">
        <v>0</v>
      </c>
      <c r="L147" s="338">
        <v>0.26</v>
      </c>
      <c r="M147" s="338">
        <v>1</v>
      </c>
      <c r="N147" s="338">
        <v>0</v>
      </c>
      <c r="O147" s="338">
        <v>0</v>
      </c>
      <c r="P147" s="335" t="s">
        <v>1022</v>
      </c>
      <c r="Q147" s="335" t="s">
        <v>1027</v>
      </c>
      <c r="R147" s="337" t="s">
        <v>19</v>
      </c>
    </row>
    <row r="148" spans="1:18" x14ac:dyDescent="0.25">
      <c r="A148" s="334" t="s">
        <v>24</v>
      </c>
      <c r="B148" s="338">
        <v>48</v>
      </c>
      <c r="C148" s="338">
        <v>906</v>
      </c>
      <c r="D148" s="335" t="s">
        <v>1013</v>
      </c>
      <c r="E148" s="338">
        <v>0</v>
      </c>
      <c r="F148" s="338">
        <v>0</v>
      </c>
      <c r="G148" s="338">
        <v>0</v>
      </c>
      <c r="H148" s="339">
        <v>45749.649525462963</v>
      </c>
      <c r="I148" s="338">
        <v>0</v>
      </c>
      <c r="J148" s="338">
        <v>4.5999999999999996</v>
      </c>
      <c r="K148" s="338">
        <v>-1E-3</v>
      </c>
      <c r="L148" s="338">
        <v>0.01</v>
      </c>
      <c r="M148" s="338">
        <v>1</v>
      </c>
      <c r="N148" s="338">
        <v>0</v>
      </c>
      <c r="O148" s="338">
        <v>-1E-3</v>
      </c>
      <c r="P148" s="335" t="s">
        <v>1022</v>
      </c>
      <c r="Q148" s="335" t="s">
        <v>1027</v>
      </c>
      <c r="R148" s="337" t="s">
        <v>19</v>
      </c>
    </row>
    <row r="149" spans="1:18" x14ac:dyDescent="0.25">
      <c r="A149" s="334" t="s">
        <v>24</v>
      </c>
      <c r="B149" s="338">
        <v>49</v>
      </c>
      <c r="C149" s="338">
        <v>906</v>
      </c>
      <c r="D149" s="335" t="s">
        <v>1013</v>
      </c>
      <c r="E149" s="338">
        <v>0</v>
      </c>
      <c r="F149" s="338">
        <v>0</v>
      </c>
      <c r="G149" s="338">
        <v>0</v>
      </c>
      <c r="H149" s="339">
        <v>45749.650335648148</v>
      </c>
      <c r="I149" s="338">
        <v>0</v>
      </c>
      <c r="J149" s="338">
        <v>5.57</v>
      </c>
      <c r="K149" s="338">
        <v>-1E-3</v>
      </c>
      <c r="L149" s="338">
        <v>0.23</v>
      </c>
      <c r="M149" s="338">
        <v>1</v>
      </c>
      <c r="N149" s="338">
        <v>0</v>
      </c>
      <c r="O149" s="338">
        <v>-1E-3</v>
      </c>
      <c r="P149" s="335" t="s">
        <v>1022</v>
      </c>
      <c r="Q149" s="335" t="s">
        <v>1027</v>
      </c>
      <c r="R149" s="337" t="s">
        <v>19</v>
      </c>
    </row>
    <row r="150" spans="1:18" x14ac:dyDescent="0.25">
      <c r="A150" s="334" t="s">
        <v>24</v>
      </c>
      <c r="B150" s="338">
        <v>50</v>
      </c>
      <c r="C150" s="338">
        <v>906</v>
      </c>
      <c r="D150" s="335" t="s">
        <v>1013</v>
      </c>
      <c r="E150" s="338">
        <v>0</v>
      </c>
      <c r="F150" s="338">
        <v>0</v>
      </c>
      <c r="G150" s="338">
        <v>0</v>
      </c>
      <c r="H150" s="339">
        <v>45749.651145833333</v>
      </c>
      <c r="I150" s="338">
        <v>1E-3</v>
      </c>
      <c r="J150" s="338">
        <v>6.41</v>
      </c>
      <c r="K150" s="338">
        <v>0</v>
      </c>
      <c r="L150" s="338">
        <v>0.57999999999999996</v>
      </c>
      <c r="M150" s="338">
        <v>1</v>
      </c>
      <c r="N150" s="338">
        <v>1E-3</v>
      </c>
      <c r="O150" s="338">
        <v>0</v>
      </c>
      <c r="P150" s="335" t="s">
        <v>1022</v>
      </c>
      <c r="Q150" s="335" t="s">
        <v>1027</v>
      </c>
      <c r="R150" s="337" t="s">
        <v>19</v>
      </c>
    </row>
    <row r="151" spans="1:18" x14ac:dyDescent="0.25">
      <c r="A151" s="334" t="s">
        <v>24</v>
      </c>
      <c r="B151" s="338">
        <v>51</v>
      </c>
      <c r="C151" s="338">
        <v>906</v>
      </c>
      <c r="D151" s="335" t="s">
        <v>1013</v>
      </c>
      <c r="E151" s="338">
        <v>0</v>
      </c>
      <c r="F151" s="338">
        <v>0</v>
      </c>
      <c r="G151" s="338">
        <v>0</v>
      </c>
      <c r="H151" s="339">
        <v>45749.651956018519</v>
      </c>
      <c r="I151" s="338">
        <v>1E-3</v>
      </c>
      <c r="J151" s="338">
        <v>6.87</v>
      </c>
      <c r="K151" s="338">
        <v>0</v>
      </c>
      <c r="L151" s="338">
        <v>0.59</v>
      </c>
      <c r="M151" s="338">
        <v>1</v>
      </c>
      <c r="N151" s="338">
        <v>1E-3</v>
      </c>
      <c r="O151" s="338">
        <v>0</v>
      </c>
      <c r="P151" s="335" t="s">
        <v>1022</v>
      </c>
      <c r="Q151" s="335" t="s">
        <v>1027</v>
      </c>
      <c r="R151" s="337" t="s">
        <v>19</v>
      </c>
    </row>
    <row r="152" spans="1:18" x14ac:dyDescent="0.25">
      <c r="A152" s="334" t="s">
        <v>24</v>
      </c>
      <c r="B152" s="338">
        <v>52</v>
      </c>
      <c r="C152" s="338">
        <v>906</v>
      </c>
      <c r="D152" s="335" t="s">
        <v>1013</v>
      </c>
      <c r="E152" s="338">
        <v>0</v>
      </c>
      <c r="F152" s="338">
        <v>0</v>
      </c>
      <c r="G152" s="338">
        <v>0</v>
      </c>
      <c r="H152" s="339">
        <v>45749.652766203704</v>
      </c>
      <c r="I152" s="338">
        <v>0</v>
      </c>
      <c r="J152" s="338">
        <v>5.37</v>
      </c>
      <c r="K152" s="338">
        <v>0</v>
      </c>
      <c r="L152" s="338">
        <v>0.25</v>
      </c>
      <c r="M152" s="338">
        <v>1</v>
      </c>
      <c r="N152" s="338">
        <v>0</v>
      </c>
      <c r="O152" s="338">
        <v>0</v>
      </c>
      <c r="P152" s="335" t="s">
        <v>1022</v>
      </c>
      <c r="Q152" s="335" t="s">
        <v>1027</v>
      </c>
      <c r="R152" s="337" t="s">
        <v>19</v>
      </c>
    </row>
    <row r="153" spans="1:18" x14ac:dyDescent="0.25">
      <c r="A153" s="334" t="s">
        <v>24</v>
      </c>
      <c r="B153" s="338">
        <v>53</v>
      </c>
      <c r="C153" s="338">
        <v>906</v>
      </c>
      <c r="D153" s="335" t="s">
        <v>1013</v>
      </c>
      <c r="E153" s="338">
        <v>0</v>
      </c>
      <c r="F153" s="338">
        <v>0</v>
      </c>
      <c r="G153" s="338">
        <v>0</v>
      </c>
      <c r="H153" s="339">
        <v>45749.65357638889</v>
      </c>
      <c r="I153" s="338">
        <v>0</v>
      </c>
      <c r="J153" s="338">
        <v>4.43</v>
      </c>
      <c r="K153" s="338">
        <v>0</v>
      </c>
      <c r="L153" s="338">
        <v>0.26</v>
      </c>
      <c r="M153" s="338">
        <v>1</v>
      </c>
      <c r="N153" s="338">
        <v>0</v>
      </c>
      <c r="O153" s="338">
        <v>0</v>
      </c>
      <c r="P153" s="335" t="s">
        <v>1022</v>
      </c>
      <c r="Q153" s="335" t="s">
        <v>1027</v>
      </c>
      <c r="R153" s="337" t="s">
        <v>19</v>
      </c>
    </row>
    <row r="154" spans="1:18" x14ac:dyDescent="0.25">
      <c r="A154" s="334" t="s">
        <v>24</v>
      </c>
      <c r="B154" s="338">
        <v>54</v>
      </c>
      <c r="C154" s="338">
        <v>906</v>
      </c>
      <c r="D154" s="335" t="s">
        <v>1013</v>
      </c>
      <c r="E154" s="338">
        <v>0</v>
      </c>
      <c r="F154" s="338">
        <v>0</v>
      </c>
      <c r="G154" s="338">
        <v>0</v>
      </c>
      <c r="H154" s="339">
        <v>45749.654386574075</v>
      </c>
      <c r="I154" s="338">
        <v>-1E-3</v>
      </c>
      <c r="J154" s="338">
        <v>4.07</v>
      </c>
      <c r="K154" s="338">
        <v>-1E-3</v>
      </c>
      <c r="L154" s="338">
        <v>0.2</v>
      </c>
      <c r="M154" s="338">
        <v>1</v>
      </c>
      <c r="N154" s="338">
        <v>-1E-3</v>
      </c>
      <c r="O154" s="338">
        <v>-1E-3</v>
      </c>
      <c r="P154" s="335" t="s">
        <v>1022</v>
      </c>
      <c r="Q154" s="335" t="s">
        <v>1027</v>
      </c>
      <c r="R154" s="337" t="s">
        <v>19</v>
      </c>
    </row>
    <row r="155" spans="1:18" x14ac:dyDescent="0.25">
      <c r="A155" s="334" t="s">
        <v>24</v>
      </c>
      <c r="B155" s="338">
        <v>55</v>
      </c>
      <c r="C155" s="338">
        <v>906</v>
      </c>
      <c r="D155" s="335" t="s">
        <v>1013</v>
      </c>
      <c r="E155" s="338">
        <v>0</v>
      </c>
      <c r="F155" s="338">
        <v>0</v>
      </c>
      <c r="G155" s="338">
        <v>0</v>
      </c>
      <c r="H155" s="339">
        <v>45749.65519675926</v>
      </c>
      <c r="I155" s="338">
        <v>-1E-3</v>
      </c>
      <c r="J155" s="338">
        <v>3.79</v>
      </c>
      <c r="K155" s="338">
        <v>-1E-3</v>
      </c>
      <c r="L155" s="338">
        <v>0.02</v>
      </c>
      <c r="M155" s="338">
        <v>1</v>
      </c>
      <c r="N155" s="338">
        <v>-1E-3</v>
      </c>
      <c r="O155" s="338">
        <v>-1E-3</v>
      </c>
      <c r="P155" s="335" t="s">
        <v>1022</v>
      </c>
      <c r="Q155" s="335" t="s">
        <v>1027</v>
      </c>
      <c r="R155" s="337" t="s">
        <v>19</v>
      </c>
    </row>
    <row r="156" spans="1:18" x14ac:dyDescent="0.25">
      <c r="A156" s="334" t="s">
        <v>1014</v>
      </c>
      <c r="B156" s="338">
        <v>56</v>
      </c>
      <c r="C156" s="338">
        <v>907</v>
      </c>
      <c r="D156" s="335" t="s">
        <v>1015</v>
      </c>
      <c r="E156" s="338">
        <v>0</v>
      </c>
      <c r="F156" s="338">
        <v>0</v>
      </c>
      <c r="G156" s="338">
        <v>1</v>
      </c>
      <c r="H156" s="339">
        <v>45749.656006944446</v>
      </c>
      <c r="I156" s="338">
        <v>0.16800000000000001</v>
      </c>
      <c r="J156" s="338">
        <v>237.04</v>
      </c>
      <c r="K156" s="338">
        <v>0.14399999999999999</v>
      </c>
      <c r="L156" s="338">
        <v>62.04</v>
      </c>
      <c r="M156" s="338">
        <v>1</v>
      </c>
      <c r="N156" s="338">
        <v>0.16800000000000001</v>
      </c>
      <c r="O156" s="338">
        <v>0.14399999999999999</v>
      </c>
      <c r="P156" s="338">
        <v>0.16800000000000001</v>
      </c>
      <c r="Q156" s="338">
        <v>0.14399999999999999</v>
      </c>
      <c r="R156" s="337" t="s">
        <v>19</v>
      </c>
    </row>
    <row r="157" spans="1:18" x14ac:dyDescent="0.25">
      <c r="A157" s="334" t="s">
        <v>1016</v>
      </c>
      <c r="B157" s="338">
        <v>57</v>
      </c>
      <c r="C157" s="338">
        <v>908</v>
      </c>
      <c r="D157" s="335" t="s">
        <v>1017</v>
      </c>
      <c r="E157" s="338">
        <v>0</v>
      </c>
      <c r="F157" s="338">
        <v>0</v>
      </c>
      <c r="G157" s="338">
        <v>0</v>
      </c>
      <c r="H157" s="339">
        <v>45749.656817129631</v>
      </c>
      <c r="I157" s="338">
        <v>0.16600000000000001</v>
      </c>
      <c r="J157" s="338">
        <v>233.17</v>
      </c>
      <c r="K157" s="338">
        <v>2.8000000000000001E-2</v>
      </c>
      <c r="L157" s="338">
        <v>12.53</v>
      </c>
      <c r="M157" s="338">
        <v>1</v>
      </c>
      <c r="N157" s="338">
        <v>0.16600000000000001</v>
      </c>
      <c r="O157" s="338">
        <v>2.8000000000000001E-2</v>
      </c>
      <c r="P157" s="338">
        <v>0.16600000000000001</v>
      </c>
      <c r="Q157" s="338">
        <v>2.8000000000000001E-2</v>
      </c>
      <c r="R157" s="337" t="s">
        <v>19</v>
      </c>
    </row>
    <row r="158" spans="1:18" x14ac:dyDescent="0.25">
      <c r="A158" s="334" t="s">
        <v>1006</v>
      </c>
      <c r="B158" s="338">
        <v>58</v>
      </c>
      <c r="C158" s="338">
        <v>0</v>
      </c>
      <c r="D158" s="335" t="s">
        <v>1007</v>
      </c>
      <c r="E158" s="338">
        <v>0</v>
      </c>
      <c r="F158" s="338">
        <v>0</v>
      </c>
      <c r="G158" s="338">
        <v>0</v>
      </c>
      <c r="H158" s="339">
        <v>45749.657627314817</v>
      </c>
      <c r="I158" s="338">
        <v>-4.0000000000000001E-3</v>
      </c>
      <c r="J158" s="338">
        <v>0</v>
      </c>
      <c r="K158" s="338">
        <v>-1E-3</v>
      </c>
      <c r="L158" s="338">
        <v>0</v>
      </c>
      <c r="M158" s="338">
        <v>1</v>
      </c>
      <c r="N158" s="338">
        <v>-4.0000000000000001E-3</v>
      </c>
      <c r="O158" s="338">
        <v>-1E-3</v>
      </c>
      <c r="P158" s="335" t="s">
        <v>1022</v>
      </c>
      <c r="Q158" s="335" t="s">
        <v>1027</v>
      </c>
      <c r="R158" s="337" t="s">
        <v>19</v>
      </c>
    </row>
    <row r="159" spans="1:18" x14ac:dyDescent="0.25">
      <c r="A159" s="334" t="s">
        <v>1002</v>
      </c>
      <c r="B159" s="338">
        <v>59</v>
      </c>
      <c r="C159" s="338">
        <v>921</v>
      </c>
      <c r="D159" s="335" t="s">
        <v>1003</v>
      </c>
      <c r="E159" s="338">
        <v>0</v>
      </c>
      <c r="F159" s="338">
        <v>0</v>
      </c>
      <c r="G159" s="338">
        <v>0</v>
      </c>
      <c r="H159" s="339">
        <v>45749.660057870373</v>
      </c>
      <c r="I159" s="338">
        <v>0.218</v>
      </c>
      <c r="J159" s="338">
        <v>305.77999999999997</v>
      </c>
      <c r="K159" s="338">
        <v>0.19900000000000001</v>
      </c>
      <c r="L159" s="338">
        <v>85.57</v>
      </c>
      <c r="M159" s="338">
        <v>1</v>
      </c>
      <c r="N159" s="338">
        <v>0.218</v>
      </c>
      <c r="O159" s="338">
        <v>0.19900000000000001</v>
      </c>
      <c r="P159" s="338">
        <v>0.218</v>
      </c>
      <c r="Q159" s="338">
        <v>0.19900000000000001</v>
      </c>
      <c r="R159" s="337" t="s">
        <v>19</v>
      </c>
    </row>
    <row r="160" spans="1:18" x14ac:dyDescent="0.25">
      <c r="A160" s="334" t="s">
        <v>1020</v>
      </c>
      <c r="B160" s="338">
        <v>60</v>
      </c>
      <c r="C160" s="338">
        <v>0</v>
      </c>
      <c r="D160" s="335" t="s">
        <v>1021</v>
      </c>
      <c r="E160" s="338">
        <v>0</v>
      </c>
      <c r="F160" s="338">
        <v>0</v>
      </c>
      <c r="G160" s="338">
        <v>0</v>
      </c>
      <c r="H160" s="339">
        <v>45749.660868055558</v>
      </c>
      <c r="I160" s="338">
        <v>-4.0000000000000001E-3</v>
      </c>
      <c r="J160" s="338">
        <v>0</v>
      </c>
      <c r="K160" s="338">
        <v>-1E-3</v>
      </c>
      <c r="L160" s="338">
        <v>0</v>
      </c>
      <c r="M160" s="338">
        <v>1</v>
      </c>
      <c r="N160" s="338">
        <v>-4.0000000000000001E-3</v>
      </c>
      <c r="O160" s="338">
        <v>-1E-3</v>
      </c>
      <c r="P160" s="335" t="s">
        <v>1022</v>
      </c>
      <c r="Q160" s="335" t="s">
        <v>1027</v>
      </c>
      <c r="R160" s="337" t="s">
        <v>19</v>
      </c>
    </row>
    <row r="161" spans="1:18" x14ac:dyDescent="0.25">
      <c r="A161" s="334" t="s">
        <v>1000</v>
      </c>
      <c r="B161" s="338">
        <v>1</v>
      </c>
      <c r="C161" s="338">
        <v>921</v>
      </c>
      <c r="D161" s="335" t="s">
        <v>1001</v>
      </c>
      <c r="E161" s="338">
        <v>0</v>
      </c>
      <c r="F161" s="338">
        <v>0</v>
      </c>
      <c r="G161" s="338">
        <v>0</v>
      </c>
      <c r="H161" s="339">
        <v>45756.58488425926</v>
      </c>
      <c r="I161" s="338">
        <v>0.161</v>
      </c>
      <c r="J161" s="338">
        <v>220.5</v>
      </c>
      <c r="K161" s="338">
        <v>0.19900000000000001</v>
      </c>
      <c r="L161" s="338">
        <v>85.2</v>
      </c>
      <c r="M161" s="338">
        <v>1</v>
      </c>
      <c r="N161" s="338">
        <v>0.161</v>
      </c>
      <c r="O161" s="338">
        <v>0.19900000000000001</v>
      </c>
      <c r="P161" s="338">
        <v>0.161</v>
      </c>
      <c r="Q161" s="338">
        <v>0.19900000000000001</v>
      </c>
      <c r="R161" s="337" t="s">
        <v>19</v>
      </c>
    </row>
    <row r="162" spans="1:18" x14ac:dyDescent="0.25">
      <c r="A162" s="334" t="s">
        <v>1002</v>
      </c>
      <c r="B162" s="338">
        <v>2</v>
      </c>
      <c r="C162" s="338">
        <v>921</v>
      </c>
      <c r="D162" s="335" t="s">
        <v>1003</v>
      </c>
      <c r="E162" s="338">
        <v>0</v>
      </c>
      <c r="F162" s="338">
        <v>0</v>
      </c>
      <c r="G162" s="338">
        <v>0</v>
      </c>
      <c r="H162" s="339">
        <v>45756.585694444446</v>
      </c>
      <c r="I162" s="338">
        <v>0.193</v>
      </c>
      <c r="J162" s="338">
        <v>263.66000000000003</v>
      </c>
      <c r="K162" s="338">
        <v>0.19900000000000001</v>
      </c>
      <c r="L162" s="338">
        <v>85.41</v>
      </c>
      <c r="M162" s="338">
        <v>1</v>
      </c>
      <c r="N162" s="338">
        <v>0.193</v>
      </c>
      <c r="O162" s="338">
        <v>0.19900000000000001</v>
      </c>
      <c r="P162" s="338">
        <v>0.193</v>
      </c>
      <c r="Q162" s="338">
        <v>0.19900000000000001</v>
      </c>
      <c r="R162" s="337" t="s">
        <v>19</v>
      </c>
    </row>
    <row r="163" spans="1:18" x14ac:dyDescent="0.25">
      <c r="A163" s="340">
        <v>0.2</v>
      </c>
      <c r="B163" s="338">
        <v>3</v>
      </c>
      <c r="C163" s="338">
        <v>921</v>
      </c>
      <c r="D163" s="335" t="s">
        <v>1004</v>
      </c>
      <c r="E163" s="338">
        <v>0</v>
      </c>
      <c r="F163" s="338">
        <v>0</v>
      </c>
      <c r="G163" s="338">
        <v>0</v>
      </c>
      <c r="H163" s="339">
        <v>45756.586504629631</v>
      </c>
      <c r="I163" s="338">
        <v>0.19800000000000001</v>
      </c>
      <c r="J163" s="338">
        <v>269.27</v>
      </c>
      <c r="K163" s="338">
        <v>0.2</v>
      </c>
      <c r="L163" s="338">
        <v>85.59</v>
      </c>
      <c r="M163" s="338">
        <v>1</v>
      </c>
      <c r="N163" s="338">
        <v>0.19800000000000001</v>
      </c>
      <c r="O163" s="338">
        <v>0.2</v>
      </c>
      <c r="P163" s="338">
        <v>0.19800000000000001</v>
      </c>
      <c r="Q163" s="338">
        <v>0.2</v>
      </c>
      <c r="R163" s="337" t="s">
        <v>19</v>
      </c>
    </row>
    <row r="164" spans="1:18" x14ac:dyDescent="0.25">
      <c r="A164" s="340">
        <v>0.1</v>
      </c>
      <c r="B164" s="338">
        <v>4</v>
      </c>
      <c r="C164" s="338">
        <v>901</v>
      </c>
      <c r="D164" s="335" t="s">
        <v>1004</v>
      </c>
      <c r="E164" s="338">
        <v>0</v>
      </c>
      <c r="F164" s="338">
        <v>0</v>
      </c>
      <c r="G164" s="338">
        <v>0</v>
      </c>
      <c r="H164" s="339">
        <v>45756.587314814817</v>
      </c>
      <c r="I164" s="338">
        <v>0.105</v>
      </c>
      <c r="J164" s="338">
        <v>145.76</v>
      </c>
      <c r="K164" s="338">
        <v>0.1</v>
      </c>
      <c r="L164" s="338">
        <v>43.36</v>
      </c>
      <c r="M164" s="338">
        <v>1</v>
      </c>
      <c r="N164" s="338">
        <v>0.105</v>
      </c>
      <c r="O164" s="338">
        <v>0.1</v>
      </c>
      <c r="P164" s="338">
        <v>0.105</v>
      </c>
      <c r="Q164" s="338">
        <v>0.1</v>
      </c>
      <c r="R164" s="337" t="s">
        <v>19</v>
      </c>
    </row>
    <row r="165" spans="1:18" x14ac:dyDescent="0.25">
      <c r="A165" s="340">
        <v>0.05</v>
      </c>
      <c r="B165" s="338">
        <v>5</v>
      </c>
      <c r="C165" s="338">
        <v>902</v>
      </c>
      <c r="D165" s="335" t="s">
        <v>1004</v>
      </c>
      <c r="E165" s="338">
        <v>0</v>
      </c>
      <c r="F165" s="338">
        <v>0</v>
      </c>
      <c r="G165" s="338">
        <v>0</v>
      </c>
      <c r="H165" s="339">
        <v>45756.588125000002</v>
      </c>
      <c r="I165" s="338">
        <v>5.0999999999999997E-2</v>
      </c>
      <c r="J165" s="338">
        <v>73.77</v>
      </c>
      <c r="K165" s="338">
        <v>0.05</v>
      </c>
      <c r="L165" s="338">
        <v>21.97</v>
      </c>
      <c r="M165" s="338">
        <v>1</v>
      </c>
      <c r="N165" s="338">
        <v>5.0999999999999997E-2</v>
      </c>
      <c r="O165" s="338">
        <v>0.05</v>
      </c>
      <c r="P165" s="338">
        <v>5.0999999999999997E-2</v>
      </c>
      <c r="Q165" s="338">
        <v>0.05</v>
      </c>
      <c r="R165" s="337" t="s">
        <v>19</v>
      </c>
    </row>
    <row r="166" spans="1:18" x14ac:dyDescent="0.25">
      <c r="A166" s="340">
        <v>2.5000000000000001E-2</v>
      </c>
      <c r="B166" s="338">
        <v>6</v>
      </c>
      <c r="C166" s="338">
        <v>903</v>
      </c>
      <c r="D166" s="335" t="s">
        <v>1004</v>
      </c>
      <c r="E166" s="338">
        <v>0</v>
      </c>
      <c r="F166" s="338">
        <v>0</v>
      </c>
      <c r="G166" s="338">
        <v>0</v>
      </c>
      <c r="H166" s="339">
        <v>45756.588935185187</v>
      </c>
      <c r="I166" s="338">
        <v>2.4E-2</v>
      </c>
      <c r="J166" s="338">
        <v>38.92</v>
      </c>
      <c r="K166" s="338">
        <v>2.5000000000000001E-2</v>
      </c>
      <c r="L166" s="338">
        <v>11.17</v>
      </c>
      <c r="M166" s="338">
        <v>1</v>
      </c>
      <c r="N166" s="338">
        <v>2.4E-2</v>
      </c>
      <c r="O166" s="338">
        <v>2.5000000000000001E-2</v>
      </c>
      <c r="P166" s="338">
        <v>2.4E-2</v>
      </c>
      <c r="Q166" s="338">
        <v>2.5000000000000001E-2</v>
      </c>
      <c r="R166" s="337" t="s">
        <v>19</v>
      </c>
    </row>
    <row r="167" spans="1:18" x14ac:dyDescent="0.25">
      <c r="A167" s="340">
        <v>0.01</v>
      </c>
      <c r="B167" s="338">
        <v>7</v>
      </c>
      <c r="C167" s="338">
        <v>904</v>
      </c>
      <c r="D167" s="335" t="s">
        <v>1004</v>
      </c>
      <c r="E167" s="338">
        <v>0</v>
      </c>
      <c r="F167" s="338">
        <v>0</v>
      </c>
      <c r="G167" s="338">
        <v>0</v>
      </c>
      <c r="H167" s="339">
        <v>45756.589745370373</v>
      </c>
      <c r="I167" s="338">
        <v>0.01</v>
      </c>
      <c r="J167" s="338">
        <v>19.91</v>
      </c>
      <c r="K167" s="338">
        <v>0.01</v>
      </c>
      <c r="L167" s="338">
        <v>4.96</v>
      </c>
      <c r="M167" s="338">
        <v>1</v>
      </c>
      <c r="N167" s="338">
        <v>0.01</v>
      </c>
      <c r="O167" s="338">
        <v>0.01</v>
      </c>
      <c r="P167" s="338">
        <v>0.01</v>
      </c>
      <c r="Q167" s="338">
        <v>0.01</v>
      </c>
      <c r="R167" s="337" t="s">
        <v>19</v>
      </c>
    </row>
    <row r="168" spans="1:18" x14ac:dyDescent="0.25">
      <c r="A168" s="340">
        <v>5.0000000000000001E-3</v>
      </c>
      <c r="B168" s="338">
        <v>8</v>
      </c>
      <c r="C168" s="338">
        <v>905</v>
      </c>
      <c r="D168" s="335" t="s">
        <v>1004</v>
      </c>
      <c r="E168" s="338">
        <v>0</v>
      </c>
      <c r="F168" s="338">
        <v>0</v>
      </c>
      <c r="G168" s="338">
        <v>0</v>
      </c>
      <c r="H168" s="339">
        <v>45756.590555555558</v>
      </c>
      <c r="I168" s="338">
        <v>6.0000000000000001E-3</v>
      </c>
      <c r="J168" s="338">
        <v>13.84</v>
      </c>
      <c r="K168" s="338">
        <v>5.0000000000000001E-3</v>
      </c>
      <c r="L168" s="338">
        <v>2.78</v>
      </c>
      <c r="M168" s="338">
        <v>1</v>
      </c>
      <c r="N168" s="338">
        <v>6.0000000000000001E-3</v>
      </c>
      <c r="O168" s="338">
        <v>5.0000000000000001E-3</v>
      </c>
      <c r="P168" s="338">
        <v>6.0000000000000001E-3</v>
      </c>
      <c r="Q168" s="338">
        <v>5.0000000000000001E-3</v>
      </c>
      <c r="R168" s="337" t="s">
        <v>19</v>
      </c>
    </row>
    <row r="169" spans="1:18" x14ac:dyDescent="0.25">
      <c r="A169" s="334" t="s">
        <v>24</v>
      </c>
      <c r="B169" s="338">
        <v>9</v>
      </c>
      <c r="C169" s="338">
        <v>906</v>
      </c>
      <c r="D169" s="335" t="s">
        <v>1004</v>
      </c>
      <c r="E169" s="338">
        <v>0</v>
      </c>
      <c r="F169" s="338">
        <v>0</v>
      </c>
      <c r="G169" s="338">
        <v>0</v>
      </c>
      <c r="H169" s="339">
        <v>45756.591365740744</v>
      </c>
      <c r="I169" s="338">
        <v>-3.0000000000000001E-3</v>
      </c>
      <c r="J169" s="338">
        <v>2.27</v>
      </c>
      <c r="K169" s="338">
        <v>0</v>
      </c>
      <c r="L169" s="338">
        <v>0.65</v>
      </c>
      <c r="M169" s="338">
        <v>1</v>
      </c>
      <c r="N169" s="338">
        <v>-3.0000000000000001E-3</v>
      </c>
      <c r="O169" s="338">
        <v>0</v>
      </c>
      <c r="P169" s="335" t="s">
        <v>1005</v>
      </c>
      <c r="Q169" s="335" t="s">
        <v>1027</v>
      </c>
      <c r="R169" s="337" t="s">
        <v>19</v>
      </c>
    </row>
    <row r="170" spans="1:18" x14ac:dyDescent="0.25">
      <c r="A170" s="334" t="s">
        <v>1006</v>
      </c>
      <c r="B170" s="338">
        <v>10</v>
      </c>
      <c r="C170" s="338">
        <v>0</v>
      </c>
      <c r="D170" s="335" t="s">
        <v>1007</v>
      </c>
      <c r="E170" s="338">
        <v>0</v>
      </c>
      <c r="F170" s="338">
        <v>0</v>
      </c>
      <c r="G170" s="338">
        <v>0</v>
      </c>
      <c r="H170" s="339">
        <v>45756.592175925929</v>
      </c>
      <c r="I170" s="338">
        <v>-5.0000000000000001E-3</v>
      </c>
      <c r="J170" s="338">
        <v>0</v>
      </c>
      <c r="K170" s="338">
        <v>-2E-3</v>
      </c>
      <c r="L170" s="338">
        <v>0</v>
      </c>
      <c r="M170" s="338">
        <v>1</v>
      </c>
      <c r="N170" s="338">
        <v>-5.0000000000000001E-3</v>
      </c>
      <c r="O170" s="338">
        <v>-2E-3</v>
      </c>
      <c r="P170" s="335" t="s">
        <v>1005</v>
      </c>
      <c r="Q170" s="335" t="s">
        <v>1027</v>
      </c>
      <c r="R170" s="337" t="s">
        <v>19</v>
      </c>
    </row>
    <row r="171" spans="1:18" x14ac:dyDescent="0.25">
      <c r="A171" s="334" t="s">
        <v>1009</v>
      </c>
      <c r="B171" s="338">
        <v>11</v>
      </c>
      <c r="C171" s="338">
        <v>921</v>
      </c>
      <c r="D171" s="335" t="s">
        <v>1010</v>
      </c>
      <c r="E171" s="338">
        <v>0</v>
      </c>
      <c r="F171" s="338">
        <v>1</v>
      </c>
      <c r="G171" s="338">
        <v>1</v>
      </c>
      <c r="H171" s="339">
        <v>45756.594606481478</v>
      </c>
      <c r="I171" s="338">
        <v>0.217</v>
      </c>
      <c r="J171" s="338">
        <v>295.51</v>
      </c>
      <c r="K171" s="338">
        <v>0.19900000000000001</v>
      </c>
      <c r="L171" s="338">
        <v>85.06</v>
      </c>
      <c r="M171" s="338">
        <v>1</v>
      </c>
      <c r="N171" s="338">
        <v>0.217</v>
      </c>
      <c r="O171" s="338">
        <v>0.19900000000000001</v>
      </c>
      <c r="P171" s="338">
        <v>0.217</v>
      </c>
      <c r="Q171" s="338">
        <v>0.19900000000000001</v>
      </c>
      <c r="R171" s="337" t="s">
        <v>19</v>
      </c>
    </row>
    <row r="172" spans="1:18" x14ac:dyDescent="0.25">
      <c r="A172" s="334" t="s">
        <v>1011</v>
      </c>
      <c r="B172" s="338">
        <v>12</v>
      </c>
      <c r="C172" s="338">
        <v>905</v>
      </c>
      <c r="D172" s="335" t="s">
        <v>1012</v>
      </c>
      <c r="E172" s="338">
        <v>0</v>
      </c>
      <c r="F172" s="338">
        <v>1</v>
      </c>
      <c r="G172" s="338">
        <v>2</v>
      </c>
      <c r="H172" s="339">
        <v>45756.595416666663</v>
      </c>
      <c r="I172" s="338">
        <v>7.0000000000000001E-3</v>
      </c>
      <c r="J172" s="338">
        <v>15.4</v>
      </c>
      <c r="K172" s="338">
        <v>5.0000000000000001E-3</v>
      </c>
      <c r="L172" s="338">
        <v>2.74</v>
      </c>
      <c r="M172" s="338">
        <v>1</v>
      </c>
      <c r="N172" s="338">
        <v>7.0000000000000001E-3</v>
      </c>
      <c r="O172" s="338">
        <v>5.0000000000000001E-3</v>
      </c>
      <c r="P172" s="338">
        <v>7.0000000000000001E-3</v>
      </c>
      <c r="Q172" s="338">
        <v>5.0000000000000001E-3</v>
      </c>
      <c r="R172" s="337" t="s">
        <v>19</v>
      </c>
    </row>
    <row r="173" spans="1:18" x14ac:dyDescent="0.25">
      <c r="A173" s="334" t="s">
        <v>1011</v>
      </c>
      <c r="B173" s="338">
        <v>13</v>
      </c>
      <c r="C173" s="338">
        <v>905</v>
      </c>
      <c r="D173" s="335" t="s">
        <v>1012</v>
      </c>
      <c r="E173" s="338">
        <v>0</v>
      </c>
      <c r="F173" s="338">
        <v>1</v>
      </c>
      <c r="G173" s="338">
        <v>3</v>
      </c>
      <c r="H173" s="339">
        <v>45756.596226851849</v>
      </c>
      <c r="I173" s="338">
        <v>6.0000000000000001E-3</v>
      </c>
      <c r="J173" s="338">
        <v>14.12</v>
      </c>
      <c r="K173" s="338">
        <v>5.0000000000000001E-3</v>
      </c>
      <c r="L173" s="338">
        <v>2.75</v>
      </c>
      <c r="M173" s="338">
        <v>1</v>
      </c>
      <c r="N173" s="338">
        <v>6.0000000000000001E-3</v>
      </c>
      <c r="O173" s="338">
        <v>5.0000000000000001E-3</v>
      </c>
      <c r="P173" s="338">
        <v>6.0000000000000001E-3</v>
      </c>
      <c r="Q173" s="338">
        <v>5.0000000000000001E-3</v>
      </c>
      <c r="R173" s="337" t="s">
        <v>19</v>
      </c>
    </row>
    <row r="174" spans="1:18" x14ac:dyDescent="0.25">
      <c r="A174" s="334" t="s">
        <v>24</v>
      </c>
      <c r="B174" s="338">
        <v>14</v>
      </c>
      <c r="C174" s="338">
        <v>906</v>
      </c>
      <c r="D174" s="335" t="s">
        <v>1013</v>
      </c>
      <c r="E174" s="338">
        <v>0</v>
      </c>
      <c r="F174" s="338">
        <v>0</v>
      </c>
      <c r="G174" s="338">
        <v>0</v>
      </c>
      <c r="H174" s="339">
        <v>45756.597037037034</v>
      </c>
      <c r="I174" s="338">
        <v>-3.0000000000000001E-3</v>
      </c>
      <c r="J174" s="338">
        <v>2.23</v>
      </c>
      <c r="K174" s="338">
        <v>-1E-3</v>
      </c>
      <c r="L174" s="338">
        <v>0.45</v>
      </c>
      <c r="M174" s="338">
        <v>1</v>
      </c>
      <c r="N174" s="338">
        <v>-3.0000000000000001E-3</v>
      </c>
      <c r="O174" s="338">
        <v>-1E-3</v>
      </c>
      <c r="P174" s="335" t="s">
        <v>1005</v>
      </c>
      <c r="Q174" s="335" t="s">
        <v>1027</v>
      </c>
      <c r="R174" s="337" t="s">
        <v>19</v>
      </c>
    </row>
    <row r="175" spans="1:18" x14ac:dyDescent="0.25">
      <c r="A175" s="334" t="s">
        <v>1014</v>
      </c>
      <c r="B175" s="338">
        <v>15</v>
      </c>
      <c r="C175" s="338">
        <v>907</v>
      </c>
      <c r="D175" s="335" t="s">
        <v>1015</v>
      </c>
      <c r="E175" s="338">
        <v>0</v>
      </c>
      <c r="F175" s="338">
        <v>0</v>
      </c>
      <c r="G175" s="338">
        <v>1</v>
      </c>
      <c r="H175" s="339">
        <v>45756.59784722222</v>
      </c>
      <c r="I175" s="338">
        <v>0.161</v>
      </c>
      <c r="J175" s="338">
        <v>220.55</v>
      </c>
      <c r="K175" s="338">
        <v>0.14799999999999999</v>
      </c>
      <c r="L175" s="338">
        <v>63.73</v>
      </c>
      <c r="M175" s="338">
        <v>1</v>
      </c>
      <c r="N175" s="338">
        <v>0.161</v>
      </c>
      <c r="O175" s="338">
        <v>0.14799999999999999</v>
      </c>
      <c r="P175" s="338">
        <v>0.161</v>
      </c>
      <c r="Q175" s="338">
        <v>0.14799999999999999</v>
      </c>
      <c r="R175" s="337" t="s">
        <v>19</v>
      </c>
    </row>
    <row r="176" spans="1:18" x14ac:dyDescent="0.25">
      <c r="A176" s="334" t="s">
        <v>1016</v>
      </c>
      <c r="B176" s="338">
        <v>16</v>
      </c>
      <c r="C176" s="338">
        <v>908</v>
      </c>
      <c r="D176" s="335" t="s">
        <v>1017</v>
      </c>
      <c r="E176" s="338">
        <v>0</v>
      </c>
      <c r="F176" s="338">
        <v>0</v>
      </c>
      <c r="G176" s="338">
        <v>0</v>
      </c>
      <c r="H176" s="339">
        <v>45756.598657407405</v>
      </c>
      <c r="I176" s="338">
        <v>0.16700000000000001</v>
      </c>
      <c r="J176" s="338">
        <v>228.97</v>
      </c>
      <c r="K176" s="338">
        <v>2.9000000000000001E-2</v>
      </c>
      <c r="L176" s="338">
        <v>13.15</v>
      </c>
      <c r="M176" s="338">
        <v>1</v>
      </c>
      <c r="N176" s="338">
        <v>0.16700000000000001</v>
      </c>
      <c r="O176" s="338">
        <v>2.9000000000000001E-2</v>
      </c>
      <c r="P176" s="338">
        <v>0.16700000000000001</v>
      </c>
      <c r="Q176" s="338">
        <v>2.9000000000000001E-2</v>
      </c>
      <c r="R176" s="337" t="s">
        <v>19</v>
      </c>
    </row>
    <row r="177" spans="1:18" x14ac:dyDescent="0.25">
      <c r="A177" s="334" t="s">
        <v>1006</v>
      </c>
      <c r="B177" s="338">
        <v>17</v>
      </c>
      <c r="C177" s="338">
        <v>0</v>
      </c>
      <c r="D177" s="335" t="s">
        <v>1007</v>
      </c>
      <c r="E177" s="338">
        <v>0</v>
      </c>
      <c r="F177" s="338">
        <v>0</v>
      </c>
      <c r="G177" s="338">
        <v>0</v>
      </c>
      <c r="H177" s="339">
        <v>45756.59946759259</v>
      </c>
      <c r="I177" s="338">
        <v>-5.0000000000000001E-3</v>
      </c>
      <c r="J177" s="338">
        <v>0</v>
      </c>
      <c r="K177" s="338">
        <v>-2E-3</v>
      </c>
      <c r="L177" s="338">
        <v>0</v>
      </c>
      <c r="M177" s="338">
        <v>1</v>
      </c>
      <c r="N177" s="338">
        <v>-5.0000000000000001E-3</v>
      </c>
      <c r="O177" s="338">
        <v>-2E-3</v>
      </c>
      <c r="P177" s="335" t="s">
        <v>1005</v>
      </c>
      <c r="Q177" s="335" t="s">
        <v>1027</v>
      </c>
      <c r="R177" s="337" t="s">
        <v>19</v>
      </c>
    </row>
    <row r="178" spans="1:18" x14ac:dyDescent="0.25">
      <c r="A178" s="340">
        <v>711</v>
      </c>
      <c r="B178" s="338">
        <v>18</v>
      </c>
      <c r="C178" s="338">
        <v>1</v>
      </c>
      <c r="D178" s="335" t="s">
        <v>1013</v>
      </c>
      <c r="E178" s="338">
        <v>0</v>
      </c>
      <c r="F178" s="338">
        <v>0</v>
      </c>
      <c r="G178" s="338">
        <v>0</v>
      </c>
      <c r="H178" s="339">
        <v>45756.601898148147</v>
      </c>
      <c r="I178" s="338">
        <v>-3.0000000000000001E-3</v>
      </c>
      <c r="J178" s="338">
        <v>2.73</v>
      </c>
      <c r="K178" s="338">
        <v>-1E-3</v>
      </c>
      <c r="L178" s="338">
        <v>0.22</v>
      </c>
      <c r="M178" s="338">
        <v>1</v>
      </c>
      <c r="N178" s="338">
        <v>-3.0000000000000001E-3</v>
      </c>
      <c r="O178" s="338">
        <v>-1E-3</v>
      </c>
      <c r="P178" s="335" t="s">
        <v>1005</v>
      </c>
      <c r="Q178" s="335" t="s">
        <v>1027</v>
      </c>
      <c r="R178" s="337" t="s">
        <v>19</v>
      </c>
    </row>
    <row r="179" spans="1:18" x14ac:dyDescent="0.25">
      <c r="A179" s="340">
        <v>724</v>
      </c>
      <c r="B179" s="338">
        <v>19</v>
      </c>
      <c r="C179" s="338">
        <v>2</v>
      </c>
      <c r="D179" s="335" t="s">
        <v>1013</v>
      </c>
      <c r="E179" s="338">
        <v>0</v>
      </c>
      <c r="F179" s="338">
        <v>0</v>
      </c>
      <c r="G179" s="338">
        <v>0</v>
      </c>
      <c r="H179" s="339">
        <v>45756.602708333332</v>
      </c>
      <c r="I179" s="338">
        <v>-1E-3</v>
      </c>
      <c r="J179" s="338">
        <v>5.31</v>
      </c>
      <c r="K179" s="338">
        <v>-1E-3</v>
      </c>
      <c r="L179" s="338">
        <v>0.17</v>
      </c>
      <c r="M179" s="338">
        <v>1</v>
      </c>
      <c r="N179" s="338">
        <v>-1E-3</v>
      </c>
      <c r="O179" s="338">
        <v>-1E-3</v>
      </c>
      <c r="P179" s="335" t="s">
        <v>1005</v>
      </c>
      <c r="Q179" s="335" t="s">
        <v>1027</v>
      </c>
      <c r="R179" s="337" t="s">
        <v>19</v>
      </c>
    </row>
    <row r="180" spans="1:18" x14ac:dyDescent="0.25">
      <c r="A180" s="340">
        <v>698</v>
      </c>
      <c r="B180" s="338">
        <v>20</v>
      </c>
      <c r="C180" s="338">
        <v>3</v>
      </c>
      <c r="D180" s="335" t="s">
        <v>1013</v>
      </c>
      <c r="E180" s="338">
        <v>0</v>
      </c>
      <c r="F180" s="338">
        <v>0</v>
      </c>
      <c r="G180" s="338">
        <v>0</v>
      </c>
      <c r="H180" s="339">
        <v>45756.603518518517</v>
      </c>
      <c r="I180" s="338">
        <v>2E-3</v>
      </c>
      <c r="J180" s="338">
        <v>8.89</v>
      </c>
      <c r="K180" s="338">
        <v>0</v>
      </c>
      <c r="L180" s="338">
        <v>0.83</v>
      </c>
      <c r="M180" s="338">
        <v>1</v>
      </c>
      <c r="N180" s="338">
        <v>2E-3</v>
      </c>
      <c r="O180" s="338">
        <v>0</v>
      </c>
      <c r="P180" s="338">
        <v>2E-3</v>
      </c>
      <c r="Q180" s="335" t="s">
        <v>1027</v>
      </c>
      <c r="R180" s="337" t="s">
        <v>19</v>
      </c>
    </row>
    <row r="181" spans="1:18" x14ac:dyDescent="0.25">
      <c r="A181" s="340">
        <v>451</v>
      </c>
      <c r="B181" s="338">
        <v>21</v>
      </c>
      <c r="C181" s="338">
        <v>4</v>
      </c>
      <c r="D181" s="335" t="s">
        <v>1013</v>
      </c>
      <c r="E181" s="338">
        <v>0</v>
      </c>
      <c r="F181" s="338">
        <v>0</v>
      </c>
      <c r="G181" s="338">
        <v>0</v>
      </c>
      <c r="H181" s="339">
        <v>45756.604328703703</v>
      </c>
      <c r="I181" s="338">
        <v>-2E-3</v>
      </c>
      <c r="J181" s="338">
        <v>3.86</v>
      </c>
      <c r="K181" s="338">
        <v>-1E-3</v>
      </c>
      <c r="L181" s="338">
        <v>0.33</v>
      </c>
      <c r="M181" s="338">
        <v>1</v>
      </c>
      <c r="N181" s="338">
        <v>-2E-3</v>
      </c>
      <c r="O181" s="338">
        <v>-1E-3</v>
      </c>
      <c r="P181" s="335" t="s">
        <v>1005</v>
      </c>
      <c r="Q181" s="335" t="s">
        <v>1027</v>
      </c>
      <c r="R181" s="337" t="s">
        <v>19</v>
      </c>
    </row>
    <row r="182" spans="1:18" x14ac:dyDescent="0.25">
      <c r="A182" s="334" t="s">
        <v>1034</v>
      </c>
      <c r="B182" s="338">
        <v>22</v>
      </c>
      <c r="C182" s="338">
        <v>5</v>
      </c>
      <c r="D182" s="335" t="s">
        <v>1015</v>
      </c>
      <c r="E182" s="338">
        <v>0</v>
      </c>
      <c r="F182" s="338">
        <v>0</v>
      </c>
      <c r="G182" s="338">
        <v>1</v>
      </c>
      <c r="H182" s="339">
        <v>45756.605138888888</v>
      </c>
      <c r="I182" s="338">
        <v>0.161</v>
      </c>
      <c r="J182" s="338">
        <v>221.16</v>
      </c>
      <c r="K182" s="338">
        <v>0.14899999999999999</v>
      </c>
      <c r="L182" s="338">
        <v>63.83</v>
      </c>
      <c r="M182" s="338">
        <v>1</v>
      </c>
      <c r="N182" s="338">
        <v>0.161</v>
      </c>
      <c r="O182" s="338">
        <v>0.14899999999999999</v>
      </c>
      <c r="P182" s="338">
        <v>0.161</v>
      </c>
      <c r="Q182" s="338">
        <v>0.14899999999999999</v>
      </c>
      <c r="R182" s="337" t="s">
        <v>19</v>
      </c>
    </row>
    <row r="183" spans="1:18" x14ac:dyDescent="0.25">
      <c r="A183" s="334" t="s">
        <v>1016</v>
      </c>
      <c r="B183" s="338">
        <v>23</v>
      </c>
      <c r="C183" s="338">
        <v>908</v>
      </c>
      <c r="D183" s="335" t="s">
        <v>1017</v>
      </c>
      <c r="E183" s="338">
        <v>0</v>
      </c>
      <c r="F183" s="338">
        <v>0</v>
      </c>
      <c r="G183" s="338">
        <v>0</v>
      </c>
      <c r="H183" s="339">
        <v>45756.605949074074</v>
      </c>
      <c r="I183" s="338">
        <v>0.16700000000000001</v>
      </c>
      <c r="J183" s="338">
        <v>228.53</v>
      </c>
      <c r="K183" s="338">
        <v>2.9000000000000001E-2</v>
      </c>
      <c r="L183" s="338">
        <v>12.88</v>
      </c>
      <c r="M183" s="338">
        <v>1</v>
      </c>
      <c r="N183" s="338">
        <v>0.16700000000000001</v>
      </c>
      <c r="O183" s="338">
        <v>2.9000000000000001E-2</v>
      </c>
      <c r="P183" s="338">
        <v>0.16700000000000001</v>
      </c>
      <c r="Q183" s="338">
        <v>2.9000000000000001E-2</v>
      </c>
      <c r="R183" s="337" t="s">
        <v>19</v>
      </c>
    </row>
    <row r="184" spans="1:18" x14ac:dyDescent="0.25">
      <c r="A184" s="334" t="s">
        <v>1006</v>
      </c>
      <c r="B184" s="338">
        <v>24</v>
      </c>
      <c r="C184" s="338">
        <v>0</v>
      </c>
      <c r="D184" s="335" t="s">
        <v>1007</v>
      </c>
      <c r="E184" s="338">
        <v>0</v>
      </c>
      <c r="F184" s="338">
        <v>0</v>
      </c>
      <c r="G184" s="338">
        <v>0</v>
      </c>
      <c r="H184" s="339">
        <v>45756.606759259259</v>
      </c>
      <c r="I184" s="338">
        <v>-5.0000000000000001E-3</v>
      </c>
      <c r="J184" s="338">
        <v>0</v>
      </c>
      <c r="K184" s="338">
        <v>-2E-3</v>
      </c>
      <c r="L184" s="338">
        <v>0</v>
      </c>
      <c r="M184" s="338">
        <v>1</v>
      </c>
      <c r="N184" s="338">
        <v>-5.0000000000000001E-3</v>
      </c>
      <c r="O184" s="338">
        <v>-2E-3</v>
      </c>
      <c r="P184" s="335" t="s">
        <v>1005</v>
      </c>
      <c r="Q184" s="335" t="s">
        <v>1027</v>
      </c>
      <c r="R184" s="337" t="s">
        <v>19</v>
      </c>
    </row>
    <row r="185" spans="1:18" x14ac:dyDescent="0.25">
      <c r="A185" s="334" t="s">
        <v>24</v>
      </c>
      <c r="B185" s="338">
        <v>25</v>
      </c>
      <c r="C185" s="338">
        <v>906</v>
      </c>
      <c r="D185" s="335" t="s">
        <v>1013</v>
      </c>
      <c r="E185" s="338">
        <v>0</v>
      </c>
      <c r="F185" s="338">
        <v>0</v>
      </c>
      <c r="G185" s="338">
        <v>0</v>
      </c>
      <c r="H185" s="339">
        <v>45756.609189814815</v>
      </c>
      <c r="I185" s="338">
        <v>-3.0000000000000001E-3</v>
      </c>
      <c r="J185" s="338">
        <v>2.0099999999999998</v>
      </c>
      <c r="K185" s="338">
        <v>-1E-3</v>
      </c>
      <c r="L185" s="338">
        <v>0.3</v>
      </c>
      <c r="M185" s="338">
        <v>1</v>
      </c>
      <c r="N185" s="338">
        <v>-3.0000000000000001E-3</v>
      </c>
      <c r="O185" s="338">
        <v>-1E-3</v>
      </c>
      <c r="P185" s="335" t="s">
        <v>1005</v>
      </c>
      <c r="Q185" s="335" t="s">
        <v>1027</v>
      </c>
      <c r="R185" s="337" t="s">
        <v>19</v>
      </c>
    </row>
    <row r="186" spans="1:18" x14ac:dyDescent="0.25">
      <c r="A186" s="334" t="s">
        <v>24</v>
      </c>
      <c r="B186" s="338">
        <v>26</v>
      </c>
      <c r="C186" s="338">
        <v>906</v>
      </c>
      <c r="D186" s="335" t="s">
        <v>1013</v>
      </c>
      <c r="E186" s="338">
        <v>0</v>
      </c>
      <c r="F186" s="338">
        <v>0</v>
      </c>
      <c r="G186" s="338">
        <v>0</v>
      </c>
      <c r="H186" s="339">
        <v>45756.61</v>
      </c>
      <c r="I186" s="338">
        <v>-3.0000000000000001E-3</v>
      </c>
      <c r="J186" s="338">
        <v>2.17</v>
      </c>
      <c r="K186" s="338">
        <v>-1E-3</v>
      </c>
      <c r="L186" s="338">
        <v>0.28999999999999998</v>
      </c>
      <c r="M186" s="338">
        <v>1</v>
      </c>
      <c r="N186" s="338">
        <v>-3.0000000000000001E-3</v>
      </c>
      <c r="O186" s="338">
        <v>-1E-3</v>
      </c>
      <c r="P186" s="335" t="s">
        <v>1005</v>
      </c>
      <c r="Q186" s="335" t="s">
        <v>1027</v>
      </c>
      <c r="R186" s="337" t="s">
        <v>19</v>
      </c>
    </row>
    <row r="187" spans="1:18" x14ac:dyDescent="0.25">
      <c r="A187" s="334" t="s">
        <v>24</v>
      </c>
      <c r="B187" s="338">
        <v>27</v>
      </c>
      <c r="C187" s="338">
        <v>906</v>
      </c>
      <c r="D187" s="335" t="s">
        <v>1013</v>
      </c>
      <c r="E187" s="338">
        <v>0</v>
      </c>
      <c r="F187" s="338">
        <v>0</v>
      </c>
      <c r="G187" s="338">
        <v>0</v>
      </c>
      <c r="H187" s="339">
        <v>45756.610810185186</v>
      </c>
      <c r="I187" s="338">
        <v>-3.0000000000000001E-3</v>
      </c>
      <c r="J187" s="338">
        <v>2.3199999999999998</v>
      </c>
      <c r="K187" s="338">
        <v>-1E-3</v>
      </c>
      <c r="L187" s="338">
        <v>0.24</v>
      </c>
      <c r="M187" s="338">
        <v>1</v>
      </c>
      <c r="N187" s="338">
        <v>-3.0000000000000001E-3</v>
      </c>
      <c r="O187" s="338">
        <v>-1E-3</v>
      </c>
      <c r="P187" s="335" t="s">
        <v>1005</v>
      </c>
      <c r="Q187" s="335" t="s">
        <v>1027</v>
      </c>
      <c r="R187" s="337" t="s">
        <v>19</v>
      </c>
    </row>
    <row r="188" spans="1:18" x14ac:dyDescent="0.25">
      <c r="A188" s="334" t="s">
        <v>24</v>
      </c>
      <c r="B188" s="338">
        <v>28</v>
      </c>
      <c r="C188" s="338">
        <v>906</v>
      </c>
      <c r="D188" s="335" t="s">
        <v>1013</v>
      </c>
      <c r="E188" s="338">
        <v>0</v>
      </c>
      <c r="F188" s="338">
        <v>0</v>
      </c>
      <c r="G188" s="338">
        <v>0</v>
      </c>
      <c r="H188" s="339">
        <v>45756.611620370371</v>
      </c>
      <c r="I188" s="338">
        <v>-3.0000000000000001E-3</v>
      </c>
      <c r="J188" s="338">
        <v>2.5299999999999998</v>
      </c>
      <c r="K188" s="338">
        <v>-1E-3</v>
      </c>
      <c r="L188" s="338">
        <v>0.38</v>
      </c>
      <c r="M188" s="338">
        <v>1</v>
      </c>
      <c r="N188" s="338">
        <v>-3.0000000000000001E-3</v>
      </c>
      <c r="O188" s="338">
        <v>-1E-3</v>
      </c>
      <c r="P188" s="335" t="s">
        <v>1005</v>
      </c>
      <c r="Q188" s="335" t="s">
        <v>1027</v>
      </c>
      <c r="R188" s="337" t="s">
        <v>19</v>
      </c>
    </row>
    <row r="189" spans="1:18" x14ac:dyDescent="0.25">
      <c r="A189" s="334" t="s">
        <v>24</v>
      </c>
      <c r="B189" s="338">
        <v>29</v>
      </c>
      <c r="C189" s="338">
        <v>906</v>
      </c>
      <c r="D189" s="335" t="s">
        <v>1013</v>
      </c>
      <c r="E189" s="338">
        <v>0</v>
      </c>
      <c r="F189" s="338">
        <v>0</v>
      </c>
      <c r="G189" s="338">
        <v>0</v>
      </c>
      <c r="H189" s="339">
        <v>45756.612430555557</v>
      </c>
      <c r="I189" s="338">
        <v>-3.0000000000000001E-3</v>
      </c>
      <c r="J189" s="338">
        <v>2.57</v>
      </c>
      <c r="K189" s="338">
        <v>-1E-3</v>
      </c>
      <c r="L189" s="338">
        <v>0.4</v>
      </c>
      <c r="M189" s="338">
        <v>1</v>
      </c>
      <c r="N189" s="338">
        <v>-3.0000000000000001E-3</v>
      </c>
      <c r="O189" s="338">
        <v>-1E-3</v>
      </c>
      <c r="P189" s="335" t="s">
        <v>1005</v>
      </c>
      <c r="Q189" s="335" t="s">
        <v>1027</v>
      </c>
      <c r="R189" s="337" t="s">
        <v>19</v>
      </c>
    </row>
    <row r="190" spans="1:18" x14ac:dyDescent="0.25">
      <c r="A190" s="334" t="s">
        <v>24</v>
      </c>
      <c r="B190" s="338">
        <v>30</v>
      </c>
      <c r="C190" s="338">
        <v>906</v>
      </c>
      <c r="D190" s="335" t="s">
        <v>1013</v>
      </c>
      <c r="E190" s="338">
        <v>0</v>
      </c>
      <c r="F190" s="338">
        <v>0</v>
      </c>
      <c r="G190" s="338">
        <v>0</v>
      </c>
      <c r="H190" s="339">
        <v>45756.613240740742</v>
      </c>
      <c r="I190" s="338">
        <v>-3.0000000000000001E-3</v>
      </c>
      <c r="J190" s="338">
        <v>2.57</v>
      </c>
      <c r="K190" s="338">
        <v>-1E-3</v>
      </c>
      <c r="L190" s="338">
        <v>0.33</v>
      </c>
      <c r="M190" s="338">
        <v>1</v>
      </c>
      <c r="N190" s="338">
        <v>-3.0000000000000001E-3</v>
      </c>
      <c r="O190" s="338">
        <v>-1E-3</v>
      </c>
      <c r="P190" s="335" t="s">
        <v>1005</v>
      </c>
      <c r="Q190" s="335" t="s">
        <v>1027</v>
      </c>
      <c r="R190" s="337" t="s">
        <v>19</v>
      </c>
    </row>
    <row r="191" spans="1:18" x14ac:dyDescent="0.25">
      <c r="A191" s="334" t="s">
        <v>24</v>
      </c>
      <c r="B191" s="338">
        <v>31</v>
      </c>
      <c r="C191" s="338">
        <v>906</v>
      </c>
      <c r="D191" s="335" t="s">
        <v>1013</v>
      </c>
      <c r="E191" s="338">
        <v>0</v>
      </c>
      <c r="F191" s="338">
        <v>0</v>
      </c>
      <c r="G191" s="338">
        <v>0</v>
      </c>
      <c r="H191" s="339">
        <v>45756.614050925928</v>
      </c>
      <c r="I191" s="338">
        <v>-3.0000000000000001E-3</v>
      </c>
      <c r="J191" s="338">
        <v>2.59</v>
      </c>
      <c r="K191" s="338">
        <v>0</v>
      </c>
      <c r="L191" s="338">
        <v>0.7</v>
      </c>
      <c r="M191" s="338">
        <v>1</v>
      </c>
      <c r="N191" s="338">
        <v>-3.0000000000000001E-3</v>
      </c>
      <c r="O191" s="338">
        <v>0</v>
      </c>
      <c r="P191" s="335" t="s">
        <v>1005</v>
      </c>
      <c r="Q191" s="335" t="s">
        <v>1027</v>
      </c>
      <c r="R191" s="337" t="s">
        <v>19</v>
      </c>
    </row>
    <row r="192" spans="1:18" x14ac:dyDescent="0.25">
      <c r="A192" s="334" t="s">
        <v>24</v>
      </c>
      <c r="B192" s="338">
        <v>32</v>
      </c>
      <c r="C192" s="338">
        <v>906</v>
      </c>
      <c r="D192" s="335" t="s">
        <v>1013</v>
      </c>
      <c r="E192" s="338">
        <v>0</v>
      </c>
      <c r="F192" s="338">
        <v>0</v>
      </c>
      <c r="G192" s="338">
        <v>0</v>
      </c>
      <c r="H192" s="339">
        <v>45756.614861111113</v>
      </c>
      <c r="I192" s="338">
        <v>-3.0000000000000001E-3</v>
      </c>
      <c r="J192" s="338">
        <v>2.4900000000000002</v>
      </c>
      <c r="K192" s="338">
        <v>-1E-3</v>
      </c>
      <c r="L192" s="338">
        <v>0.39</v>
      </c>
      <c r="M192" s="338">
        <v>1</v>
      </c>
      <c r="N192" s="338">
        <v>-3.0000000000000001E-3</v>
      </c>
      <c r="O192" s="338">
        <v>-1E-3</v>
      </c>
      <c r="P192" s="335" t="s">
        <v>1005</v>
      </c>
      <c r="Q192" s="335" t="s">
        <v>1027</v>
      </c>
      <c r="R192" s="337" t="s">
        <v>19</v>
      </c>
    </row>
    <row r="193" spans="1:18" x14ac:dyDescent="0.25">
      <c r="A193" s="334" t="s">
        <v>24</v>
      </c>
      <c r="B193" s="338">
        <v>33</v>
      </c>
      <c r="C193" s="338">
        <v>906</v>
      </c>
      <c r="D193" s="335" t="s">
        <v>1013</v>
      </c>
      <c r="E193" s="338">
        <v>0</v>
      </c>
      <c r="F193" s="338">
        <v>0</v>
      </c>
      <c r="G193" s="338">
        <v>0</v>
      </c>
      <c r="H193" s="339">
        <v>45756.615671296298</v>
      </c>
      <c r="I193" s="338">
        <v>-3.0000000000000001E-3</v>
      </c>
      <c r="J193" s="338">
        <v>2.4700000000000002</v>
      </c>
      <c r="K193" s="338">
        <v>-1E-3</v>
      </c>
      <c r="L193" s="338">
        <v>0.37</v>
      </c>
      <c r="M193" s="338">
        <v>1</v>
      </c>
      <c r="N193" s="338">
        <v>-3.0000000000000001E-3</v>
      </c>
      <c r="O193" s="338">
        <v>-1E-3</v>
      </c>
      <c r="P193" s="335" t="s">
        <v>1005</v>
      </c>
      <c r="Q193" s="335" t="s">
        <v>1027</v>
      </c>
      <c r="R193" s="337" t="s">
        <v>19</v>
      </c>
    </row>
    <row r="194" spans="1:18" x14ac:dyDescent="0.25">
      <c r="A194" s="334" t="s">
        <v>24</v>
      </c>
      <c r="B194" s="338">
        <v>34</v>
      </c>
      <c r="C194" s="338">
        <v>906</v>
      </c>
      <c r="D194" s="335" t="s">
        <v>1013</v>
      </c>
      <c r="E194" s="338">
        <v>0</v>
      </c>
      <c r="F194" s="338">
        <v>0</v>
      </c>
      <c r="G194" s="338">
        <v>0</v>
      </c>
      <c r="H194" s="339">
        <v>45756.616481481484</v>
      </c>
      <c r="I194" s="338">
        <v>-3.0000000000000001E-3</v>
      </c>
      <c r="J194" s="338">
        <v>2.48</v>
      </c>
      <c r="K194" s="338">
        <v>-1E-3</v>
      </c>
      <c r="L194" s="338">
        <v>0.41</v>
      </c>
      <c r="M194" s="338">
        <v>1</v>
      </c>
      <c r="N194" s="338">
        <v>-3.0000000000000001E-3</v>
      </c>
      <c r="O194" s="338">
        <v>-1E-3</v>
      </c>
      <c r="P194" s="335" t="s">
        <v>1005</v>
      </c>
      <c r="Q194" s="335" t="s">
        <v>1027</v>
      </c>
      <c r="R194" s="337" t="s">
        <v>19</v>
      </c>
    </row>
    <row r="195" spans="1:18" x14ac:dyDescent="0.25">
      <c r="A195" s="334" t="s">
        <v>1014</v>
      </c>
      <c r="B195" s="338">
        <v>35</v>
      </c>
      <c r="C195" s="338">
        <v>907</v>
      </c>
      <c r="D195" s="335" t="s">
        <v>1015</v>
      </c>
      <c r="E195" s="338">
        <v>0</v>
      </c>
      <c r="F195" s="338">
        <v>0</v>
      </c>
      <c r="G195" s="338">
        <v>1</v>
      </c>
      <c r="H195" s="339">
        <v>45756.617291666669</v>
      </c>
      <c r="I195" s="338">
        <v>0.161</v>
      </c>
      <c r="J195" s="338">
        <v>221.28</v>
      </c>
      <c r="K195" s="338">
        <v>0.14699999999999999</v>
      </c>
      <c r="L195" s="338">
        <v>63.19</v>
      </c>
      <c r="M195" s="338">
        <v>1</v>
      </c>
      <c r="N195" s="338">
        <v>0.161</v>
      </c>
      <c r="O195" s="338">
        <v>0.14699999999999999</v>
      </c>
      <c r="P195" s="338">
        <v>0.161</v>
      </c>
      <c r="Q195" s="338">
        <v>0.14699999999999999</v>
      </c>
      <c r="R195" s="337" t="s">
        <v>19</v>
      </c>
    </row>
    <row r="196" spans="1:18" x14ac:dyDescent="0.25">
      <c r="A196" s="334" t="s">
        <v>1016</v>
      </c>
      <c r="B196" s="338">
        <v>36</v>
      </c>
      <c r="C196" s="338">
        <v>908</v>
      </c>
      <c r="D196" s="335" t="s">
        <v>1017</v>
      </c>
      <c r="E196" s="338">
        <v>0</v>
      </c>
      <c r="F196" s="338">
        <v>0</v>
      </c>
      <c r="G196" s="338">
        <v>0</v>
      </c>
      <c r="H196" s="339">
        <v>45756.618101851855</v>
      </c>
      <c r="I196" s="338">
        <v>0.16700000000000001</v>
      </c>
      <c r="J196" s="338">
        <v>228.18</v>
      </c>
      <c r="K196" s="338">
        <v>2.9000000000000001E-2</v>
      </c>
      <c r="L196" s="338">
        <v>13.1</v>
      </c>
      <c r="M196" s="338">
        <v>1</v>
      </c>
      <c r="N196" s="338">
        <v>0.16700000000000001</v>
      </c>
      <c r="O196" s="338">
        <v>2.9000000000000001E-2</v>
      </c>
      <c r="P196" s="338">
        <v>0.16700000000000001</v>
      </c>
      <c r="Q196" s="338">
        <v>2.9000000000000001E-2</v>
      </c>
      <c r="R196" s="337" t="s">
        <v>19</v>
      </c>
    </row>
    <row r="197" spans="1:18" x14ac:dyDescent="0.25">
      <c r="A197" s="334" t="s">
        <v>1006</v>
      </c>
      <c r="B197" s="338">
        <v>37</v>
      </c>
      <c r="C197" s="338">
        <v>0</v>
      </c>
      <c r="D197" s="335" t="s">
        <v>1007</v>
      </c>
      <c r="E197" s="338">
        <v>0</v>
      </c>
      <c r="F197" s="338">
        <v>0</v>
      </c>
      <c r="G197" s="338">
        <v>0</v>
      </c>
      <c r="H197" s="339">
        <v>45756.61891203704</v>
      </c>
      <c r="I197" s="338">
        <v>-5.0000000000000001E-3</v>
      </c>
      <c r="J197" s="338">
        <v>0</v>
      </c>
      <c r="K197" s="338">
        <v>-2E-3</v>
      </c>
      <c r="L197" s="338">
        <v>0</v>
      </c>
      <c r="M197" s="338">
        <v>1</v>
      </c>
      <c r="N197" s="338">
        <v>-5.0000000000000001E-3</v>
      </c>
      <c r="O197" s="338">
        <v>-2E-3</v>
      </c>
      <c r="P197" s="335" t="s">
        <v>1005</v>
      </c>
      <c r="Q197" s="335" t="s">
        <v>1027</v>
      </c>
      <c r="R197" s="337" t="s">
        <v>19</v>
      </c>
    </row>
    <row r="198" spans="1:18" x14ac:dyDescent="0.25">
      <c r="A198" s="334" t="s">
        <v>1002</v>
      </c>
      <c r="B198" s="338">
        <v>38</v>
      </c>
      <c r="C198" s="338">
        <v>921</v>
      </c>
      <c r="D198" s="335" t="s">
        <v>1003</v>
      </c>
      <c r="E198" s="338">
        <v>0</v>
      </c>
      <c r="F198" s="338">
        <v>0</v>
      </c>
      <c r="G198" s="338">
        <v>0</v>
      </c>
      <c r="H198" s="339">
        <v>45756.621342592596</v>
      </c>
      <c r="I198" s="338">
        <v>0.221</v>
      </c>
      <c r="J198" s="338">
        <v>301.06</v>
      </c>
      <c r="K198" s="338">
        <v>0.19900000000000001</v>
      </c>
      <c r="L198" s="338">
        <v>85.41</v>
      </c>
      <c r="M198" s="338">
        <v>1</v>
      </c>
      <c r="N198" s="338">
        <v>0.221</v>
      </c>
      <c r="O198" s="338">
        <v>0.19900000000000001</v>
      </c>
      <c r="P198" s="338">
        <v>0.221</v>
      </c>
      <c r="Q198" s="338">
        <v>0.19900000000000001</v>
      </c>
      <c r="R198" s="337" t="s">
        <v>19</v>
      </c>
    </row>
    <row r="199" spans="1:18" x14ac:dyDescent="0.25">
      <c r="A199" s="334" t="s">
        <v>1020</v>
      </c>
      <c r="B199" s="338">
        <v>39</v>
      </c>
      <c r="C199" s="338">
        <v>0</v>
      </c>
      <c r="D199" s="335" t="s">
        <v>1021</v>
      </c>
      <c r="E199" s="338">
        <v>0</v>
      </c>
      <c r="F199" s="338">
        <v>0</v>
      </c>
      <c r="G199" s="338">
        <v>0</v>
      </c>
      <c r="H199" s="339">
        <v>45756.622152777774</v>
      </c>
      <c r="I199" s="338">
        <v>-5.0000000000000001E-3</v>
      </c>
      <c r="J199" s="338">
        <v>0</v>
      </c>
      <c r="K199" s="338">
        <v>-2E-3</v>
      </c>
      <c r="L199" s="338">
        <v>0</v>
      </c>
      <c r="M199" s="338">
        <v>1</v>
      </c>
      <c r="N199" s="338">
        <v>-5.0000000000000001E-3</v>
      </c>
      <c r="O199" s="338">
        <v>-2E-3</v>
      </c>
      <c r="P199" s="335" t="s">
        <v>1005</v>
      </c>
      <c r="Q199" s="335" t="s">
        <v>1027</v>
      </c>
      <c r="R199" s="337" t="s">
        <v>19</v>
      </c>
    </row>
    <row r="200" spans="1:18" x14ac:dyDescent="0.25">
      <c r="A200" s="344"/>
      <c r="B200" s="261"/>
      <c r="C200" s="261"/>
      <c r="O200" s="16"/>
      <c r="P200" s="16"/>
    </row>
    <row r="201" spans="1:18" x14ac:dyDescent="0.25">
      <c r="A201" s="344"/>
      <c r="B201" s="261"/>
      <c r="C201" s="261"/>
      <c r="O201" s="16"/>
      <c r="P201" s="16"/>
    </row>
    <row r="202" spans="1:18" x14ac:dyDescent="0.25">
      <c r="A202" s="344"/>
      <c r="B202" s="261"/>
      <c r="C202" s="261"/>
      <c r="O202" s="16"/>
      <c r="P202" s="16"/>
    </row>
    <row r="203" spans="1:18" x14ac:dyDescent="0.25">
      <c r="A203" s="344"/>
      <c r="B203" s="261"/>
      <c r="C203" s="261"/>
      <c r="O203" s="16"/>
      <c r="P203" s="16"/>
    </row>
    <row r="204" spans="1:18" x14ac:dyDescent="0.25">
      <c r="A204" s="344"/>
      <c r="B204" s="261"/>
      <c r="C204" s="261"/>
      <c r="O204" s="16"/>
      <c r="P204" s="16"/>
    </row>
    <row r="205" spans="1:18" x14ac:dyDescent="0.25">
      <c r="A205" s="344"/>
      <c r="B205" s="261"/>
      <c r="C205" s="261"/>
      <c r="O205" s="16"/>
      <c r="P205" s="16"/>
    </row>
    <row r="206" spans="1:18" x14ac:dyDescent="0.25">
      <c r="A206" s="344"/>
      <c r="B206" s="261"/>
      <c r="C206" s="261"/>
      <c r="O206" s="16"/>
      <c r="P206" s="16"/>
    </row>
    <row r="207" spans="1:18" x14ac:dyDescent="0.25">
      <c r="A207" s="344"/>
      <c r="B207" s="261"/>
      <c r="C207" s="261"/>
      <c r="O207" s="16"/>
      <c r="P207" s="16"/>
    </row>
    <row r="208" spans="1:18" x14ac:dyDescent="0.25">
      <c r="A208" s="344"/>
      <c r="B208" s="261"/>
      <c r="C208" s="261"/>
      <c r="O208" s="16"/>
      <c r="P208" s="16"/>
    </row>
    <row r="209" spans="1:16" x14ac:dyDescent="0.25">
      <c r="A209" s="344"/>
      <c r="B209" s="261"/>
      <c r="C209" s="261"/>
      <c r="O209" s="16"/>
      <c r="P209" s="16"/>
    </row>
    <row r="210" spans="1:16" x14ac:dyDescent="0.25">
      <c r="A210" s="344"/>
      <c r="B210" s="261"/>
      <c r="C210" s="261"/>
      <c r="O210" s="16"/>
      <c r="P210" s="16"/>
    </row>
    <row r="211" spans="1:16" x14ac:dyDescent="0.25">
      <c r="A211" s="344"/>
      <c r="B211" s="261"/>
      <c r="C211" s="261"/>
      <c r="O211" s="16"/>
      <c r="P211" s="16"/>
    </row>
    <row r="212" spans="1:16" x14ac:dyDescent="0.25">
      <c r="A212" s="344"/>
      <c r="B212" s="261"/>
      <c r="C212" s="261"/>
      <c r="O212" s="16"/>
      <c r="P212" s="16"/>
    </row>
    <row r="213" spans="1:16" x14ac:dyDescent="0.25">
      <c r="A213" s="344"/>
      <c r="B213" s="261"/>
      <c r="C213" s="261"/>
      <c r="O213" s="16"/>
      <c r="P213" s="16"/>
    </row>
    <row r="214" spans="1:16" x14ac:dyDescent="0.25">
      <c r="A214" s="344"/>
      <c r="B214" s="261"/>
      <c r="C214" s="261"/>
      <c r="O214" s="16"/>
      <c r="P214" s="16"/>
    </row>
    <row r="215" spans="1:16" x14ac:dyDescent="0.25">
      <c r="A215" s="344"/>
      <c r="B215" s="261"/>
      <c r="C215" s="261"/>
      <c r="O215" s="16"/>
      <c r="P215" s="16"/>
    </row>
    <row r="216" spans="1:16" x14ac:dyDescent="0.25">
      <c r="A216" s="344"/>
      <c r="B216" s="261"/>
      <c r="C216" s="261"/>
      <c r="O216" s="16"/>
      <c r="P216" s="16"/>
    </row>
    <row r="217" spans="1:16" x14ac:dyDescent="0.25">
      <c r="A217" s="344"/>
      <c r="B217" s="261"/>
      <c r="C217" s="261"/>
      <c r="O217" s="16"/>
      <c r="P217" s="16"/>
    </row>
    <row r="218" spans="1:16" x14ac:dyDescent="0.25">
      <c r="A218" s="344"/>
      <c r="B218" s="261"/>
      <c r="C218" s="261"/>
      <c r="O218" s="16"/>
      <c r="P218" s="16"/>
    </row>
    <row r="219" spans="1:16" x14ac:dyDescent="0.25">
      <c r="A219" s="344"/>
      <c r="B219" s="261"/>
      <c r="C219" s="261"/>
      <c r="O219" s="16"/>
      <c r="P219" s="16"/>
    </row>
    <row r="220" spans="1:16" x14ac:dyDescent="0.25">
      <c r="A220" s="344"/>
      <c r="B220" s="261"/>
      <c r="C220" s="261"/>
      <c r="O220" s="16"/>
      <c r="P220" s="16"/>
    </row>
    <row r="221" spans="1:16" x14ac:dyDescent="0.25">
      <c r="A221" s="344"/>
      <c r="B221" s="261"/>
      <c r="C221" s="261"/>
      <c r="O221" s="16"/>
      <c r="P221" s="16"/>
    </row>
    <row r="222" spans="1:16" x14ac:dyDescent="0.25">
      <c r="A222" s="344"/>
      <c r="B222" s="261"/>
      <c r="C222" s="261"/>
      <c r="O222" s="16"/>
      <c r="P222" s="16"/>
    </row>
    <row r="223" spans="1:16" x14ac:dyDescent="0.25">
      <c r="A223" s="344"/>
      <c r="B223" s="261"/>
      <c r="C223" s="261"/>
      <c r="O223" s="16"/>
      <c r="P223" s="16"/>
    </row>
    <row r="224" spans="1:16" x14ac:dyDescent="0.25">
      <c r="A224" s="344"/>
      <c r="B224" s="261"/>
      <c r="C224" s="261"/>
      <c r="O224" s="16"/>
      <c r="P224" s="16"/>
    </row>
    <row r="225" spans="1:16" x14ac:dyDescent="0.25">
      <c r="A225" s="344"/>
      <c r="B225" s="261"/>
      <c r="C225" s="261"/>
      <c r="O225" s="16"/>
      <c r="P225" s="16"/>
    </row>
    <row r="226" spans="1:16" x14ac:dyDescent="0.25">
      <c r="A226" s="344"/>
      <c r="B226" s="261"/>
      <c r="C226" s="261"/>
      <c r="O226" s="16"/>
      <c r="P226" s="16"/>
    </row>
    <row r="227" spans="1:16" x14ac:dyDescent="0.25">
      <c r="A227" s="344"/>
      <c r="B227" s="261"/>
      <c r="C227" s="261"/>
      <c r="O227" s="16"/>
      <c r="P227" s="16"/>
    </row>
    <row r="228" spans="1:16" x14ac:dyDescent="0.25">
      <c r="A228" s="344"/>
      <c r="B228" s="261"/>
      <c r="C228" s="261"/>
      <c r="O228" s="16"/>
      <c r="P228" s="16"/>
    </row>
    <row r="229" spans="1:16" x14ac:dyDescent="0.25">
      <c r="A229" s="344"/>
      <c r="B229" s="261"/>
      <c r="C229" s="261"/>
      <c r="O229" s="16"/>
      <c r="P229" s="16"/>
    </row>
    <row r="230" spans="1:16" x14ac:dyDescent="0.25">
      <c r="A230" s="344"/>
      <c r="B230" s="261"/>
      <c r="C230" s="261"/>
      <c r="O230" s="16"/>
      <c r="P230" s="16"/>
    </row>
    <row r="231" spans="1:16" x14ac:dyDescent="0.25">
      <c r="A231" s="344"/>
      <c r="B231" s="261"/>
      <c r="C231" s="261"/>
      <c r="O231" s="16"/>
      <c r="P231" s="16"/>
    </row>
    <row r="232" spans="1:16" x14ac:dyDescent="0.25">
      <c r="A232" s="344"/>
      <c r="B232" s="261"/>
      <c r="C232" s="261"/>
      <c r="O232" s="16"/>
      <c r="P232" s="16"/>
    </row>
    <row r="233" spans="1:16" x14ac:dyDescent="0.25">
      <c r="A233" s="344"/>
      <c r="B233" s="261"/>
      <c r="C233" s="261"/>
      <c r="O233" s="16"/>
      <c r="P233" s="16"/>
    </row>
    <row r="234" spans="1:16" x14ac:dyDescent="0.25">
      <c r="A234" s="344"/>
      <c r="B234" s="261"/>
      <c r="C234" s="261"/>
      <c r="O234" s="16"/>
      <c r="P234" s="16"/>
    </row>
    <row r="235" spans="1:16" x14ac:dyDescent="0.25">
      <c r="A235" s="344"/>
      <c r="B235" s="261"/>
      <c r="C235" s="261"/>
      <c r="O235" s="16"/>
      <c r="P235" s="16"/>
    </row>
    <row r="236" spans="1:16" x14ac:dyDescent="0.25">
      <c r="A236" s="344"/>
      <c r="B236" s="261"/>
      <c r="C236" s="261"/>
      <c r="O236" s="16"/>
      <c r="P236" s="16"/>
    </row>
    <row r="237" spans="1:16" x14ac:dyDescent="0.25">
      <c r="A237" s="344"/>
      <c r="B237" s="261"/>
      <c r="C237" s="261"/>
      <c r="O237" s="16"/>
      <c r="P237" s="16"/>
    </row>
    <row r="238" spans="1:16" x14ac:dyDescent="0.25">
      <c r="A238" s="344"/>
      <c r="B238" s="261"/>
      <c r="C238" s="261"/>
      <c r="O238" s="16"/>
      <c r="P238" s="16"/>
    </row>
    <row r="239" spans="1:16" x14ac:dyDescent="0.25">
      <c r="A239" s="344"/>
      <c r="B239" s="261"/>
      <c r="C239" s="261"/>
      <c r="O239" s="16"/>
      <c r="P239" s="16"/>
    </row>
    <row r="240" spans="1:16" x14ac:dyDescent="0.25">
      <c r="A240" s="344"/>
      <c r="B240" s="261"/>
      <c r="C240" s="261"/>
      <c r="O240" s="16"/>
      <c r="P240" s="16"/>
    </row>
    <row r="241" spans="1:16" x14ac:dyDescent="0.25">
      <c r="A241" s="344"/>
      <c r="B241" s="261"/>
      <c r="C241" s="261"/>
      <c r="O241" s="16"/>
      <c r="P241" s="16"/>
    </row>
    <row r="242" spans="1:16" x14ac:dyDescent="0.25">
      <c r="A242" s="344"/>
      <c r="B242" s="261"/>
      <c r="C242" s="261"/>
      <c r="O242" s="16"/>
      <c r="P242" s="16"/>
    </row>
    <row r="243" spans="1:16" x14ac:dyDescent="0.25">
      <c r="A243" s="344"/>
      <c r="B243" s="261"/>
      <c r="C243" s="261"/>
      <c r="O243" s="16"/>
      <c r="P243" s="16"/>
    </row>
    <row r="244" spans="1:16" x14ac:dyDescent="0.25">
      <c r="A244" s="344"/>
      <c r="B244" s="261"/>
      <c r="C244" s="261"/>
      <c r="O244" s="16"/>
      <c r="P244" s="16"/>
    </row>
    <row r="245" spans="1:16" x14ac:dyDescent="0.25">
      <c r="A245" s="344"/>
      <c r="B245" s="261"/>
      <c r="C245" s="261"/>
      <c r="O245" s="16"/>
      <c r="P245" s="16"/>
    </row>
    <row r="246" spans="1:16" x14ac:dyDescent="0.25">
      <c r="A246" s="344"/>
      <c r="B246" s="261"/>
      <c r="C246" s="261"/>
      <c r="O246" s="16"/>
      <c r="P246" s="16"/>
    </row>
    <row r="247" spans="1:16" x14ac:dyDescent="0.25">
      <c r="A247" s="344"/>
      <c r="B247" s="261"/>
      <c r="C247" s="261"/>
      <c r="O247" s="16"/>
      <c r="P247" s="16"/>
    </row>
    <row r="248" spans="1:16" x14ac:dyDescent="0.25">
      <c r="A248" s="344"/>
      <c r="B248" s="261"/>
      <c r="C248" s="261"/>
      <c r="O248" s="16"/>
      <c r="P248" s="16"/>
    </row>
    <row r="249" spans="1:16" x14ac:dyDescent="0.25">
      <c r="A249" s="344"/>
      <c r="B249" s="261"/>
      <c r="C249" s="261"/>
      <c r="O249" s="16"/>
      <c r="P249" s="16"/>
    </row>
    <row r="250" spans="1:16" x14ac:dyDescent="0.25">
      <c r="A250" s="344"/>
      <c r="B250" s="261"/>
      <c r="C250" s="261"/>
      <c r="O250" s="16"/>
      <c r="P250" s="16"/>
    </row>
    <row r="251" spans="1:16" x14ac:dyDescent="0.25">
      <c r="A251" s="344"/>
      <c r="B251" s="261"/>
      <c r="C251" s="261"/>
      <c r="O251" s="16"/>
      <c r="P251" s="16"/>
    </row>
    <row r="252" spans="1:16" x14ac:dyDescent="0.25">
      <c r="A252" s="344"/>
      <c r="B252" s="261"/>
      <c r="C252" s="261"/>
      <c r="O252" s="16"/>
      <c r="P252" s="16"/>
    </row>
    <row r="253" spans="1:16" x14ac:dyDescent="0.25">
      <c r="A253" s="344"/>
      <c r="B253" s="261"/>
      <c r="C253" s="261"/>
      <c r="O253" s="16"/>
      <c r="P253" s="16"/>
    </row>
    <row r="254" spans="1:16" x14ac:dyDescent="0.25">
      <c r="A254" s="344"/>
      <c r="B254" s="261"/>
      <c r="C254" s="261"/>
      <c r="O254" s="16"/>
      <c r="P254" s="16"/>
    </row>
    <row r="255" spans="1:16" x14ac:dyDescent="0.25">
      <c r="A255" s="344"/>
      <c r="B255" s="261"/>
      <c r="C255" s="261"/>
      <c r="O255" s="16"/>
      <c r="P255" s="16"/>
    </row>
    <row r="256" spans="1:16" x14ac:dyDescent="0.25">
      <c r="A256" s="344"/>
      <c r="B256" s="261"/>
      <c r="C256" s="261"/>
      <c r="O256" s="16"/>
      <c r="P256" s="16"/>
    </row>
    <row r="257" spans="1:16" x14ac:dyDescent="0.25">
      <c r="A257" s="344"/>
      <c r="B257" s="261"/>
      <c r="C257" s="261"/>
      <c r="O257" s="16"/>
      <c r="P257" s="16"/>
    </row>
    <row r="258" spans="1:16" x14ac:dyDescent="0.25">
      <c r="A258" s="344"/>
      <c r="B258" s="261"/>
      <c r="C258" s="261"/>
      <c r="O258" s="16"/>
      <c r="P258" s="16"/>
    </row>
    <row r="259" spans="1:16" x14ac:dyDescent="0.25">
      <c r="A259" s="344"/>
      <c r="B259" s="261"/>
      <c r="C259" s="261"/>
      <c r="O259" s="16"/>
      <c r="P259" s="16"/>
    </row>
    <row r="260" spans="1:16" x14ac:dyDescent="0.25">
      <c r="A260" s="344"/>
      <c r="B260" s="261"/>
      <c r="C260" s="261"/>
      <c r="O260" s="16"/>
      <c r="P260" s="16"/>
    </row>
    <row r="261" spans="1:16" x14ac:dyDescent="0.25">
      <c r="A261" s="344"/>
      <c r="B261" s="261"/>
      <c r="C261" s="261"/>
      <c r="O261" s="16"/>
      <c r="P261" s="16"/>
    </row>
    <row r="262" spans="1:16" x14ac:dyDescent="0.25">
      <c r="A262" s="344"/>
      <c r="B262" s="261"/>
      <c r="C262" s="261"/>
      <c r="O262" s="16"/>
      <c r="P262" s="16"/>
    </row>
    <row r="263" spans="1:16" x14ac:dyDescent="0.25">
      <c r="A263" s="344"/>
      <c r="B263" s="261"/>
      <c r="C263" s="261"/>
      <c r="O263" s="16"/>
      <c r="P263" s="16"/>
    </row>
    <row r="264" spans="1:16" x14ac:dyDescent="0.25">
      <c r="A264" s="344"/>
      <c r="B264" s="261"/>
      <c r="C264" s="261"/>
      <c r="O264" s="16"/>
      <c r="P264" s="16"/>
    </row>
    <row r="265" spans="1:16" x14ac:dyDescent="0.25">
      <c r="A265" s="344"/>
      <c r="B265" s="261"/>
      <c r="C265" s="261"/>
      <c r="O265" s="16"/>
      <c r="P265" s="16"/>
    </row>
    <row r="266" spans="1:16" x14ac:dyDescent="0.25">
      <c r="A266" s="344"/>
      <c r="B266" s="261"/>
      <c r="C266" s="261"/>
      <c r="O266" s="16"/>
      <c r="P266" s="16"/>
    </row>
    <row r="267" spans="1:16" x14ac:dyDescent="0.25">
      <c r="A267" s="344"/>
      <c r="B267" s="261"/>
      <c r="C267" s="261"/>
      <c r="O267" s="16"/>
      <c r="P267" s="16"/>
    </row>
    <row r="268" spans="1:16" x14ac:dyDescent="0.25">
      <c r="A268" s="344"/>
      <c r="B268" s="261"/>
      <c r="C268" s="261"/>
      <c r="O268" s="16"/>
      <c r="P268" s="16"/>
    </row>
    <row r="269" spans="1:16" x14ac:dyDescent="0.25">
      <c r="A269" s="344"/>
      <c r="B269" s="261"/>
      <c r="C269" s="261"/>
      <c r="O269" s="16"/>
      <c r="P269" s="16"/>
    </row>
    <row r="270" spans="1:16" x14ac:dyDescent="0.25">
      <c r="A270" s="344"/>
      <c r="B270" s="261"/>
      <c r="C270" s="261"/>
      <c r="O270" s="16"/>
      <c r="P270" s="16"/>
    </row>
    <row r="271" spans="1:16" x14ac:dyDescent="0.25">
      <c r="A271" s="344"/>
      <c r="B271" s="261"/>
      <c r="C271" s="261"/>
      <c r="O271" s="16"/>
      <c r="P271" s="16"/>
    </row>
    <row r="272" spans="1:16" x14ac:dyDescent="0.25">
      <c r="A272" s="344"/>
      <c r="B272" s="261"/>
      <c r="C272" s="261"/>
      <c r="O272" s="16"/>
      <c r="P272" s="16"/>
    </row>
    <row r="273" spans="1:16" x14ac:dyDescent="0.25">
      <c r="A273" s="344"/>
      <c r="B273" s="261"/>
      <c r="C273" s="261"/>
      <c r="O273" s="16"/>
      <c r="P273" s="16"/>
    </row>
    <row r="274" spans="1:16" x14ac:dyDescent="0.25">
      <c r="A274" s="344"/>
      <c r="B274" s="261"/>
      <c r="C274" s="261"/>
      <c r="O274" s="16"/>
      <c r="P274" s="16"/>
    </row>
    <row r="275" spans="1:16" x14ac:dyDescent="0.25">
      <c r="A275" s="344"/>
      <c r="B275" s="261"/>
      <c r="C275" s="261"/>
      <c r="O275" s="16"/>
      <c r="P275" s="16"/>
    </row>
    <row r="276" spans="1:16" x14ac:dyDescent="0.25">
      <c r="A276" s="344"/>
      <c r="B276" s="261"/>
      <c r="C276" s="261"/>
      <c r="O276" s="16"/>
      <c r="P276" s="16"/>
    </row>
    <row r="277" spans="1:16" x14ac:dyDescent="0.25">
      <c r="A277" s="344"/>
      <c r="B277" s="261"/>
      <c r="C277" s="261"/>
      <c r="O277" s="16"/>
      <c r="P277" s="16"/>
    </row>
    <row r="278" spans="1:16" x14ac:dyDescent="0.25">
      <c r="A278" s="344"/>
      <c r="B278" s="261"/>
      <c r="C278" s="261"/>
      <c r="O278" s="16"/>
      <c r="P278" s="16"/>
    </row>
    <row r="279" spans="1:16" x14ac:dyDescent="0.25">
      <c r="A279" s="344"/>
      <c r="B279" s="261"/>
      <c r="C279" s="261"/>
      <c r="O279" s="16"/>
      <c r="P279" s="16"/>
    </row>
    <row r="280" spans="1:16" x14ac:dyDescent="0.25">
      <c r="A280" s="344"/>
      <c r="B280" s="261"/>
      <c r="C280" s="261"/>
      <c r="O280" s="16"/>
      <c r="P280" s="16"/>
    </row>
    <row r="281" spans="1:16" x14ac:dyDescent="0.25">
      <c r="A281" s="344"/>
      <c r="B281" s="261"/>
      <c r="C281" s="261"/>
      <c r="O281" s="16"/>
      <c r="P281" s="16"/>
    </row>
    <row r="282" spans="1:16" x14ac:dyDescent="0.25">
      <c r="A282" s="344"/>
      <c r="B282" s="261"/>
      <c r="C282" s="261"/>
      <c r="O282" s="16"/>
      <c r="P282" s="16"/>
    </row>
    <row r="283" spans="1:16" x14ac:dyDescent="0.25">
      <c r="A283" s="344"/>
      <c r="B283" s="261"/>
      <c r="C283" s="261"/>
      <c r="O283" s="16"/>
      <c r="P283" s="16"/>
    </row>
    <row r="284" spans="1:16" x14ac:dyDescent="0.25">
      <c r="A284" s="344"/>
      <c r="B284" s="261"/>
      <c r="C284" s="261"/>
      <c r="O284" s="16"/>
      <c r="P284" s="16"/>
    </row>
    <row r="285" spans="1:16" x14ac:dyDescent="0.25">
      <c r="A285" s="344"/>
      <c r="B285" s="261"/>
      <c r="C285" s="261"/>
      <c r="O285" s="16"/>
      <c r="P285" s="16"/>
    </row>
    <row r="286" spans="1:16" x14ac:dyDescent="0.25">
      <c r="A286" s="344"/>
      <c r="B286" s="261"/>
      <c r="C286" s="261"/>
      <c r="O286" s="16"/>
      <c r="P286" s="16"/>
    </row>
    <row r="287" spans="1:16" x14ac:dyDescent="0.25">
      <c r="A287" s="344"/>
      <c r="B287" s="261"/>
      <c r="C287" s="261"/>
      <c r="O287" s="16"/>
      <c r="P287" s="16"/>
    </row>
    <row r="288" spans="1:16" x14ac:dyDescent="0.25">
      <c r="A288" s="344"/>
      <c r="B288" s="261"/>
      <c r="C288" s="261"/>
      <c r="O288" s="16"/>
      <c r="P288" s="16"/>
    </row>
    <row r="289" spans="1:16" x14ac:dyDescent="0.25">
      <c r="A289" s="344"/>
      <c r="B289" s="261"/>
      <c r="C289" s="261"/>
      <c r="O289" s="16"/>
      <c r="P289" s="16"/>
    </row>
    <row r="290" spans="1:16" x14ac:dyDescent="0.25">
      <c r="A290" s="344"/>
      <c r="B290" s="261"/>
      <c r="C290" s="261"/>
      <c r="O290" s="16"/>
      <c r="P290" s="16"/>
    </row>
    <row r="291" spans="1:16" x14ac:dyDescent="0.25">
      <c r="A291" s="344"/>
      <c r="B291" s="261"/>
      <c r="C291" s="261"/>
      <c r="O291" s="16"/>
      <c r="P291" s="16"/>
    </row>
    <row r="292" spans="1:16" x14ac:dyDescent="0.25">
      <c r="A292" s="344"/>
      <c r="B292" s="261"/>
      <c r="C292" s="261"/>
      <c r="O292" s="16"/>
      <c r="P292" s="16"/>
    </row>
    <row r="293" spans="1:16" x14ac:dyDescent="0.25">
      <c r="A293" s="344"/>
      <c r="B293" s="261"/>
      <c r="C293" s="261"/>
      <c r="O293" s="16"/>
      <c r="P293" s="16"/>
    </row>
    <row r="294" spans="1:16" x14ac:dyDescent="0.25">
      <c r="A294" s="344"/>
      <c r="B294" s="261"/>
      <c r="C294" s="261"/>
      <c r="O294" s="16"/>
      <c r="P294" s="16"/>
    </row>
    <row r="295" spans="1:16" x14ac:dyDescent="0.25">
      <c r="A295" s="344"/>
      <c r="B295" s="261"/>
      <c r="C295" s="261"/>
      <c r="O295" s="16"/>
      <c r="P295" s="16"/>
    </row>
    <row r="296" spans="1:16" x14ac:dyDescent="0.25">
      <c r="A296" s="344"/>
      <c r="B296" s="261"/>
      <c r="C296" s="261"/>
      <c r="O296" s="16"/>
      <c r="P296" s="16"/>
    </row>
    <row r="297" spans="1:16" x14ac:dyDescent="0.25">
      <c r="A297" s="344"/>
      <c r="B297" s="261"/>
      <c r="C297" s="261"/>
      <c r="O297" s="16"/>
      <c r="P297" s="16"/>
    </row>
    <row r="298" spans="1:16" x14ac:dyDescent="0.25">
      <c r="A298" s="344"/>
      <c r="B298" s="261"/>
      <c r="C298" s="261"/>
      <c r="O298" s="16"/>
      <c r="P298" s="16"/>
    </row>
    <row r="299" spans="1:16" x14ac:dyDescent="0.25">
      <c r="A299" s="344"/>
      <c r="B299" s="261"/>
      <c r="C299" s="261"/>
      <c r="O299" s="16"/>
      <c r="P299" s="16"/>
    </row>
    <row r="300" spans="1:16" x14ac:dyDescent="0.25">
      <c r="A300" s="344"/>
      <c r="B300" s="261"/>
      <c r="C300" s="261"/>
      <c r="O300" s="16"/>
      <c r="P300" s="16"/>
    </row>
    <row r="301" spans="1:16" x14ac:dyDescent="0.25">
      <c r="A301" s="344"/>
      <c r="B301" s="261"/>
      <c r="C301" s="261"/>
      <c r="O301" s="16"/>
      <c r="P301" s="16"/>
    </row>
    <row r="302" spans="1:16" x14ac:dyDescent="0.25">
      <c r="A302" s="344"/>
      <c r="B302" s="261"/>
      <c r="C302" s="261"/>
      <c r="O302" s="16"/>
      <c r="P302" s="16"/>
    </row>
    <row r="303" spans="1:16" x14ac:dyDescent="0.25">
      <c r="A303" s="344"/>
      <c r="B303" s="261"/>
      <c r="C303" s="261"/>
      <c r="O303" s="16"/>
      <c r="P303" s="16"/>
    </row>
    <row r="304" spans="1:16" x14ac:dyDescent="0.25">
      <c r="A304" s="344"/>
      <c r="B304" s="261"/>
      <c r="C304" s="261"/>
      <c r="O304" s="16"/>
      <c r="P304" s="16"/>
    </row>
    <row r="305" spans="1:16" x14ac:dyDescent="0.25">
      <c r="A305" s="344"/>
      <c r="B305" s="261"/>
      <c r="C305" s="261"/>
      <c r="O305" s="16"/>
      <c r="P305" s="16"/>
    </row>
    <row r="306" spans="1:16" x14ac:dyDescent="0.25">
      <c r="A306" s="344"/>
      <c r="B306" s="261"/>
      <c r="C306" s="261"/>
      <c r="O306" s="16"/>
      <c r="P306" s="16"/>
    </row>
    <row r="307" spans="1:16" x14ac:dyDescent="0.25">
      <c r="A307" s="344"/>
      <c r="B307" s="261"/>
      <c r="C307" s="261"/>
      <c r="O307" s="16"/>
      <c r="P307" s="16"/>
    </row>
    <row r="308" spans="1:16" x14ac:dyDescent="0.25">
      <c r="A308" s="344"/>
      <c r="B308" s="261"/>
      <c r="C308" s="261"/>
      <c r="O308" s="16"/>
      <c r="P308" s="16"/>
    </row>
    <row r="309" spans="1:16" x14ac:dyDescent="0.25">
      <c r="A309" s="344"/>
      <c r="B309" s="261"/>
      <c r="C309" s="261"/>
      <c r="O309" s="16"/>
      <c r="P309" s="16"/>
    </row>
    <row r="310" spans="1:16" x14ac:dyDescent="0.25">
      <c r="A310" s="344"/>
      <c r="B310" s="261"/>
      <c r="C310" s="261"/>
      <c r="O310" s="16"/>
      <c r="P310" s="16"/>
    </row>
    <row r="311" spans="1:16" x14ac:dyDescent="0.25">
      <c r="A311" s="344"/>
      <c r="B311" s="261"/>
      <c r="C311" s="261"/>
      <c r="O311" s="16"/>
      <c r="P311" s="16"/>
    </row>
    <row r="312" spans="1:16" x14ac:dyDescent="0.25">
      <c r="A312" s="344"/>
      <c r="B312" s="261"/>
      <c r="C312" s="261"/>
      <c r="O312" s="16"/>
      <c r="P312" s="16"/>
    </row>
    <row r="313" spans="1:16" x14ac:dyDescent="0.25">
      <c r="A313" s="344"/>
      <c r="B313" s="261"/>
      <c r="C313" s="261"/>
      <c r="O313" s="16"/>
      <c r="P313" s="16"/>
    </row>
    <row r="314" spans="1:16" x14ac:dyDescent="0.25">
      <c r="A314" s="344"/>
      <c r="B314" s="261"/>
      <c r="C314" s="261"/>
      <c r="O314" s="16"/>
      <c r="P314" s="16"/>
    </row>
    <row r="315" spans="1:16" x14ac:dyDescent="0.25">
      <c r="A315" s="344"/>
      <c r="B315" s="261"/>
      <c r="C315" s="261"/>
      <c r="O315" s="16"/>
      <c r="P315" s="16"/>
    </row>
    <row r="316" spans="1:16" x14ac:dyDescent="0.25">
      <c r="A316" s="344"/>
      <c r="B316" s="261"/>
      <c r="C316" s="261"/>
      <c r="O316" s="16"/>
      <c r="P316" s="16"/>
    </row>
    <row r="317" spans="1:16" x14ac:dyDescent="0.25">
      <c r="A317" s="344"/>
      <c r="B317" s="261"/>
      <c r="C317" s="261"/>
      <c r="O317" s="16"/>
      <c r="P317" s="16"/>
    </row>
    <row r="318" spans="1:16" x14ac:dyDescent="0.25">
      <c r="A318" s="344"/>
      <c r="B318" s="261"/>
      <c r="C318" s="261"/>
      <c r="O318" s="16"/>
      <c r="P318" s="16"/>
    </row>
    <row r="319" spans="1:16" x14ac:dyDescent="0.25">
      <c r="A319" s="344"/>
      <c r="B319" s="261"/>
      <c r="C319" s="261"/>
      <c r="O319" s="16"/>
      <c r="P319" s="16"/>
    </row>
    <row r="320" spans="1:16" x14ac:dyDescent="0.25">
      <c r="A320" s="344"/>
      <c r="B320" s="261"/>
      <c r="C320" s="261"/>
      <c r="O320" s="16"/>
      <c r="P320" s="16"/>
    </row>
    <row r="321" spans="1:16" x14ac:dyDescent="0.25">
      <c r="A321" s="344"/>
      <c r="B321" s="261"/>
      <c r="C321" s="261"/>
      <c r="O321" s="16"/>
      <c r="P321" s="16"/>
    </row>
    <row r="322" spans="1:16" x14ac:dyDescent="0.25">
      <c r="A322" s="344"/>
      <c r="B322" s="261"/>
      <c r="C322" s="261"/>
      <c r="O322" s="16"/>
      <c r="P322" s="16"/>
    </row>
    <row r="323" spans="1:16" x14ac:dyDescent="0.25">
      <c r="A323" s="344"/>
      <c r="B323" s="261"/>
      <c r="C323" s="261"/>
      <c r="O323" s="16"/>
      <c r="P323" s="16"/>
    </row>
    <row r="324" spans="1:16" x14ac:dyDescent="0.25">
      <c r="A324" s="344"/>
      <c r="B324" s="261"/>
      <c r="C324" s="261"/>
      <c r="O324" s="16"/>
      <c r="P324" s="16"/>
    </row>
    <row r="325" spans="1:16" x14ac:dyDescent="0.25">
      <c r="A325" s="344"/>
      <c r="B325" s="261"/>
      <c r="C325" s="261"/>
      <c r="O325" s="16"/>
      <c r="P325" s="16"/>
    </row>
    <row r="326" spans="1:16" x14ac:dyDescent="0.25">
      <c r="A326" s="344"/>
      <c r="B326" s="261"/>
      <c r="C326" s="261"/>
      <c r="O326" s="16"/>
      <c r="P326" s="16"/>
    </row>
    <row r="327" spans="1:16" x14ac:dyDescent="0.25">
      <c r="A327" s="344"/>
      <c r="B327" s="261"/>
      <c r="C327" s="261"/>
      <c r="O327" s="16"/>
      <c r="P327" s="16"/>
    </row>
    <row r="328" spans="1:16" x14ac:dyDescent="0.25">
      <c r="A328" s="344"/>
      <c r="B328" s="261"/>
      <c r="C328" s="261"/>
      <c r="O328" s="16"/>
      <c r="P328" s="16"/>
    </row>
    <row r="329" spans="1:16" x14ac:dyDescent="0.25">
      <c r="A329" s="344"/>
      <c r="B329" s="261"/>
      <c r="C329" s="261"/>
      <c r="O329" s="16"/>
      <c r="P329" s="16"/>
    </row>
    <row r="330" spans="1:16" x14ac:dyDescent="0.25">
      <c r="A330" s="344"/>
      <c r="B330" s="261"/>
      <c r="C330" s="261"/>
      <c r="O330" s="16"/>
      <c r="P330" s="16"/>
    </row>
    <row r="331" spans="1:16" x14ac:dyDescent="0.25">
      <c r="A331" s="344"/>
      <c r="B331" s="261"/>
      <c r="C331" s="261"/>
      <c r="O331" s="16"/>
      <c r="P331" s="16"/>
    </row>
    <row r="332" spans="1:16" x14ac:dyDescent="0.25">
      <c r="A332" s="344"/>
      <c r="B332" s="261"/>
      <c r="C332" s="261"/>
      <c r="O332" s="16"/>
      <c r="P332" s="16"/>
    </row>
    <row r="333" spans="1:16" x14ac:dyDescent="0.25">
      <c r="A333" s="344"/>
      <c r="B333" s="261"/>
      <c r="C333" s="261"/>
      <c r="O333" s="16"/>
      <c r="P333" s="16"/>
    </row>
    <row r="334" spans="1:16" x14ac:dyDescent="0.25">
      <c r="A334" s="344"/>
      <c r="B334" s="261"/>
      <c r="C334" s="261"/>
      <c r="O334" s="16"/>
      <c r="P334" s="16"/>
    </row>
    <row r="335" spans="1:16" x14ac:dyDescent="0.25">
      <c r="A335" s="344"/>
      <c r="B335" s="261"/>
      <c r="C335" s="261"/>
      <c r="O335" s="16"/>
      <c r="P335" s="16"/>
    </row>
    <row r="336" spans="1:16" x14ac:dyDescent="0.25">
      <c r="A336" s="344"/>
      <c r="B336" s="261"/>
      <c r="C336" s="261"/>
      <c r="O336" s="16"/>
      <c r="P336" s="16"/>
    </row>
    <row r="337" spans="1:16" x14ac:dyDescent="0.25">
      <c r="A337" s="344"/>
      <c r="B337" s="261"/>
      <c r="C337" s="261"/>
      <c r="O337" s="16"/>
      <c r="P337" s="16"/>
    </row>
    <row r="338" spans="1:16" x14ac:dyDescent="0.25">
      <c r="A338" s="344"/>
      <c r="B338" s="261"/>
      <c r="C338" s="261"/>
      <c r="O338" s="16"/>
      <c r="P338" s="16"/>
    </row>
    <row r="339" spans="1:16" x14ac:dyDescent="0.25">
      <c r="A339" s="344"/>
      <c r="B339" s="261"/>
      <c r="C339" s="261"/>
      <c r="O339" s="16"/>
      <c r="P339" s="16"/>
    </row>
    <row r="340" spans="1:16" x14ac:dyDescent="0.25">
      <c r="A340" s="344"/>
      <c r="B340" s="261"/>
      <c r="C340" s="261"/>
      <c r="O340" s="16"/>
      <c r="P340" s="16"/>
    </row>
    <row r="341" spans="1:16" x14ac:dyDescent="0.25">
      <c r="A341" s="344"/>
      <c r="B341" s="261"/>
      <c r="C341" s="261"/>
      <c r="O341" s="16"/>
      <c r="P341" s="16"/>
    </row>
    <row r="342" spans="1:16" x14ac:dyDescent="0.25">
      <c r="A342" s="344"/>
      <c r="B342" s="261"/>
      <c r="C342" s="261"/>
      <c r="O342" s="16"/>
      <c r="P342" s="16"/>
    </row>
    <row r="343" spans="1:16" x14ac:dyDescent="0.25">
      <c r="A343" s="344"/>
      <c r="B343" s="261"/>
      <c r="C343" s="261"/>
      <c r="O343" s="16"/>
      <c r="P343" s="16"/>
    </row>
    <row r="344" spans="1:16" x14ac:dyDescent="0.25">
      <c r="A344" s="344"/>
      <c r="B344" s="261"/>
      <c r="C344" s="261"/>
      <c r="O344" s="16"/>
      <c r="P344" s="16"/>
    </row>
    <row r="345" spans="1:16" x14ac:dyDescent="0.25">
      <c r="A345" s="344"/>
      <c r="B345" s="261"/>
      <c r="C345" s="261"/>
      <c r="O345" s="16"/>
      <c r="P345" s="16"/>
    </row>
    <row r="346" spans="1:16" x14ac:dyDescent="0.25">
      <c r="A346" s="344"/>
      <c r="B346" s="261"/>
      <c r="C346" s="261"/>
      <c r="O346" s="16"/>
      <c r="P346" s="16"/>
    </row>
    <row r="347" spans="1:16" x14ac:dyDescent="0.25">
      <c r="A347" s="344"/>
      <c r="B347" s="261"/>
      <c r="C347" s="261"/>
      <c r="O347" s="16"/>
      <c r="P347" s="16"/>
    </row>
    <row r="348" spans="1:16" x14ac:dyDescent="0.25">
      <c r="A348" s="344"/>
      <c r="B348" s="261"/>
      <c r="C348" s="261"/>
      <c r="O348" s="16"/>
      <c r="P348" s="16"/>
    </row>
    <row r="349" spans="1:16" x14ac:dyDescent="0.25">
      <c r="A349" s="344"/>
      <c r="B349" s="261"/>
      <c r="C349" s="261"/>
      <c r="O349" s="16"/>
      <c r="P349" s="16"/>
    </row>
    <row r="350" spans="1:16" x14ac:dyDescent="0.25">
      <c r="A350" s="344"/>
      <c r="B350" s="261"/>
      <c r="C350" s="261"/>
      <c r="O350" s="16"/>
      <c r="P350" s="16"/>
    </row>
    <row r="351" spans="1:16" x14ac:dyDescent="0.25">
      <c r="A351" s="344"/>
      <c r="B351" s="261"/>
      <c r="C351" s="261"/>
      <c r="O351" s="16"/>
      <c r="P351" s="16"/>
    </row>
    <row r="352" spans="1:16" x14ac:dyDescent="0.25">
      <c r="A352" s="344"/>
      <c r="B352" s="261"/>
      <c r="C352" s="261"/>
      <c r="O352" s="16"/>
      <c r="P352" s="16"/>
    </row>
    <row r="353" spans="1:16" x14ac:dyDescent="0.25">
      <c r="A353" s="344"/>
      <c r="B353" s="261"/>
      <c r="C353" s="261"/>
      <c r="O353" s="16"/>
      <c r="P353" s="16"/>
    </row>
    <row r="354" spans="1:16" x14ac:dyDescent="0.25">
      <c r="A354" s="344"/>
      <c r="B354" s="261"/>
      <c r="C354" s="261"/>
      <c r="O354" s="16"/>
      <c r="P354" s="16"/>
    </row>
    <row r="355" spans="1:16" x14ac:dyDescent="0.25">
      <c r="A355" s="344"/>
      <c r="B355" s="261"/>
      <c r="C355" s="261"/>
      <c r="O355" s="16"/>
      <c r="P355" s="16"/>
    </row>
    <row r="356" spans="1:16" x14ac:dyDescent="0.25">
      <c r="A356" s="344"/>
      <c r="B356" s="261"/>
      <c r="C356" s="261"/>
      <c r="O356" s="16"/>
      <c r="P356" s="16"/>
    </row>
    <row r="357" spans="1:16" x14ac:dyDescent="0.25">
      <c r="A357" s="344"/>
      <c r="B357" s="261"/>
      <c r="C357" s="261"/>
      <c r="O357" s="16"/>
      <c r="P357" s="16"/>
    </row>
    <row r="358" spans="1:16" x14ac:dyDescent="0.25">
      <c r="A358" s="344"/>
      <c r="B358" s="261"/>
      <c r="C358" s="261"/>
      <c r="O358" s="16"/>
      <c r="P358" s="16"/>
    </row>
    <row r="359" spans="1:16" x14ac:dyDescent="0.25">
      <c r="A359" s="344"/>
      <c r="B359" s="261"/>
      <c r="C359" s="261"/>
      <c r="O359" s="16"/>
      <c r="P359" s="16"/>
    </row>
    <row r="360" spans="1:16" x14ac:dyDescent="0.25">
      <c r="A360" s="344"/>
      <c r="B360" s="261"/>
      <c r="C360" s="261"/>
      <c r="O360" s="16"/>
      <c r="P360" s="16"/>
    </row>
    <row r="361" spans="1:16" x14ac:dyDescent="0.25">
      <c r="A361" s="344"/>
      <c r="B361" s="261"/>
      <c r="C361" s="261"/>
      <c r="O361" s="16"/>
      <c r="P361" s="16"/>
    </row>
    <row r="362" spans="1:16" x14ac:dyDescent="0.25">
      <c r="A362" s="344"/>
      <c r="B362" s="261"/>
      <c r="C362" s="261"/>
      <c r="O362" s="16"/>
      <c r="P362" s="16"/>
    </row>
    <row r="363" spans="1:16" x14ac:dyDescent="0.25">
      <c r="A363" s="344"/>
      <c r="B363" s="261"/>
      <c r="C363" s="261"/>
      <c r="O363" s="16"/>
      <c r="P363" s="16"/>
    </row>
    <row r="364" spans="1:16" x14ac:dyDescent="0.25">
      <c r="A364" s="344"/>
      <c r="B364" s="261"/>
      <c r="C364" s="261"/>
      <c r="O364" s="16"/>
      <c r="P364" s="16"/>
    </row>
    <row r="365" spans="1:16" x14ac:dyDescent="0.25">
      <c r="A365" s="344"/>
      <c r="B365" s="261"/>
      <c r="C365" s="261"/>
      <c r="O365" s="16"/>
      <c r="P365" s="16"/>
    </row>
    <row r="366" spans="1:16" x14ac:dyDescent="0.25">
      <c r="A366" s="344"/>
      <c r="B366" s="261"/>
      <c r="C366" s="261"/>
      <c r="O366" s="16"/>
      <c r="P366" s="16"/>
    </row>
    <row r="367" spans="1:16" x14ac:dyDescent="0.25">
      <c r="A367" s="344"/>
      <c r="B367" s="261"/>
      <c r="C367" s="261"/>
      <c r="O367" s="16"/>
      <c r="P367" s="16"/>
    </row>
    <row r="368" spans="1:16" x14ac:dyDescent="0.25">
      <c r="A368" s="344"/>
      <c r="B368" s="261"/>
      <c r="C368" s="261"/>
      <c r="O368" s="16"/>
      <c r="P368" s="16"/>
    </row>
    <row r="369" spans="1:16" x14ac:dyDescent="0.25">
      <c r="A369" s="344"/>
      <c r="B369" s="261"/>
      <c r="C369" s="261"/>
      <c r="O369" s="16"/>
      <c r="P369" s="16"/>
    </row>
    <row r="370" spans="1:16" x14ac:dyDescent="0.25">
      <c r="A370" s="344"/>
      <c r="B370" s="261"/>
      <c r="C370" s="261"/>
      <c r="O370" s="16"/>
      <c r="P370" s="16"/>
    </row>
    <row r="371" spans="1:16" x14ac:dyDescent="0.25">
      <c r="A371" s="344"/>
      <c r="B371" s="261"/>
      <c r="C371" s="261"/>
      <c r="O371" s="16"/>
      <c r="P371" s="16"/>
    </row>
    <row r="372" spans="1:16" x14ac:dyDescent="0.25">
      <c r="A372" s="344"/>
      <c r="B372" s="261"/>
      <c r="C372" s="261"/>
      <c r="O372" s="16"/>
      <c r="P372" s="16"/>
    </row>
    <row r="373" spans="1:16" x14ac:dyDescent="0.25">
      <c r="A373" s="344"/>
      <c r="B373" s="261"/>
      <c r="C373" s="261"/>
      <c r="O373" s="16"/>
      <c r="P373" s="16"/>
    </row>
    <row r="374" spans="1:16" x14ac:dyDescent="0.25">
      <c r="A374" s="344"/>
      <c r="B374" s="261"/>
      <c r="C374" s="261"/>
      <c r="O374" s="16"/>
      <c r="P374" s="16"/>
    </row>
    <row r="375" spans="1:16" x14ac:dyDescent="0.25">
      <c r="A375" s="344"/>
      <c r="B375" s="261"/>
      <c r="C375" s="261"/>
      <c r="O375" s="16"/>
      <c r="P375" s="16"/>
    </row>
    <row r="376" spans="1:16" x14ac:dyDescent="0.25">
      <c r="A376" s="344"/>
      <c r="B376" s="261"/>
      <c r="C376" s="261"/>
      <c r="O376" s="16"/>
      <c r="P376" s="16"/>
    </row>
    <row r="377" spans="1:16" x14ac:dyDescent="0.25">
      <c r="A377" s="344"/>
      <c r="B377" s="261"/>
      <c r="C377" s="261"/>
      <c r="O377" s="16"/>
      <c r="P377" s="16"/>
    </row>
    <row r="378" spans="1:16" x14ac:dyDescent="0.25">
      <c r="A378" s="344"/>
      <c r="B378" s="261"/>
      <c r="C378" s="261"/>
      <c r="O378" s="16"/>
      <c r="P378" s="16"/>
    </row>
    <row r="379" spans="1:16" x14ac:dyDescent="0.25">
      <c r="A379" s="344"/>
      <c r="B379" s="261"/>
      <c r="C379" s="261"/>
      <c r="O379" s="16"/>
      <c r="P379" s="16"/>
    </row>
    <row r="380" spans="1:16" x14ac:dyDescent="0.25">
      <c r="A380" s="344"/>
      <c r="B380" s="261"/>
      <c r="C380" s="261"/>
      <c r="O380" s="16"/>
      <c r="P380" s="16"/>
    </row>
    <row r="381" spans="1:16" x14ac:dyDescent="0.25">
      <c r="A381" s="344"/>
      <c r="B381" s="261"/>
      <c r="C381" s="261"/>
      <c r="O381" s="16"/>
      <c r="P381" s="16"/>
    </row>
    <row r="382" spans="1:16" x14ac:dyDescent="0.25">
      <c r="A382" s="344"/>
      <c r="B382" s="261"/>
      <c r="C382" s="261"/>
      <c r="O382" s="16"/>
      <c r="P382" s="16"/>
    </row>
    <row r="383" spans="1:16" x14ac:dyDescent="0.25">
      <c r="A383" s="344"/>
      <c r="B383" s="261"/>
      <c r="C383" s="261"/>
      <c r="O383" s="16"/>
      <c r="P383" s="16"/>
    </row>
    <row r="384" spans="1:16" x14ac:dyDescent="0.25">
      <c r="A384" s="344"/>
      <c r="B384" s="261"/>
      <c r="C384" s="261"/>
      <c r="O384" s="16"/>
      <c r="P384" s="16"/>
    </row>
    <row r="385" spans="1:16" x14ac:dyDescent="0.25">
      <c r="A385" s="344"/>
      <c r="B385" s="261"/>
      <c r="C385" s="261"/>
      <c r="O385" s="16"/>
      <c r="P385" s="16"/>
    </row>
    <row r="386" spans="1:16" x14ac:dyDescent="0.25">
      <c r="A386" s="344"/>
      <c r="B386" s="261"/>
      <c r="C386" s="261"/>
      <c r="O386" s="16"/>
      <c r="P386" s="16"/>
    </row>
    <row r="387" spans="1:16" x14ac:dyDescent="0.25">
      <c r="A387" s="344"/>
      <c r="B387" s="261"/>
      <c r="C387" s="261"/>
      <c r="O387" s="16"/>
      <c r="P387" s="16"/>
    </row>
    <row r="388" spans="1:16" x14ac:dyDescent="0.25">
      <c r="A388" s="344"/>
      <c r="B388" s="261"/>
      <c r="C388" s="261"/>
      <c r="O388" s="16"/>
      <c r="P388" s="16"/>
    </row>
    <row r="389" spans="1:16" x14ac:dyDescent="0.25">
      <c r="A389" s="344"/>
      <c r="B389" s="261"/>
      <c r="C389" s="261"/>
      <c r="O389" s="16"/>
      <c r="P389" s="16"/>
    </row>
    <row r="390" spans="1:16" x14ac:dyDescent="0.25">
      <c r="A390" s="344"/>
      <c r="B390" s="261"/>
      <c r="C390" s="261"/>
      <c r="O390" s="16"/>
      <c r="P390" s="16"/>
    </row>
    <row r="391" spans="1:16" x14ac:dyDescent="0.25">
      <c r="A391" s="344"/>
      <c r="B391" s="261"/>
      <c r="C391" s="261"/>
      <c r="O391" s="16"/>
      <c r="P391" s="16"/>
    </row>
    <row r="392" spans="1:16" x14ac:dyDescent="0.25">
      <c r="A392" s="344"/>
      <c r="B392" s="261"/>
      <c r="C392" s="261"/>
      <c r="O392" s="16"/>
      <c r="P392" s="16"/>
    </row>
    <row r="393" spans="1:16" x14ac:dyDescent="0.25">
      <c r="A393" s="344"/>
      <c r="B393" s="261"/>
      <c r="C393" s="261"/>
      <c r="O393" s="16"/>
      <c r="P393" s="16"/>
    </row>
    <row r="394" spans="1:16" x14ac:dyDescent="0.25">
      <c r="A394" s="344"/>
      <c r="B394" s="261"/>
      <c r="C394" s="261"/>
      <c r="O394" s="16"/>
      <c r="P394" s="16"/>
    </row>
    <row r="395" spans="1:16" x14ac:dyDescent="0.25">
      <c r="A395" s="344"/>
      <c r="B395" s="261"/>
      <c r="C395" s="261"/>
      <c r="O395" s="16"/>
      <c r="P395" s="16"/>
    </row>
    <row r="396" spans="1:16" x14ac:dyDescent="0.25">
      <c r="A396" s="344"/>
      <c r="B396" s="261"/>
      <c r="C396" s="261"/>
      <c r="O396" s="16"/>
      <c r="P396" s="16"/>
    </row>
    <row r="397" spans="1:16" x14ac:dyDescent="0.25">
      <c r="A397" s="344"/>
      <c r="B397" s="261"/>
      <c r="C397" s="261"/>
      <c r="O397" s="16"/>
      <c r="P397" s="16"/>
    </row>
    <row r="398" spans="1:16" x14ac:dyDescent="0.25">
      <c r="A398" s="344"/>
      <c r="B398" s="261"/>
      <c r="C398" s="261"/>
      <c r="O398" s="16"/>
      <c r="P398" s="16"/>
    </row>
    <row r="399" spans="1:16" x14ac:dyDescent="0.25">
      <c r="A399" s="344"/>
      <c r="B399" s="261"/>
      <c r="C399" s="261"/>
      <c r="O399" s="16"/>
      <c r="P399" s="16"/>
    </row>
    <row r="400" spans="1:16" x14ac:dyDescent="0.25">
      <c r="A400" s="344"/>
      <c r="B400" s="261"/>
      <c r="C400" s="261"/>
      <c r="O400" s="16"/>
      <c r="P400" s="16"/>
    </row>
    <row r="401" spans="1:16" x14ac:dyDescent="0.25">
      <c r="A401" s="344"/>
      <c r="B401" s="261"/>
      <c r="C401" s="261"/>
      <c r="O401" s="16"/>
      <c r="P401" s="16"/>
    </row>
    <row r="402" spans="1:16" x14ac:dyDescent="0.25">
      <c r="A402" s="344"/>
      <c r="B402" s="261"/>
      <c r="C402" s="261"/>
      <c r="O402" s="16"/>
      <c r="P402" s="16"/>
    </row>
    <row r="403" spans="1:16" x14ac:dyDescent="0.25">
      <c r="A403" s="344"/>
      <c r="B403" s="261"/>
      <c r="C403" s="261"/>
      <c r="O403" s="16"/>
      <c r="P403" s="16"/>
    </row>
    <row r="404" spans="1:16" x14ac:dyDescent="0.25">
      <c r="A404" s="344"/>
      <c r="B404" s="261"/>
      <c r="C404" s="261"/>
      <c r="O404" s="16"/>
      <c r="P404" s="16"/>
    </row>
    <row r="405" spans="1:16" x14ac:dyDescent="0.25">
      <c r="A405" s="344"/>
      <c r="B405" s="261"/>
      <c r="C405" s="261"/>
      <c r="O405" s="16"/>
      <c r="P405" s="16"/>
    </row>
    <row r="406" spans="1:16" x14ac:dyDescent="0.25">
      <c r="A406" s="344"/>
      <c r="B406" s="261"/>
      <c r="C406" s="261"/>
      <c r="O406" s="16"/>
      <c r="P406" s="16"/>
    </row>
    <row r="407" spans="1:16" x14ac:dyDescent="0.25">
      <c r="A407" s="344"/>
      <c r="B407" s="261"/>
      <c r="C407" s="261"/>
      <c r="O407" s="16"/>
      <c r="P407" s="16"/>
    </row>
    <row r="408" spans="1:16" x14ac:dyDescent="0.25">
      <c r="A408" s="344"/>
      <c r="B408" s="261"/>
      <c r="C408" s="261"/>
      <c r="O408" s="16"/>
      <c r="P408" s="16"/>
    </row>
    <row r="409" spans="1:16" x14ac:dyDescent="0.25">
      <c r="A409" s="344"/>
      <c r="B409" s="261"/>
      <c r="C409" s="261"/>
      <c r="O409" s="16"/>
      <c r="P409" s="16"/>
    </row>
    <row r="410" spans="1:16" x14ac:dyDescent="0.25">
      <c r="A410" s="344"/>
      <c r="B410" s="261"/>
      <c r="C410" s="261"/>
      <c r="O410" s="16"/>
      <c r="P410" s="16"/>
    </row>
    <row r="411" spans="1:16" x14ac:dyDescent="0.25">
      <c r="A411" s="344"/>
      <c r="B411" s="261"/>
      <c r="C411" s="261"/>
      <c r="O411" s="16"/>
      <c r="P411" s="16"/>
    </row>
    <row r="412" spans="1:16" x14ac:dyDescent="0.25">
      <c r="A412" s="344"/>
      <c r="B412" s="261"/>
      <c r="C412" s="261"/>
      <c r="O412" s="16"/>
      <c r="P412" s="16"/>
    </row>
    <row r="413" spans="1:16" x14ac:dyDescent="0.25">
      <c r="A413" s="344"/>
      <c r="B413" s="261"/>
      <c r="C413" s="261"/>
      <c r="O413" s="16"/>
      <c r="P413" s="16"/>
    </row>
    <row r="414" spans="1:16" x14ac:dyDescent="0.25">
      <c r="A414" s="344"/>
      <c r="B414" s="261"/>
      <c r="C414" s="261"/>
      <c r="O414" s="16"/>
      <c r="P414" s="16"/>
    </row>
    <row r="415" spans="1:16" x14ac:dyDescent="0.25">
      <c r="A415" s="344"/>
      <c r="B415" s="261"/>
      <c r="C415" s="261"/>
      <c r="O415" s="16"/>
      <c r="P415" s="16"/>
    </row>
    <row r="416" spans="1:16" x14ac:dyDescent="0.25">
      <c r="A416" s="344"/>
      <c r="B416" s="261"/>
      <c r="C416" s="261"/>
      <c r="O416" s="16"/>
      <c r="P416" s="16"/>
    </row>
    <row r="417" spans="1:16" x14ac:dyDescent="0.25">
      <c r="A417" s="344"/>
      <c r="B417" s="261"/>
      <c r="C417" s="261"/>
      <c r="O417" s="16"/>
      <c r="P417" s="16"/>
    </row>
    <row r="418" spans="1:16" x14ac:dyDescent="0.25">
      <c r="A418" s="344"/>
      <c r="B418" s="261"/>
      <c r="C418" s="261"/>
      <c r="O418" s="16"/>
      <c r="P418" s="16"/>
    </row>
    <row r="419" spans="1:16" x14ac:dyDescent="0.25">
      <c r="A419" s="344"/>
      <c r="B419" s="261"/>
      <c r="C419" s="261"/>
      <c r="O419" s="16"/>
      <c r="P419" s="16"/>
    </row>
    <row r="420" spans="1:16" x14ac:dyDescent="0.25">
      <c r="A420" s="344"/>
      <c r="B420" s="261"/>
      <c r="C420" s="261"/>
      <c r="O420" s="16"/>
      <c r="P420" s="16"/>
    </row>
    <row r="421" spans="1:16" x14ac:dyDescent="0.25">
      <c r="A421" s="344"/>
      <c r="B421" s="261"/>
      <c r="C421" s="261"/>
      <c r="O421" s="16"/>
      <c r="P421" s="16"/>
    </row>
    <row r="422" spans="1:16" x14ac:dyDescent="0.25">
      <c r="A422" s="344"/>
      <c r="B422" s="261"/>
      <c r="C422" s="261"/>
      <c r="O422" s="16"/>
      <c r="P422" s="16"/>
    </row>
    <row r="423" spans="1:16" x14ac:dyDescent="0.25">
      <c r="A423" s="344"/>
      <c r="B423" s="261"/>
      <c r="C423" s="261"/>
      <c r="O423" s="16"/>
      <c r="P423" s="16"/>
    </row>
    <row r="424" spans="1:16" x14ac:dyDescent="0.25">
      <c r="A424" s="344"/>
      <c r="B424" s="261"/>
      <c r="C424" s="261"/>
      <c r="O424" s="16"/>
      <c r="P424" s="16"/>
    </row>
    <row r="425" spans="1:16" x14ac:dyDescent="0.25">
      <c r="A425" s="344"/>
      <c r="B425" s="261"/>
      <c r="C425" s="261"/>
      <c r="O425" s="16"/>
      <c r="P425" s="16"/>
    </row>
    <row r="426" spans="1:16" x14ac:dyDescent="0.25">
      <c r="A426" s="344"/>
      <c r="B426" s="261"/>
      <c r="C426" s="261"/>
      <c r="O426" s="16"/>
      <c r="P426" s="16"/>
    </row>
    <row r="427" spans="1:16" x14ac:dyDescent="0.25">
      <c r="A427" s="344"/>
      <c r="B427" s="261"/>
      <c r="C427" s="261"/>
      <c r="O427" s="16"/>
      <c r="P427" s="16"/>
    </row>
    <row r="428" spans="1:16" x14ac:dyDescent="0.25">
      <c r="A428" s="344"/>
      <c r="B428" s="261"/>
      <c r="C428" s="261"/>
      <c r="O428" s="16"/>
      <c r="P428" s="16"/>
    </row>
    <row r="429" spans="1:16" x14ac:dyDescent="0.25">
      <c r="A429" s="344"/>
      <c r="B429" s="261"/>
      <c r="C429" s="261"/>
      <c r="O429" s="16"/>
      <c r="P429" s="16"/>
    </row>
    <row r="430" spans="1:16" x14ac:dyDescent="0.25">
      <c r="A430" s="344"/>
      <c r="B430" s="261"/>
      <c r="C430" s="261"/>
      <c r="O430" s="16"/>
      <c r="P430" s="16"/>
    </row>
    <row r="431" spans="1:16" x14ac:dyDescent="0.25">
      <c r="A431" s="344"/>
      <c r="B431" s="261"/>
      <c r="C431" s="261"/>
      <c r="O431" s="16"/>
      <c r="P431" s="16"/>
    </row>
    <row r="432" spans="1:16" x14ac:dyDescent="0.25">
      <c r="A432" s="344"/>
      <c r="B432" s="261"/>
      <c r="C432" s="261"/>
      <c r="O432" s="16"/>
      <c r="P432" s="16"/>
    </row>
    <row r="433" spans="1:16" x14ac:dyDescent="0.25">
      <c r="A433" s="344"/>
      <c r="B433" s="261"/>
      <c r="C433" s="261"/>
      <c r="O433" s="16"/>
      <c r="P433" s="16"/>
    </row>
    <row r="434" spans="1:16" x14ac:dyDescent="0.25">
      <c r="A434" s="344"/>
      <c r="B434" s="261"/>
      <c r="C434" s="261"/>
      <c r="O434" s="16"/>
      <c r="P434" s="16"/>
    </row>
    <row r="435" spans="1:16" x14ac:dyDescent="0.25">
      <c r="A435" s="344"/>
      <c r="B435" s="261"/>
      <c r="C435" s="261"/>
      <c r="O435" s="16"/>
      <c r="P435" s="16"/>
    </row>
    <row r="436" spans="1:16" x14ac:dyDescent="0.25">
      <c r="A436" s="344"/>
      <c r="B436" s="261"/>
      <c r="C436" s="261"/>
      <c r="O436" s="16"/>
      <c r="P436" s="16"/>
    </row>
    <row r="437" spans="1:16" x14ac:dyDescent="0.25">
      <c r="A437" s="344"/>
      <c r="B437" s="261"/>
      <c r="C437" s="261"/>
      <c r="O437" s="16"/>
      <c r="P437" s="16"/>
    </row>
    <row r="438" spans="1:16" x14ac:dyDescent="0.25">
      <c r="A438" s="344"/>
      <c r="B438" s="261"/>
      <c r="C438" s="261"/>
      <c r="O438" s="16"/>
      <c r="P438" s="16"/>
    </row>
    <row r="439" spans="1:16" x14ac:dyDescent="0.25">
      <c r="A439" s="344"/>
      <c r="B439" s="261"/>
      <c r="C439" s="261"/>
      <c r="O439" s="16"/>
      <c r="P439" s="16"/>
    </row>
    <row r="440" spans="1:16" x14ac:dyDescent="0.25">
      <c r="A440" s="344"/>
      <c r="B440" s="261"/>
      <c r="C440" s="261"/>
      <c r="O440" s="16"/>
      <c r="P440" s="16"/>
    </row>
    <row r="441" spans="1:16" x14ac:dyDescent="0.25">
      <c r="A441" s="344"/>
      <c r="B441" s="261"/>
      <c r="C441" s="261"/>
      <c r="O441" s="16"/>
      <c r="P441" s="16"/>
    </row>
    <row r="442" spans="1:16" x14ac:dyDescent="0.25">
      <c r="A442" s="344"/>
      <c r="B442" s="261"/>
      <c r="C442" s="261"/>
      <c r="O442" s="16"/>
      <c r="P442" s="16"/>
    </row>
    <row r="443" spans="1:16" x14ac:dyDescent="0.25">
      <c r="A443" s="344"/>
      <c r="B443" s="261"/>
      <c r="C443" s="261"/>
      <c r="O443" s="16"/>
      <c r="P443" s="16"/>
    </row>
    <row r="444" spans="1:16" x14ac:dyDescent="0.25">
      <c r="A444" s="344"/>
      <c r="B444" s="261"/>
      <c r="C444" s="261"/>
      <c r="O444" s="16"/>
      <c r="P444" s="16"/>
    </row>
    <row r="445" spans="1:16" x14ac:dyDescent="0.25">
      <c r="A445" s="344"/>
      <c r="B445" s="261"/>
      <c r="C445" s="261"/>
      <c r="O445" s="16"/>
      <c r="P445" s="16"/>
    </row>
    <row r="446" spans="1:16" x14ac:dyDescent="0.25">
      <c r="A446" s="344"/>
      <c r="B446" s="261"/>
      <c r="C446" s="261"/>
      <c r="O446" s="16"/>
      <c r="P446" s="16"/>
    </row>
    <row r="447" spans="1:16" x14ac:dyDescent="0.25">
      <c r="A447" s="344"/>
      <c r="B447" s="261"/>
      <c r="C447" s="261"/>
      <c r="O447" s="16"/>
      <c r="P447" s="16"/>
    </row>
    <row r="448" spans="1:16" x14ac:dyDescent="0.25">
      <c r="A448" s="344"/>
      <c r="B448" s="261"/>
      <c r="C448" s="261"/>
      <c r="O448" s="16"/>
      <c r="P448" s="16"/>
    </row>
    <row r="449" spans="1:16" x14ac:dyDescent="0.25">
      <c r="A449" s="344"/>
      <c r="B449" s="261"/>
      <c r="C449" s="261"/>
      <c r="O449" s="16"/>
      <c r="P449" s="16"/>
    </row>
    <row r="450" spans="1:16" x14ac:dyDescent="0.25">
      <c r="A450" s="344"/>
      <c r="B450" s="261"/>
      <c r="C450" s="261"/>
      <c r="O450" s="16"/>
      <c r="P450" s="16"/>
    </row>
    <row r="451" spans="1:16" x14ac:dyDescent="0.25">
      <c r="A451" s="344"/>
      <c r="B451" s="261"/>
      <c r="C451" s="261"/>
      <c r="O451" s="16"/>
      <c r="P451" s="16"/>
    </row>
    <row r="452" spans="1:16" x14ac:dyDescent="0.25">
      <c r="A452" s="344"/>
      <c r="B452" s="261"/>
      <c r="C452" s="261"/>
      <c r="O452" s="16"/>
      <c r="P452" s="16"/>
    </row>
    <row r="453" spans="1:16" x14ac:dyDescent="0.25">
      <c r="A453" s="344"/>
      <c r="B453" s="261"/>
      <c r="C453" s="261"/>
      <c r="O453" s="16"/>
      <c r="P453" s="16"/>
    </row>
    <row r="454" spans="1:16" x14ac:dyDescent="0.25">
      <c r="A454" s="344"/>
      <c r="B454" s="261"/>
      <c r="C454" s="261"/>
      <c r="O454" s="16"/>
      <c r="P454" s="16"/>
    </row>
    <row r="455" spans="1:16" x14ac:dyDescent="0.25">
      <c r="A455" s="344"/>
      <c r="B455" s="261"/>
      <c r="C455" s="261"/>
      <c r="O455" s="16"/>
      <c r="P455" s="16"/>
    </row>
    <row r="456" spans="1:16" x14ac:dyDescent="0.25">
      <c r="A456" s="344"/>
      <c r="B456" s="261"/>
      <c r="C456" s="261"/>
      <c r="O456" s="16"/>
      <c r="P456" s="16"/>
    </row>
    <row r="457" spans="1:16" x14ac:dyDescent="0.25">
      <c r="A457" s="344"/>
      <c r="B457" s="261"/>
      <c r="C457" s="261"/>
      <c r="O457" s="16"/>
      <c r="P457" s="16"/>
    </row>
    <row r="458" spans="1:16" x14ac:dyDescent="0.25">
      <c r="A458" s="344"/>
      <c r="B458" s="261"/>
      <c r="C458" s="261"/>
      <c r="O458" s="16"/>
      <c r="P458" s="16"/>
    </row>
    <row r="459" spans="1:16" x14ac:dyDescent="0.25">
      <c r="A459" s="344"/>
      <c r="B459" s="261"/>
      <c r="C459" s="261"/>
      <c r="O459" s="16"/>
      <c r="P459" s="16"/>
    </row>
    <row r="460" spans="1:16" x14ac:dyDescent="0.25">
      <c r="A460" s="344"/>
      <c r="B460" s="261"/>
      <c r="C460" s="261"/>
      <c r="O460" s="16"/>
      <c r="P460" s="16"/>
    </row>
    <row r="461" spans="1:16" x14ac:dyDescent="0.25">
      <c r="A461" s="344"/>
      <c r="B461" s="261"/>
      <c r="C461" s="261"/>
      <c r="O461" s="16"/>
      <c r="P461" s="16"/>
    </row>
    <row r="462" spans="1:16" x14ac:dyDescent="0.25">
      <c r="A462" s="344"/>
      <c r="B462" s="261"/>
      <c r="C462" s="261"/>
      <c r="O462" s="16"/>
      <c r="P462" s="16"/>
    </row>
    <row r="463" spans="1:16" x14ac:dyDescent="0.25">
      <c r="A463" s="344"/>
      <c r="B463" s="261"/>
      <c r="C463" s="261"/>
      <c r="O463" s="16"/>
      <c r="P463" s="16"/>
    </row>
    <row r="464" spans="1:16" x14ac:dyDescent="0.25">
      <c r="A464" s="344"/>
      <c r="B464" s="261"/>
      <c r="C464" s="261"/>
      <c r="O464" s="16"/>
      <c r="P464" s="16"/>
    </row>
    <row r="465" spans="1:16" x14ac:dyDescent="0.25">
      <c r="A465" s="344"/>
      <c r="B465" s="261"/>
      <c r="C465" s="261"/>
      <c r="O465" s="16"/>
      <c r="P465" s="16"/>
    </row>
    <row r="466" spans="1:16" x14ac:dyDescent="0.25">
      <c r="A466" s="344"/>
      <c r="B466" s="261"/>
      <c r="C466" s="261"/>
      <c r="O466" s="16"/>
      <c r="P466" s="16"/>
    </row>
    <row r="467" spans="1:16" x14ac:dyDescent="0.25">
      <c r="A467" s="344"/>
      <c r="B467" s="261"/>
      <c r="C467" s="261"/>
      <c r="O467" s="16"/>
      <c r="P467" s="16"/>
    </row>
    <row r="468" spans="1:16" x14ac:dyDescent="0.25">
      <c r="A468" s="344"/>
      <c r="B468" s="261"/>
      <c r="C468" s="261"/>
      <c r="O468" s="16"/>
      <c r="P468" s="16"/>
    </row>
    <row r="469" spans="1:16" x14ac:dyDescent="0.25">
      <c r="A469" s="344"/>
      <c r="B469" s="261"/>
      <c r="C469" s="261"/>
      <c r="O469" s="16"/>
      <c r="P469" s="16"/>
    </row>
    <row r="470" spans="1:16" x14ac:dyDescent="0.25">
      <c r="A470" s="344"/>
      <c r="B470" s="261"/>
      <c r="C470" s="261"/>
      <c r="O470" s="16"/>
      <c r="P470" s="16"/>
    </row>
    <row r="471" spans="1:16" x14ac:dyDescent="0.25">
      <c r="A471" s="344"/>
      <c r="B471" s="261"/>
      <c r="C471" s="261"/>
      <c r="O471" s="16"/>
      <c r="P471" s="16"/>
    </row>
    <row r="472" spans="1:16" x14ac:dyDescent="0.25">
      <c r="A472" s="344"/>
      <c r="B472" s="261"/>
      <c r="C472" s="261"/>
      <c r="O472" s="16"/>
      <c r="P472" s="16"/>
    </row>
    <row r="473" spans="1:16" x14ac:dyDescent="0.25">
      <c r="A473" s="344"/>
      <c r="B473" s="261"/>
      <c r="C473" s="261"/>
      <c r="O473" s="16"/>
      <c r="P473" s="16"/>
    </row>
    <row r="474" spans="1:16" x14ac:dyDescent="0.25">
      <c r="A474" s="344"/>
      <c r="B474" s="261"/>
      <c r="C474" s="261"/>
      <c r="O474" s="16"/>
      <c r="P474" s="16"/>
    </row>
    <row r="475" spans="1:16" x14ac:dyDescent="0.25">
      <c r="A475" s="344"/>
      <c r="B475" s="261"/>
      <c r="C475" s="261"/>
      <c r="O475" s="16"/>
      <c r="P475" s="16"/>
    </row>
    <row r="476" spans="1:16" x14ac:dyDescent="0.25">
      <c r="A476" s="344"/>
      <c r="B476" s="261"/>
      <c r="C476" s="261"/>
      <c r="O476" s="16"/>
      <c r="P476" s="16"/>
    </row>
    <row r="477" spans="1:16" x14ac:dyDescent="0.25">
      <c r="A477" s="344"/>
      <c r="B477" s="261"/>
      <c r="C477" s="261"/>
      <c r="O477" s="16"/>
      <c r="P477" s="16"/>
    </row>
    <row r="478" spans="1:16" x14ac:dyDescent="0.25">
      <c r="A478" s="344"/>
      <c r="B478" s="261"/>
      <c r="C478" s="261"/>
      <c r="O478" s="16"/>
      <c r="P478" s="16"/>
    </row>
    <row r="479" spans="1:16" x14ac:dyDescent="0.25">
      <c r="A479" s="344"/>
      <c r="B479" s="261"/>
      <c r="C479" s="261"/>
      <c r="O479" s="16"/>
      <c r="P479" s="16"/>
    </row>
    <row r="480" spans="1:16" x14ac:dyDescent="0.25">
      <c r="A480" s="344"/>
      <c r="B480" s="261"/>
      <c r="C480" s="261"/>
      <c r="O480" s="16"/>
      <c r="P480" s="16"/>
    </row>
    <row r="481" spans="1:16" x14ac:dyDescent="0.25">
      <c r="A481" s="344"/>
      <c r="B481" s="261"/>
      <c r="C481" s="261"/>
      <c r="O481" s="16"/>
      <c r="P481" s="16"/>
    </row>
    <row r="482" spans="1:16" x14ac:dyDescent="0.25">
      <c r="A482" s="344"/>
      <c r="B482" s="261"/>
      <c r="C482" s="261"/>
      <c r="O482" s="16"/>
      <c r="P482" s="16"/>
    </row>
    <row r="483" spans="1:16" x14ac:dyDescent="0.25">
      <c r="A483" s="344"/>
      <c r="B483" s="261"/>
      <c r="C483" s="261"/>
      <c r="O483" s="16"/>
      <c r="P483" s="16"/>
    </row>
    <row r="484" spans="1:16" x14ac:dyDescent="0.25">
      <c r="A484" s="344"/>
      <c r="B484" s="261"/>
      <c r="C484" s="261"/>
      <c r="O484" s="16"/>
      <c r="P484" s="16"/>
    </row>
    <row r="485" spans="1:16" x14ac:dyDescent="0.25">
      <c r="A485" s="344"/>
      <c r="B485" s="261"/>
      <c r="C485" s="261"/>
      <c r="O485" s="16"/>
      <c r="P485" s="16"/>
    </row>
    <row r="486" spans="1:16" x14ac:dyDescent="0.25">
      <c r="A486" s="344"/>
      <c r="B486" s="261"/>
      <c r="C486" s="261"/>
      <c r="O486" s="16"/>
      <c r="P486" s="16"/>
    </row>
    <row r="487" spans="1:16" x14ac:dyDescent="0.25">
      <c r="A487" s="344"/>
      <c r="B487" s="261"/>
      <c r="C487" s="261"/>
      <c r="O487" s="16"/>
      <c r="P487" s="16"/>
    </row>
    <row r="488" spans="1:16" x14ac:dyDescent="0.25">
      <c r="A488" s="344"/>
      <c r="B488" s="261"/>
      <c r="C488" s="261"/>
      <c r="O488" s="16"/>
      <c r="P488" s="16"/>
    </row>
    <row r="489" spans="1:16" x14ac:dyDescent="0.25">
      <c r="A489" s="344"/>
      <c r="B489" s="261"/>
      <c r="C489" s="261"/>
      <c r="O489" s="16"/>
      <c r="P489" s="16"/>
    </row>
    <row r="490" spans="1:16" x14ac:dyDescent="0.25">
      <c r="A490" s="344"/>
      <c r="B490" s="261"/>
      <c r="C490" s="261"/>
      <c r="O490" s="16"/>
      <c r="P490" s="16"/>
    </row>
    <row r="491" spans="1:16" x14ac:dyDescent="0.25">
      <c r="A491" s="344"/>
      <c r="B491" s="261"/>
      <c r="C491" s="261"/>
      <c r="O491" s="16"/>
      <c r="P491" s="16"/>
    </row>
    <row r="492" spans="1:16" x14ac:dyDescent="0.25">
      <c r="A492" s="344"/>
      <c r="B492" s="261"/>
      <c r="C492" s="261"/>
      <c r="O492" s="16"/>
      <c r="P492" s="16"/>
    </row>
    <row r="493" spans="1:16" x14ac:dyDescent="0.25">
      <c r="A493" s="344"/>
      <c r="B493" s="261"/>
      <c r="C493" s="261"/>
      <c r="O493" s="16"/>
      <c r="P493" s="16"/>
    </row>
    <row r="494" spans="1:16" x14ac:dyDescent="0.25">
      <c r="A494" s="344"/>
      <c r="B494" s="261"/>
      <c r="C494" s="261"/>
      <c r="O494" s="16"/>
      <c r="P494" s="16"/>
    </row>
    <row r="495" spans="1:16" x14ac:dyDescent="0.25">
      <c r="A495" s="344"/>
      <c r="B495" s="261"/>
      <c r="C495" s="261"/>
      <c r="O495" s="16"/>
      <c r="P495" s="16"/>
    </row>
    <row r="496" spans="1:16" x14ac:dyDescent="0.25">
      <c r="A496" s="344"/>
      <c r="B496" s="261"/>
      <c r="C496" s="261"/>
      <c r="O496" s="16"/>
      <c r="P496" s="16"/>
    </row>
    <row r="497" spans="1:16" x14ac:dyDescent="0.25">
      <c r="A497" s="344"/>
      <c r="B497" s="261"/>
      <c r="C497" s="261"/>
      <c r="O497" s="16"/>
      <c r="P497" s="16"/>
    </row>
    <row r="498" spans="1:16" x14ac:dyDescent="0.25">
      <c r="A498" s="344"/>
      <c r="B498" s="261"/>
      <c r="C498" s="261"/>
      <c r="O498" s="16"/>
      <c r="P498" s="16"/>
    </row>
    <row r="499" spans="1:16" x14ac:dyDescent="0.25">
      <c r="A499" s="344"/>
      <c r="B499" s="261"/>
      <c r="C499" s="261"/>
      <c r="O499" s="16"/>
      <c r="P499" s="16"/>
    </row>
    <row r="500" spans="1:16" x14ac:dyDescent="0.25">
      <c r="A500" s="344"/>
      <c r="B500" s="261"/>
      <c r="C500" s="261"/>
      <c r="O500" s="16"/>
      <c r="P500" s="16"/>
    </row>
    <row r="501" spans="1:16" x14ac:dyDescent="0.25">
      <c r="A501" s="344"/>
      <c r="B501" s="261"/>
      <c r="C501" s="261"/>
      <c r="O501" s="16"/>
      <c r="P501" s="16"/>
    </row>
    <row r="502" spans="1:16" x14ac:dyDescent="0.25">
      <c r="A502" s="344"/>
      <c r="B502" s="261"/>
      <c r="C502" s="261"/>
      <c r="O502" s="16"/>
      <c r="P502" s="16"/>
    </row>
    <row r="503" spans="1:16" x14ac:dyDescent="0.25">
      <c r="A503" s="344"/>
      <c r="B503" s="261"/>
      <c r="C503" s="261"/>
      <c r="O503" s="16"/>
      <c r="P503" s="16"/>
    </row>
    <row r="504" spans="1:16" x14ac:dyDescent="0.25">
      <c r="A504" s="344"/>
      <c r="B504" s="261"/>
      <c r="C504" s="261"/>
      <c r="O504" s="16"/>
      <c r="P504" s="16"/>
    </row>
    <row r="505" spans="1:16" x14ac:dyDescent="0.25">
      <c r="A505" s="344"/>
      <c r="B505" s="261"/>
      <c r="C505" s="261"/>
      <c r="O505" s="16"/>
      <c r="P505" s="16"/>
    </row>
    <row r="506" spans="1:16" x14ac:dyDescent="0.25">
      <c r="A506" s="344"/>
      <c r="B506" s="261"/>
      <c r="C506" s="261"/>
      <c r="O506" s="16"/>
      <c r="P506" s="16"/>
    </row>
    <row r="507" spans="1:16" x14ac:dyDescent="0.25">
      <c r="A507" s="344"/>
      <c r="B507" s="261"/>
      <c r="C507" s="261"/>
      <c r="O507" s="16"/>
      <c r="P507" s="16"/>
    </row>
    <row r="508" spans="1:16" x14ac:dyDescent="0.25">
      <c r="A508" s="344"/>
      <c r="B508" s="261"/>
      <c r="C508" s="261"/>
      <c r="O508" s="16"/>
      <c r="P508" s="16"/>
    </row>
    <row r="509" spans="1:16" x14ac:dyDescent="0.25">
      <c r="A509" s="344"/>
      <c r="B509" s="261"/>
      <c r="C509" s="261"/>
      <c r="O509" s="16"/>
      <c r="P509" s="16"/>
    </row>
    <row r="510" spans="1:16" x14ac:dyDescent="0.25">
      <c r="A510" s="344"/>
      <c r="B510" s="261"/>
      <c r="C510" s="261"/>
      <c r="O510" s="16"/>
      <c r="P510" s="16"/>
    </row>
    <row r="511" spans="1:16" x14ac:dyDescent="0.25">
      <c r="A511" s="344"/>
      <c r="B511" s="261"/>
      <c r="C511" s="261"/>
      <c r="O511" s="16"/>
      <c r="P511" s="16"/>
    </row>
    <row r="512" spans="1:16" x14ac:dyDescent="0.25">
      <c r="A512" s="344"/>
      <c r="B512" s="261"/>
      <c r="C512" s="261"/>
      <c r="O512" s="16"/>
      <c r="P512" s="16"/>
    </row>
    <row r="513" spans="1:16" x14ac:dyDescent="0.25">
      <c r="A513" s="344"/>
      <c r="B513" s="261"/>
      <c r="C513" s="261"/>
      <c r="O513" s="16"/>
      <c r="P513" s="16"/>
    </row>
    <row r="514" spans="1:16" x14ac:dyDescent="0.25">
      <c r="A514" s="344"/>
      <c r="B514" s="261"/>
      <c r="C514" s="261"/>
      <c r="O514" s="16"/>
      <c r="P514" s="16"/>
    </row>
    <row r="515" spans="1:16" x14ac:dyDescent="0.25">
      <c r="A515" s="344"/>
      <c r="B515" s="261"/>
      <c r="C515" s="261"/>
      <c r="O515" s="16"/>
      <c r="P515" s="16"/>
    </row>
    <row r="516" spans="1:16" x14ac:dyDescent="0.25">
      <c r="A516" s="344"/>
      <c r="B516" s="261"/>
      <c r="C516" s="261"/>
      <c r="O516" s="16"/>
      <c r="P516" s="16"/>
    </row>
    <row r="517" spans="1:16" x14ac:dyDescent="0.25">
      <c r="A517" s="344"/>
      <c r="B517" s="261"/>
      <c r="C517" s="261"/>
      <c r="O517" s="16"/>
      <c r="P517" s="16"/>
    </row>
    <row r="518" spans="1:16" x14ac:dyDescent="0.25">
      <c r="A518" s="344"/>
      <c r="B518" s="261"/>
      <c r="C518" s="261"/>
      <c r="O518" s="16"/>
      <c r="P518" s="16"/>
    </row>
    <row r="519" spans="1:16" x14ac:dyDescent="0.25">
      <c r="A519" s="344"/>
      <c r="B519" s="261"/>
      <c r="C519" s="261"/>
      <c r="O519" s="16"/>
      <c r="P519" s="16"/>
    </row>
    <row r="520" spans="1:16" x14ac:dyDescent="0.25">
      <c r="A520" s="344"/>
      <c r="B520" s="261"/>
      <c r="C520" s="261"/>
      <c r="O520" s="16"/>
      <c r="P520" s="16"/>
    </row>
    <row r="521" spans="1:16" x14ac:dyDescent="0.25">
      <c r="A521" s="344"/>
      <c r="B521" s="261"/>
      <c r="C521" s="261"/>
      <c r="O521" s="16"/>
      <c r="P521" s="16"/>
    </row>
    <row r="522" spans="1:16" x14ac:dyDescent="0.25">
      <c r="A522" s="344"/>
      <c r="B522" s="261"/>
      <c r="C522" s="261"/>
      <c r="O522" s="16"/>
      <c r="P522" s="16"/>
    </row>
    <row r="523" spans="1:16" x14ac:dyDescent="0.25">
      <c r="A523" s="344"/>
      <c r="B523" s="261"/>
      <c r="C523" s="261"/>
      <c r="O523" s="16"/>
      <c r="P523" s="16"/>
    </row>
    <row r="524" spans="1:16" x14ac:dyDescent="0.25">
      <c r="A524" s="344"/>
      <c r="B524" s="261"/>
      <c r="C524" s="261"/>
      <c r="O524" s="16"/>
      <c r="P524" s="16"/>
    </row>
    <row r="525" spans="1:16" x14ac:dyDescent="0.25">
      <c r="A525" s="344"/>
      <c r="B525" s="261"/>
      <c r="C525" s="261"/>
      <c r="O525" s="16"/>
      <c r="P525" s="16"/>
    </row>
    <row r="526" spans="1:16" x14ac:dyDescent="0.25">
      <c r="A526" s="344"/>
      <c r="B526" s="261"/>
      <c r="C526" s="261"/>
      <c r="O526" s="16"/>
      <c r="P526" s="16"/>
    </row>
    <row r="527" spans="1:16" x14ac:dyDescent="0.25">
      <c r="A527" s="344"/>
      <c r="B527" s="261"/>
      <c r="C527" s="261"/>
      <c r="O527" s="16"/>
      <c r="P527" s="16"/>
    </row>
    <row r="528" spans="1:16" x14ac:dyDescent="0.25">
      <c r="A528" s="344"/>
      <c r="B528" s="261"/>
      <c r="C528" s="261"/>
      <c r="O528" s="16"/>
      <c r="P528" s="16"/>
    </row>
    <row r="529" spans="1:16" x14ac:dyDescent="0.25">
      <c r="A529" s="344"/>
      <c r="B529" s="261"/>
      <c r="C529" s="261"/>
      <c r="O529" s="16"/>
      <c r="P529" s="16"/>
    </row>
    <row r="530" spans="1:16" x14ac:dyDescent="0.25">
      <c r="A530" s="344"/>
      <c r="B530" s="261"/>
      <c r="C530" s="261"/>
      <c r="O530" s="16"/>
      <c r="P530" s="16"/>
    </row>
    <row r="531" spans="1:16" x14ac:dyDescent="0.25">
      <c r="A531" s="344"/>
      <c r="B531" s="261"/>
      <c r="C531" s="261"/>
      <c r="O531" s="16"/>
      <c r="P531" s="16"/>
    </row>
    <row r="532" spans="1:16" x14ac:dyDescent="0.25">
      <c r="A532" s="344"/>
      <c r="B532" s="261"/>
      <c r="C532" s="261"/>
      <c r="O532" s="16"/>
      <c r="P532" s="16"/>
    </row>
    <row r="533" spans="1:16" x14ac:dyDescent="0.25">
      <c r="A533" s="344"/>
      <c r="B533" s="261"/>
      <c r="C533" s="261"/>
      <c r="O533" s="16"/>
      <c r="P533" s="16"/>
    </row>
    <row r="534" spans="1:16" x14ac:dyDescent="0.25">
      <c r="A534" s="344"/>
      <c r="B534" s="261"/>
      <c r="C534" s="261"/>
      <c r="O534" s="16"/>
      <c r="P534" s="16"/>
    </row>
    <row r="535" spans="1:16" x14ac:dyDescent="0.25">
      <c r="A535" s="344"/>
      <c r="B535" s="261"/>
      <c r="C535" s="261"/>
      <c r="O535" s="16"/>
      <c r="P535" s="16"/>
    </row>
    <row r="536" spans="1:16" x14ac:dyDescent="0.25">
      <c r="A536" s="344"/>
      <c r="B536" s="261"/>
      <c r="C536" s="261"/>
      <c r="O536" s="16"/>
      <c r="P536" s="16"/>
    </row>
    <row r="537" spans="1:16" x14ac:dyDescent="0.25">
      <c r="A537" s="344"/>
      <c r="B537" s="261"/>
      <c r="C537" s="261"/>
      <c r="O537" s="16"/>
      <c r="P537" s="16"/>
    </row>
    <row r="538" spans="1:16" x14ac:dyDescent="0.25">
      <c r="A538" s="344"/>
      <c r="B538" s="261"/>
      <c r="C538" s="261"/>
      <c r="O538" s="16"/>
      <c r="P538" s="16"/>
    </row>
    <row r="539" spans="1:16" x14ac:dyDescent="0.25">
      <c r="A539" s="344"/>
      <c r="B539" s="261"/>
      <c r="C539" s="261"/>
      <c r="O539" s="16"/>
      <c r="P539" s="16"/>
    </row>
    <row r="540" spans="1:16" x14ac:dyDescent="0.25">
      <c r="A540" s="344"/>
      <c r="B540" s="261"/>
      <c r="C540" s="261"/>
      <c r="O540" s="16"/>
      <c r="P540" s="16"/>
    </row>
    <row r="541" spans="1:16" x14ac:dyDescent="0.25">
      <c r="A541" s="344"/>
      <c r="B541" s="261"/>
      <c r="C541" s="261"/>
      <c r="O541" s="16"/>
      <c r="P541" s="16"/>
    </row>
    <row r="542" spans="1:16" x14ac:dyDescent="0.25">
      <c r="A542" s="344"/>
      <c r="B542" s="261"/>
      <c r="C542" s="261"/>
      <c r="O542" s="16"/>
      <c r="P542" s="16"/>
    </row>
    <row r="543" spans="1:16" x14ac:dyDescent="0.25">
      <c r="A543" s="344"/>
      <c r="B543" s="261"/>
      <c r="C543" s="261"/>
      <c r="O543" s="16"/>
      <c r="P543" s="16"/>
    </row>
    <row r="544" spans="1:16" x14ac:dyDescent="0.25">
      <c r="A544" s="344"/>
      <c r="B544" s="261"/>
      <c r="C544" s="261"/>
      <c r="O544" s="16"/>
      <c r="P544" s="16"/>
    </row>
    <row r="545" spans="1:16" x14ac:dyDescent="0.25">
      <c r="A545" s="344"/>
      <c r="B545" s="261"/>
      <c r="C545" s="261"/>
      <c r="O545" s="16"/>
      <c r="P545" s="16"/>
    </row>
    <row r="546" spans="1:16" x14ac:dyDescent="0.25">
      <c r="A546" s="344"/>
      <c r="B546" s="261"/>
      <c r="C546" s="261"/>
      <c r="O546" s="16"/>
      <c r="P546" s="16"/>
    </row>
    <row r="547" spans="1:16" x14ac:dyDescent="0.25">
      <c r="A547" s="344"/>
      <c r="B547" s="261"/>
      <c r="C547" s="261"/>
      <c r="O547" s="16"/>
      <c r="P547" s="16"/>
    </row>
    <row r="548" spans="1:16" x14ac:dyDescent="0.25">
      <c r="A548" s="344"/>
      <c r="B548" s="261"/>
      <c r="C548" s="261"/>
      <c r="O548" s="16"/>
      <c r="P548" s="16"/>
    </row>
    <row r="549" spans="1:16" x14ac:dyDescent="0.25">
      <c r="A549" s="344"/>
      <c r="B549" s="261"/>
      <c r="C549" s="261"/>
      <c r="O549" s="16"/>
      <c r="P549" s="16"/>
    </row>
    <row r="550" spans="1:16" x14ac:dyDescent="0.25">
      <c r="A550" s="344"/>
      <c r="B550" s="261"/>
      <c r="C550" s="261"/>
      <c r="O550" s="16"/>
      <c r="P550" s="16"/>
    </row>
    <row r="551" spans="1:16" x14ac:dyDescent="0.25">
      <c r="A551" s="344"/>
      <c r="B551" s="261"/>
      <c r="C551" s="261"/>
      <c r="O551" s="16"/>
      <c r="P551" s="16"/>
    </row>
    <row r="552" spans="1:16" x14ac:dyDescent="0.25">
      <c r="A552" s="344"/>
      <c r="B552" s="261"/>
      <c r="C552" s="261"/>
      <c r="O552" s="16"/>
      <c r="P552" s="16"/>
    </row>
    <row r="553" spans="1:16" x14ac:dyDescent="0.25">
      <c r="A553" s="344"/>
      <c r="B553" s="261"/>
      <c r="C553" s="261"/>
      <c r="O553" s="16"/>
      <c r="P553" s="16"/>
    </row>
    <row r="554" spans="1:16" x14ac:dyDescent="0.25">
      <c r="A554" s="344"/>
      <c r="B554" s="261"/>
      <c r="C554" s="261"/>
      <c r="O554" s="16"/>
      <c r="P554" s="16"/>
    </row>
    <row r="555" spans="1:16" x14ac:dyDescent="0.25">
      <c r="A555" s="344"/>
      <c r="B555" s="261"/>
      <c r="C555" s="261"/>
      <c r="O555" s="16"/>
      <c r="P555" s="16"/>
    </row>
    <row r="556" spans="1:16" x14ac:dyDescent="0.25">
      <c r="A556" s="344"/>
      <c r="B556" s="261"/>
      <c r="C556" s="261"/>
      <c r="O556" s="16"/>
      <c r="P556" s="16"/>
    </row>
    <row r="557" spans="1:16" x14ac:dyDescent="0.25">
      <c r="A557" s="344"/>
      <c r="B557" s="261"/>
      <c r="C557" s="261"/>
      <c r="O557" s="16"/>
      <c r="P557" s="16"/>
    </row>
    <row r="558" spans="1:16" x14ac:dyDescent="0.25">
      <c r="A558" s="344"/>
      <c r="B558" s="261"/>
      <c r="C558" s="261"/>
      <c r="O558" s="16"/>
      <c r="P558" s="16"/>
    </row>
    <row r="559" spans="1:16" x14ac:dyDescent="0.25">
      <c r="A559" s="344"/>
      <c r="B559" s="261"/>
      <c r="C559" s="261"/>
      <c r="O559" s="16"/>
      <c r="P559" s="16"/>
    </row>
    <row r="560" spans="1:16" x14ac:dyDescent="0.25">
      <c r="A560" s="344"/>
      <c r="B560" s="261"/>
      <c r="C560" s="261"/>
      <c r="O560" s="16"/>
      <c r="P560" s="16"/>
    </row>
    <row r="561" spans="1:16" x14ac:dyDescent="0.25">
      <c r="A561" s="344"/>
      <c r="B561" s="261"/>
      <c r="C561" s="261"/>
      <c r="O561" s="16"/>
      <c r="P561" s="16"/>
    </row>
    <row r="562" spans="1:16" x14ac:dyDescent="0.25">
      <c r="A562" s="344"/>
      <c r="B562" s="261"/>
      <c r="C562" s="261"/>
      <c r="O562" s="16"/>
      <c r="P562" s="16"/>
    </row>
    <row r="563" spans="1:16" x14ac:dyDescent="0.25">
      <c r="A563" s="344"/>
      <c r="B563" s="261"/>
      <c r="C563" s="261"/>
      <c r="O563" s="16"/>
      <c r="P563" s="16"/>
    </row>
    <row r="564" spans="1:16" x14ac:dyDescent="0.25">
      <c r="A564" s="344"/>
      <c r="B564" s="261"/>
      <c r="C564" s="261"/>
      <c r="O564" s="16"/>
      <c r="P564" s="16"/>
    </row>
    <row r="565" spans="1:16" x14ac:dyDescent="0.25">
      <c r="A565" s="344"/>
      <c r="B565" s="261"/>
      <c r="C565" s="261"/>
      <c r="O565" s="16"/>
      <c r="P565" s="16"/>
    </row>
    <row r="566" spans="1:16" x14ac:dyDescent="0.25">
      <c r="A566" s="344"/>
      <c r="B566" s="261"/>
      <c r="C566" s="261"/>
      <c r="O566" s="16"/>
      <c r="P566" s="16"/>
    </row>
    <row r="567" spans="1:16" x14ac:dyDescent="0.25">
      <c r="A567" s="344"/>
      <c r="B567" s="261"/>
      <c r="C567" s="261"/>
      <c r="O567" s="16"/>
      <c r="P567" s="16"/>
    </row>
    <row r="568" spans="1:16" x14ac:dyDescent="0.25">
      <c r="A568" s="344"/>
      <c r="B568" s="261"/>
      <c r="C568" s="261"/>
      <c r="O568" s="16"/>
      <c r="P568" s="16"/>
    </row>
    <row r="569" spans="1:16" x14ac:dyDescent="0.25">
      <c r="A569" s="344"/>
      <c r="B569" s="261"/>
      <c r="C569" s="261"/>
      <c r="O569" s="16"/>
      <c r="P569" s="16"/>
    </row>
    <row r="570" spans="1:16" x14ac:dyDescent="0.25">
      <c r="A570" s="344"/>
      <c r="B570" s="261"/>
      <c r="C570" s="261"/>
      <c r="O570" s="16"/>
      <c r="P570" s="16"/>
    </row>
    <row r="571" spans="1:16" x14ac:dyDescent="0.25">
      <c r="A571" s="344"/>
      <c r="B571" s="261"/>
      <c r="C571" s="261"/>
      <c r="O571" s="16"/>
      <c r="P571" s="16"/>
    </row>
    <row r="572" spans="1:16" x14ac:dyDescent="0.25">
      <c r="A572" s="344"/>
      <c r="B572" s="261"/>
      <c r="C572" s="261"/>
      <c r="O572" s="16"/>
      <c r="P572" s="16"/>
    </row>
    <row r="573" spans="1:16" x14ac:dyDescent="0.25">
      <c r="A573" s="344"/>
      <c r="B573" s="261"/>
      <c r="C573" s="261"/>
      <c r="O573" s="16"/>
      <c r="P573" s="16"/>
    </row>
    <row r="574" spans="1:16" x14ac:dyDescent="0.25">
      <c r="A574" s="344"/>
      <c r="B574" s="261"/>
      <c r="C574" s="261"/>
      <c r="O574" s="16"/>
      <c r="P574" s="16"/>
    </row>
    <row r="575" spans="1:16" x14ac:dyDescent="0.25">
      <c r="A575" s="344"/>
      <c r="B575" s="261"/>
      <c r="C575" s="261"/>
      <c r="O575" s="16"/>
      <c r="P575" s="16"/>
    </row>
    <row r="576" spans="1:16" x14ac:dyDescent="0.25">
      <c r="A576" s="344"/>
      <c r="B576" s="261"/>
      <c r="C576" s="261"/>
      <c r="O576" s="16"/>
      <c r="P576" s="16"/>
    </row>
    <row r="577" spans="1:16" x14ac:dyDescent="0.25">
      <c r="A577" s="344"/>
      <c r="B577" s="261"/>
      <c r="C577" s="261"/>
      <c r="O577" s="16"/>
      <c r="P577" s="16"/>
    </row>
    <row r="578" spans="1:16" x14ac:dyDescent="0.25">
      <c r="A578" s="344"/>
      <c r="B578" s="261"/>
      <c r="C578" s="261"/>
      <c r="O578" s="16"/>
      <c r="P578" s="16"/>
    </row>
    <row r="579" spans="1:16" x14ac:dyDescent="0.25">
      <c r="A579" s="344"/>
      <c r="B579" s="261"/>
      <c r="C579" s="261"/>
      <c r="O579" s="16"/>
      <c r="P579" s="16"/>
    </row>
    <row r="580" spans="1:16" x14ac:dyDescent="0.25">
      <c r="A580" s="344"/>
      <c r="B580" s="261"/>
      <c r="C580" s="261"/>
      <c r="O580" s="16"/>
      <c r="P580" s="16"/>
    </row>
    <row r="581" spans="1:16" x14ac:dyDescent="0.25">
      <c r="A581" s="344"/>
      <c r="B581" s="261"/>
      <c r="C581" s="261"/>
      <c r="O581" s="16"/>
      <c r="P581" s="16"/>
    </row>
    <row r="582" spans="1:16" x14ac:dyDescent="0.25">
      <c r="A582" s="344"/>
      <c r="B582" s="261"/>
      <c r="C582" s="261"/>
      <c r="O582" s="16"/>
      <c r="P582" s="16"/>
    </row>
    <row r="583" spans="1:16" x14ac:dyDescent="0.25">
      <c r="A583" s="344"/>
      <c r="B583" s="261"/>
      <c r="C583" s="261"/>
      <c r="O583" s="16"/>
      <c r="P583" s="16"/>
    </row>
    <row r="584" spans="1:16" x14ac:dyDescent="0.25">
      <c r="A584" s="344"/>
      <c r="B584" s="261"/>
      <c r="C584" s="261"/>
      <c r="O584" s="16"/>
      <c r="P584" s="16"/>
    </row>
    <row r="585" spans="1:16" x14ac:dyDescent="0.25">
      <c r="A585" s="344"/>
      <c r="B585" s="261"/>
      <c r="C585" s="261"/>
      <c r="O585" s="16"/>
      <c r="P585" s="16"/>
    </row>
    <row r="586" spans="1:16" x14ac:dyDescent="0.25">
      <c r="A586" s="344"/>
      <c r="B586" s="261"/>
      <c r="C586" s="261"/>
      <c r="O586" s="16"/>
      <c r="P586" s="16"/>
    </row>
    <row r="587" spans="1:16" x14ac:dyDescent="0.25">
      <c r="A587" s="344"/>
      <c r="B587" s="261"/>
      <c r="C587" s="261"/>
      <c r="O587" s="16"/>
      <c r="P587" s="16"/>
    </row>
    <row r="588" spans="1:16" x14ac:dyDescent="0.25">
      <c r="A588" s="344"/>
      <c r="B588" s="261"/>
      <c r="C588" s="261"/>
      <c r="O588" s="16"/>
      <c r="P588" s="16"/>
    </row>
    <row r="589" spans="1:16" x14ac:dyDescent="0.25">
      <c r="A589" s="344"/>
      <c r="B589" s="261"/>
      <c r="C589" s="261"/>
      <c r="O589" s="16"/>
      <c r="P589" s="16"/>
    </row>
    <row r="590" spans="1:16" x14ac:dyDescent="0.25">
      <c r="A590" s="344"/>
      <c r="B590" s="261"/>
      <c r="C590" s="261"/>
      <c r="O590" s="16"/>
      <c r="P590" s="16"/>
    </row>
    <row r="591" spans="1:16" x14ac:dyDescent="0.25">
      <c r="A591" s="344"/>
      <c r="B591" s="261"/>
      <c r="C591" s="261"/>
      <c r="O591" s="16"/>
      <c r="P591" s="16"/>
    </row>
    <row r="592" spans="1:16" x14ac:dyDescent="0.25">
      <c r="A592" s="344"/>
      <c r="B592" s="261"/>
      <c r="C592" s="261"/>
      <c r="O592" s="16"/>
      <c r="P592" s="16"/>
    </row>
    <row r="593" spans="1:16" x14ac:dyDescent="0.25">
      <c r="A593" s="344"/>
      <c r="B593" s="261"/>
      <c r="C593" s="261"/>
      <c r="O593" s="16"/>
      <c r="P593" s="16"/>
    </row>
    <row r="594" spans="1:16" x14ac:dyDescent="0.25">
      <c r="A594" s="344"/>
      <c r="B594" s="261"/>
      <c r="C594" s="261"/>
      <c r="O594" s="16"/>
      <c r="P594" s="16"/>
    </row>
    <row r="595" spans="1:16" x14ac:dyDescent="0.25">
      <c r="A595" s="344"/>
      <c r="B595" s="261"/>
      <c r="C595" s="261"/>
      <c r="O595" s="16"/>
      <c r="P595" s="16"/>
    </row>
    <row r="596" spans="1:16" x14ac:dyDescent="0.25">
      <c r="A596" s="344"/>
      <c r="B596" s="261"/>
      <c r="C596" s="261"/>
      <c r="O596" s="16"/>
      <c r="P596" s="16"/>
    </row>
    <row r="597" spans="1:16" x14ac:dyDescent="0.25">
      <c r="A597" s="344"/>
      <c r="B597" s="261"/>
      <c r="C597" s="261"/>
      <c r="O597" s="16"/>
      <c r="P597" s="16"/>
    </row>
    <row r="598" spans="1:16" x14ac:dyDescent="0.25">
      <c r="A598" s="344"/>
      <c r="B598" s="261"/>
      <c r="C598" s="261"/>
      <c r="O598" s="16"/>
      <c r="P598" s="16"/>
    </row>
    <row r="599" spans="1:16" x14ac:dyDescent="0.25">
      <c r="A599" s="344"/>
      <c r="B599" s="261"/>
      <c r="C599" s="261"/>
      <c r="O599" s="16"/>
      <c r="P599" s="16"/>
    </row>
    <row r="600" spans="1:16" x14ac:dyDescent="0.25">
      <c r="A600" s="344"/>
      <c r="B600" s="261"/>
      <c r="C600" s="261"/>
      <c r="O600" s="16"/>
      <c r="P600" s="16"/>
    </row>
    <row r="601" spans="1:16" x14ac:dyDescent="0.25">
      <c r="A601" s="344"/>
      <c r="B601" s="261"/>
      <c r="C601" s="261"/>
      <c r="O601" s="16"/>
      <c r="P601" s="16"/>
    </row>
    <row r="602" spans="1:16" x14ac:dyDescent="0.25">
      <c r="A602" s="344"/>
      <c r="B602" s="261"/>
      <c r="C602" s="261"/>
      <c r="O602" s="16"/>
      <c r="P602" s="16"/>
    </row>
    <row r="603" spans="1:16" x14ac:dyDescent="0.25">
      <c r="A603" s="344"/>
      <c r="B603" s="261"/>
      <c r="C603" s="261"/>
      <c r="O603" s="16"/>
      <c r="P603" s="16"/>
    </row>
    <row r="604" spans="1:16" x14ac:dyDescent="0.25">
      <c r="A604" s="344"/>
      <c r="B604" s="261"/>
      <c r="C604" s="261"/>
      <c r="O604" s="16"/>
      <c r="P604" s="16"/>
    </row>
    <row r="605" spans="1:16" x14ac:dyDescent="0.25">
      <c r="A605" s="344"/>
      <c r="B605" s="261"/>
      <c r="C605" s="261"/>
      <c r="O605" s="16"/>
      <c r="P605" s="16"/>
    </row>
    <row r="606" spans="1:16" x14ac:dyDescent="0.25">
      <c r="A606" s="344"/>
      <c r="B606" s="261"/>
      <c r="C606" s="261"/>
      <c r="O606" s="16"/>
      <c r="P606" s="16"/>
    </row>
    <row r="607" spans="1:16" x14ac:dyDescent="0.25">
      <c r="A607" s="344"/>
      <c r="B607" s="261"/>
      <c r="C607" s="261"/>
      <c r="O607" s="16"/>
      <c r="P607" s="16"/>
    </row>
    <row r="608" spans="1:16" x14ac:dyDescent="0.25">
      <c r="A608" s="344"/>
      <c r="B608" s="261"/>
      <c r="C608" s="261"/>
      <c r="O608" s="16"/>
      <c r="P608" s="16"/>
    </row>
    <row r="609" spans="1:16" x14ac:dyDescent="0.25">
      <c r="A609" s="344"/>
      <c r="B609" s="261"/>
      <c r="C609" s="261"/>
      <c r="O609" s="16"/>
      <c r="P609" s="16"/>
    </row>
    <row r="610" spans="1:16" x14ac:dyDescent="0.25">
      <c r="A610" s="344"/>
      <c r="B610" s="261"/>
      <c r="C610" s="261"/>
      <c r="O610" s="16"/>
      <c r="P610" s="16"/>
    </row>
    <row r="611" spans="1:16" x14ac:dyDescent="0.25">
      <c r="A611" s="344"/>
      <c r="B611" s="261"/>
      <c r="C611" s="261"/>
      <c r="O611" s="16"/>
      <c r="P611" s="16"/>
    </row>
    <row r="612" spans="1:16" x14ac:dyDescent="0.25">
      <c r="A612" s="344"/>
      <c r="B612" s="261"/>
      <c r="C612" s="261"/>
      <c r="O612" s="16"/>
      <c r="P612" s="16"/>
    </row>
    <row r="613" spans="1:16" x14ac:dyDescent="0.25">
      <c r="A613" s="344"/>
      <c r="B613" s="261"/>
      <c r="C613" s="261"/>
      <c r="O613" s="16"/>
      <c r="P613" s="16"/>
    </row>
    <row r="614" spans="1:16" x14ac:dyDescent="0.25">
      <c r="A614" s="344"/>
      <c r="B614" s="261"/>
      <c r="C614" s="261"/>
      <c r="O614" s="16"/>
      <c r="P614" s="16"/>
    </row>
    <row r="615" spans="1:16" x14ac:dyDescent="0.25">
      <c r="A615" s="344"/>
      <c r="B615" s="261"/>
      <c r="C615" s="261"/>
      <c r="O615" s="16"/>
      <c r="P615" s="16"/>
    </row>
    <row r="616" spans="1:16" x14ac:dyDescent="0.25">
      <c r="A616" s="344"/>
      <c r="B616" s="261"/>
      <c r="C616" s="261"/>
      <c r="O616" s="16"/>
      <c r="P616" s="16"/>
    </row>
    <row r="617" spans="1:16" x14ac:dyDescent="0.25">
      <c r="A617" s="344"/>
      <c r="B617" s="261"/>
      <c r="C617" s="261"/>
      <c r="O617" s="16"/>
      <c r="P617" s="16"/>
    </row>
    <row r="618" spans="1:16" x14ac:dyDescent="0.25">
      <c r="A618" s="344"/>
      <c r="B618" s="261"/>
      <c r="C618" s="261"/>
      <c r="O618" s="16"/>
      <c r="P618" s="16"/>
    </row>
    <row r="619" spans="1:16" x14ac:dyDescent="0.25">
      <c r="A619" s="344"/>
      <c r="B619" s="261"/>
      <c r="C619" s="261"/>
      <c r="O619" s="16"/>
      <c r="P619" s="16"/>
    </row>
    <row r="620" spans="1:16" x14ac:dyDescent="0.25">
      <c r="A620" s="344"/>
      <c r="B620" s="261"/>
      <c r="C620" s="261"/>
      <c r="O620" s="16"/>
      <c r="P620" s="16"/>
    </row>
    <row r="621" spans="1:16" x14ac:dyDescent="0.25">
      <c r="A621" s="344"/>
      <c r="B621" s="261"/>
      <c r="C621" s="261"/>
      <c r="O621" s="16"/>
      <c r="P621" s="16"/>
    </row>
    <row r="622" spans="1:16" x14ac:dyDescent="0.25">
      <c r="A622" s="344"/>
      <c r="B622" s="261"/>
      <c r="C622" s="261"/>
      <c r="O622" s="16"/>
      <c r="P622" s="16"/>
    </row>
    <row r="623" spans="1:16" x14ac:dyDescent="0.25">
      <c r="A623" s="344"/>
      <c r="B623" s="261"/>
      <c r="C623" s="261"/>
      <c r="O623" s="16"/>
      <c r="P623" s="16"/>
    </row>
    <row r="624" spans="1:16" x14ac:dyDescent="0.25">
      <c r="A624" s="344"/>
      <c r="B624" s="261"/>
      <c r="C624" s="261"/>
      <c r="O624" s="16"/>
      <c r="P624" s="16"/>
    </row>
    <row r="625" spans="1:16" x14ac:dyDescent="0.25">
      <c r="A625" s="344"/>
      <c r="B625" s="261"/>
      <c r="C625" s="261"/>
      <c r="O625" s="16"/>
      <c r="P625" s="16"/>
    </row>
    <row r="626" spans="1:16" x14ac:dyDescent="0.25">
      <c r="A626" s="344"/>
      <c r="B626" s="261"/>
      <c r="C626" s="261"/>
      <c r="O626" s="16"/>
      <c r="P626" s="16"/>
    </row>
    <row r="627" spans="1:16" x14ac:dyDescent="0.25">
      <c r="A627" s="344"/>
      <c r="B627" s="261"/>
      <c r="C627" s="261"/>
      <c r="O627" s="16"/>
      <c r="P627" s="16"/>
    </row>
    <row r="628" spans="1:16" x14ac:dyDescent="0.25">
      <c r="A628" s="344"/>
      <c r="B628" s="261"/>
      <c r="C628" s="261"/>
      <c r="O628" s="16"/>
      <c r="P628" s="16"/>
    </row>
    <row r="629" spans="1:16" x14ac:dyDescent="0.25">
      <c r="A629" s="344"/>
      <c r="B629" s="261"/>
      <c r="C629" s="261"/>
      <c r="O629" s="16"/>
      <c r="P629" s="16"/>
    </row>
    <row r="630" spans="1:16" x14ac:dyDescent="0.25">
      <c r="A630" s="344"/>
      <c r="B630" s="261"/>
      <c r="C630" s="261"/>
      <c r="O630" s="16"/>
      <c r="P630" s="16"/>
    </row>
    <row r="631" spans="1:16" x14ac:dyDescent="0.25">
      <c r="A631" s="344"/>
      <c r="B631" s="261"/>
      <c r="C631" s="261"/>
      <c r="O631" s="16"/>
      <c r="P631" s="16"/>
    </row>
    <row r="632" spans="1:16" x14ac:dyDescent="0.25">
      <c r="A632" s="344"/>
      <c r="B632" s="261"/>
      <c r="C632" s="261"/>
      <c r="O632" s="16"/>
      <c r="P632" s="16"/>
    </row>
    <row r="633" spans="1:16" x14ac:dyDescent="0.25">
      <c r="A633" s="344"/>
      <c r="B633" s="261"/>
      <c r="C633" s="261"/>
      <c r="O633" s="16"/>
      <c r="P633" s="16"/>
    </row>
    <row r="634" spans="1:16" x14ac:dyDescent="0.25">
      <c r="A634" s="344"/>
      <c r="B634" s="261"/>
      <c r="C634" s="261"/>
      <c r="O634" s="16"/>
      <c r="P634" s="16"/>
    </row>
    <row r="635" spans="1:16" x14ac:dyDescent="0.25">
      <c r="A635" s="344"/>
      <c r="B635" s="261"/>
      <c r="C635" s="261"/>
      <c r="O635" s="16"/>
      <c r="P635" s="16"/>
    </row>
    <row r="636" spans="1:16" x14ac:dyDescent="0.25">
      <c r="A636" s="344"/>
      <c r="B636" s="261"/>
      <c r="C636" s="261"/>
      <c r="O636" s="16"/>
      <c r="P636" s="16"/>
    </row>
    <row r="637" spans="1:16" x14ac:dyDescent="0.25">
      <c r="A637" s="344"/>
      <c r="B637" s="261"/>
      <c r="C637" s="261"/>
      <c r="O637" s="16"/>
      <c r="P637" s="16"/>
    </row>
    <row r="638" spans="1:16" x14ac:dyDescent="0.25">
      <c r="A638" s="344"/>
      <c r="B638" s="261"/>
      <c r="C638" s="261"/>
      <c r="O638" s="16"/>
      <c r="P638" s="16"/>
    </row>
    <row r="639" spans="1:16" x14ac:dyDescent="0.25">
      <c r="A639" s="344"/>
      <c r="B639" s="261"/>
      <c r="C639" s="261"/>
      <c r="O639" s="16"/>
      <c r="P639" s="16"/>
    </row>
    <row r="640" spans="1:16" x14ac:dyDescent="0.25">
      <c r="A640" s="344"/>
      <c r="B640" s="261"/>
      <c r="C640" s="261"/>
      <c r="O640" s="16"/>
      <c r="P640" s="16"/>
    </row>
    <row r="641" spans="1:16" x14ac:dyDescent="0.25">
      <c r="A641" s="344"/>
      <c r="B641" s="261"/>
      <c r="C641" s="261"/>
      <c r="O641" s="16"/>
      <c r="P641" s="16"/>
    </row>
    <row r="642" spans="1:16" x14ac:dyDescent="0.25">
      <c r="A642" s="344"/>
      <c r="B642" s="261"/>
      <c r="C642" s="261"/>
      <c r="O642" s="16"/>
      <c r="P642" s="16"/>
    </row>
    <row r="643" spans="1:16" x14ac:dyDescent="0.25">
      <c r="A643" s="344"/>
      <c r="B643" s="261"/>
      <c r="C643" s="261"/>
      <c r="O643" s="16"/>
      <c r="P643" s="16"/>
    </row>
    <row r="644" spans="1:16" x14ac:dyDescent="0.25">
      <c r="A644" s="344"/>
      <c r="B644" s="261"/>
      <c r="C644" s="261"/>
      <c r="O644" s="16"/>
      <c r="P644" s="16"/>
    </row>
    <row r="645" spans="1:16" x14ac:dyDescent="0.25">
      <c r="A645" s="344"/>
      <c r="B645" s="261"/>
      <c r="C645" s="261"/>
      <c r="O645" s="16"/>
      <c r="P645" s="16"/>
    </row>
    <row r="646" spans="1:16" x14ac:dyDescent="0.25">
      <c r="A646" s="344"/>
      <c r="B646" s="261"/>
      <c r="C646" s="261"/>
      <c r="O646" s="16"/>
      <c r="P646" s="16"/>
    </row>
    <row r="647" spans="1:16" x14ac:dyDescent="0.25">
      <c r="A647" s="344"/>
      <c r="B647" s="261"/>
      <c r="C647" s="261"/>
      <c r="O647" s="16"/>
      <c r="P647" s="16"/>
    </row>
    <row r="648" spans="1:16" x14ac:dyDescent="0.25">
      <c r="A648" s="344"/>
      <c r="B648" s="261"/>
      <c r="C648" s="261"/>
      <c r="O648" s="16"/>
      <c r="P648" s="16"/>
    </row>
    <row r="649" spans="1:16" x14ac:dyDescent="0.25">
      <c r="A649" s="344"/>
      <c r="B649" s="261"/>
      <c r="C649" s="261"/>
      <c r="O649" s="16"/>
      <c r="P649" s="16"/>
    </row>
    <row r="650" spans="1:16" x14ac:dyDescent="0.25">
      <c r="A650" s="344"/>
      <c r="B650" s="261"/>
      <c r="C650" s="261"/>
      <c r="O650" s="16"/>
      <c r="P650" s="16"/>
    </row>
    <row r="651" spans="1:16" x14ac:dyDescent="0.25">
      <c r="A651" s="344"/>
      <c r="B651" s="261"/>
      <c r="C651" s="261"/>
      <c r="O651" s="16"/>
      <c r="P651" s="16"/>
    </row>
    <row r="652" spans="1:16" x14ac:dyDescent="0.25">
      <c r="A652" s="344"/>
      <c r="B652" s="261"/>
      <c r="C652" s="261"/>
      <c r="O652" s="16"/>
      <c r="P652" s="16"/>
    </row>
    <row r="653" spans="1:16" x14ac:dyDescent="0.25">
      <c r="A653" s="344"/>
      <c r="B653" s="261"/>
      <c r="C653" s="261"/>
      <c r="O653" s="16"/>
      <c r="P653" s="16"/>
    </row>
    <row r="654" spans="1:16" x14ac:dyDescent="0.25">
      <c r="A654" s="344"/>
      <c r="B654" s="261"/>
      <c r="C654" s="261"/>
      <c r="O654" s="16"/>
      <c r="P654" s="16"/>
    </row>
    <row r="655" spans="1:16" x14ac:dyDescent="0.25">
      <c r="A655" s="344"/>
      <c r="B655" s="261"/>
      <c r="C655" s="261"/>
      <c r="O655" s="16"/>
      <c r="P655" s="16"/>
    </row>
    <row r="656" spans="1:16" x14ac:dyDescent="0.25">
      <c r="A656" s="344"/>
      <c r="B656" s="261"/>
      <c r="C656" s="261"/>
      <c r="O656" s="16"/>
      <c r="P656" s="16"/>
    </row>
    <row r="657" spans="1:16" x14ac:dyDescent="0.25">
      <c r="A657" s="344"/>
      <c r="B657" s="261"/>
      <c r="C657" s="261"/>
      <c r="O657" s="16"/>
      <c r="P657" s="16"/>
    </row>
    <row r="658" spans="1:16" x14ac:dyDescent="0.25">
      <c r="A658" s="344"/>
      <c r="B658" s="261"/>
      <c r="C658" s="261"/>
      <c r="O658" s="16"/>
      <c r="P658" s="16"/>
    </row>
    <row r="659" spans="1:16" x14ac:dyDescent="0.25">
      <c r="A659" s="344"/>
      <c r="B659" s="261"/>
      <c r="C659" s="261"/>
      <c r="O659" s="16"/>
      <c r="P659" s="16"/>
    </row>
    <row r="660" spans="1:16" x14ac:dyDescent="0.25">
      <c r="A660" s="344"/>
      <c r="B660" s="261"/>
      <c r="C660" s="261"/>
      <c r="O660" s="16"/>
      <c r="P660" s="16"/>
    </row>
    <row r="661" spans="1:16" x14ac:dyDescent="0.25">
      <c r="A661" s="344"/>
      <c r="B661" s="261"/>
      <c r="C661" s="261"/>
      <c r="O661" s="16"/>
      <c r="P661" s="16"/>
    </row>
    <row r="662" spans="1:16" x14ac:dyDescent="0.25">
      <c r="A662" s="344"/>
      <c r="B662" s="261"/>
      <c r="C662" s="261"/>
      <c r="O662" s="16"/>
      <c r="P662" s="16"/>
    </row>
    <row r="663" spans="1:16" x14ac:dyDescent="0.25">
      <c r="A663" s="344"/>
      <c r="B663" s="261"/>
      <c r="C663" s="261"/>
      <c r="O663" s="16"/>
      <c r="P663" s="16"/>
    </row>
    <row r="664" spans="1:16" x14ac:dyDescent="0.25">
      <c r="A664" s="344"/>
      <c r="B664" s="261"/>
      <c r="C664" s="261"/>
      <c r="O664" s="16"/>
      <c r="P664" s="16"/>
    </row>
    <row r="665" spans="1:16" x14ac:dyDescent="0.25">
      <c r="A665" s="344"/>
      <c r="B665" s="261"/>
      <c r="C665" s="261"/>
      <c r="O665" s="16"/>
      <c r="P665" s="16"/>
    </row>
    <row r="666" spans="1:16" x14ac:dyDescent="0.25">
      <c r="A666" s="344"/>
      <c r="B666" s="261"/>
      <c r="C666" s="261"/>
      <c r="O666" s="16"/>
      <c r="P666" s="16"/>
    </row>
    <row r="667" spans="1:16" x14ac:dyDescent="0.25">
      <c r="A667" s="344"/>
      <c r="B667" s="261"/>
      <c r="C667" s="261"/>
      <c r="O667" s="16"/>
      <c r="P667" s="16"/>
    </row>
    <row r="668" spans="1:16" x14ac:dyDescent="0.25">
      <c r="A668" s="344"/>
      <c r="B668" s="261"/>
      <c r="C668" s="261"/>
      <c r="O668" s="16"/>
      <c r="P668" s="16"/>
    </row>
    <row r="669" spans="1:16" x14ac:dyDescent="0.25">
      <c r="A669" s="344"/>
      <c r="B669" s="261"/>
      <c r="C669" s="261"/>
      <c r="O669" s="16"/>
      <c r="P669" s="16"/>
    </row>
    <row r="670" spans="1:16" x14ac:dyDescent="0.25">
      <c r="A670" s="344"/>
      <c r="B670" s="261"/>
      <c r="C670" s="261"/>
      <c r="O670" s="16"/>
      <c r="P670" s="16"/>
    </row>
    <row r="671" spans="1:16" x14ac:dyDescent="0.25">
      <c r="A671" s="344"/>
      <c r="B671" s="261"/>
      <c r="C671" s="261"/>
      <c r="O671" s="16"/>
      <c r="P671" s="16"/>
    </row>
    <row r="672" spans="1:16" x14ac:dyDescent="0.25">
      <c r="A672" s="344"/>
      <c r="B672" s="261"/>
      <c r="C672" s="261"/>
      <c r="O672" s="16"/>
      <c r="P672" s="16"/>
    </row>
    <row r="673" spans="1:16" x14ac:dyDescent="0.25">
      <c r="A673" s="344"/>
      <c r="B673" s="261"/>
      <c r="C673" s="261"/>
      <c r="O673" s="16"/>
      <c r="P673" s="16"/>
    </row>
    <row r="674" spans="1:16" x14ac:dyDescent="0.25">
      <c r="A674" s="344"/>
      <c r="B674" s="261"/>
      <c r="C674" s="261"/>
      <c r="O674" s="16"/>
      <c r="P674" s="16"/>
    </row>
    <row r="675" spans="1:16" x14ac:dyDescent="0.25">
      <c r="A675" s="344"/>
      <c r="B675" s="261"/>
      <c r="C675" s="261"/>
      <c r="O675" s="16"/>
      <c r="P675" s="16"/>
    </row>
    <row r="676" spans="1:16" x14ac:dyDescent="0.25">
      <c r="A676" s="344"/>
      <c r="B676" s="261"/>
      <c r="C676" s="261"/>
      <c r="O676" s="16"/>
      <c r="P676" s="16"/>
    </row>
    <row r="677" spans="1:16" x14ac:dyDescent="0.25">
      <c r="A677" s="344"/>
      <c r="B677" s="261"/>
      <c r="C677" s="261"/>
      <c r="O677" s="16"/>
      <c r="P677" s="16"/>
    </row>
    <row r="678" spans="1:16" x14ac:dyDescent="0.25">
      <c r="A678" s="344"/>
      <c r="B678" s="261"/>
      <c r="C678" s="261"/>
      <c r="O678" s="16"/>
      <c r="P678" s="16"/>
    </row>
    <row r="679" spans="1:16" x14ac:dyDescent="0.25">
      <c r="A679" s="344"/>
      <c r="B679" s="261"/>
      <c r="C679" s="261"/>
      <c r="O679" s="16"/>
      <c r="P679" s="16"/>
    </row>
    <row r="680" spans="1:16" x14ac:dyDescent="0.25">
      <c r="A680" s="344"/>
      <c r="B680" s="261"/>
      <c r="C680" s="261"/>
      <c r="O680" s="16"/>
      <c r="P680" s="16"/>
    </row>
    <row r="681" spans="1:16" x14ac:dyDescent="0.25">
      <c r="A681" s="344"/>
      <c r="B681" s="261"/>
      <c r="C681" s="261"/>
      <c r="O681" s="16"/>
      <c r="P681" s="16"/>
    </row>
    <row r="682" spans="1:16" x14ac:dyDescent="0.25">
      <c r="A682" s="344"/>
      <c r="B682" s="261"/>
      <c r="C682" s="261"/>
      <c r="O682" s="16"/>
      <c r="P682" s="16"/>
    </row>
    <row r="683" spans="1:16" x14ac:dyDescent="0.25">
      <c r="A683" s="344"/>
      <c r="B683" s="261"/>
      <c r="C683" s="261"/>
      <c r="O683" s="16"/>
      <c r="P683" s="16"/>
    </row>
    <row r="684" spans="1:16" x14ac:dyDescent="0.25">
      <c r="A684" s="344"/>
      <c r="B684" s="261"/>
      <c r="C684" s="261"/>
      <c r="O684" s="16"/>
      <c r="P684" s="16"/>
    </row>
    <row r="685" spans="1:16" x14ac:dyDescent="0.25">
      <c r="A685" s="344"/>
      <c r="B685" s="261"/>
      <c r="C685" s="261"/>
      <c r="O685" s="16"/>
      <c r="P685" s="16"/>
    </row>
    <row r="686" spans="1:16" x14ac:dyDescent="0.25">
      <c r="A686" s="344"/>
      <c r="B686" s="261"/>
      <c r="C686" s="261"/>
      <c r="O686" s="16"/>
      <c r="P686" s="16"/>
    </row>
    <row r="687" spans="1:16" x14ac:dyDescent="0.25">
      <c r="A687" s="344"/>
      <c r="B687" s="261"/>
      <c r="C687" s="261"/>
      <c r="O687" s="16"/>
      <c r="P687" s="16"/>
    </row>
    <row r="688" spans="1:16" x14ac:dyDescent="0.25">
      <c r="A688" s="344"/>
      <c r="B688" s="261"/>
      <c r="C688" s="261"/>
      <c r="O688" s="16"/>
      <c r="P688" s="16"/>
    </row>
    <row r="689" spans="1:16" x14ac:dyDescent="0.25">
      <c r="A689" s="344"/>
      <c r="B689" s="261"/>
      <c r="C689" s="261"/>
      <c r="O689" s="16"/>
      <c r="P689" s="16"/>
    </row>
    <row r="690" spans="1:16" x14ac:dyDescent="0.25">
      <c r="A690" s="344"/>
      <c r="B690" s="261"/>
      <c r="C690" s="261"/>
      <c r="O690" s="16"/>
      <c r="P690" s="16"/>
    </row>
    <row r="691" spans="1:16" x14ac:dyDescent="0.25">
      <c r="A691" s="344"/>
      <c r="B691" s="261"/>
      <c r="C691" s="261"/>
      <c r="O691" s="16"/>
      <c r="P691" s="16"/>
    </row>
    <row r="692" spans="1:16" x14ac:dyDescent="0.25">
      <c r="A692" s="344"/>
      <c r="B692" s="261"/>
      <c r="C692" s="261"/>
      <c r="O692" s="16"/>
      <c r="P692" s="16"/>
    </row>
    <row r="693" spans="1:16" x14ac:dyDescent="0.25">
      <c r="A693" s="344"/>
      <c r="B693" s="261"/>
      <c r="C693" s="261"/>
      <c r="O693" s="16"/>
      <c r="P693" s="16"/>
    </row>
    <row r="694" spans="1:16" x14ac:dyDescent="0.25">
      <c r="A694" s="344"/>
      <c r="B694" s="261"/>
      <c r="C694" s="261"/>
      <c r="O694" s="16"/>
      <c r="P694" s="16"/>
    </row>
    <row r="695" spans="1:16" x14ac:dyDescent="0.25">
      <c r="A695" s="344"/>
      <c r="B695" s="261"/>
      <c r="C695" s="261"/>
      <c r="O695" s="16"/>
      <c r="P695" s="16"/>
    </row>
    <row r="696" spans="1:16" x14ac:dyDescent="0.25">
      <c r="A696" s="344"/>
      <c r="B696" s="261"/>
      <c r="C696" s="261"/>
      <c r="O696" s="16"/>
      <c r="P696" s="16"/>
    </row>
    <row r="697" spans="1:16" x14ac:dyDescent="0.25">
      <c r="A697" s="344"/>
      <c r="B697" s="261"/>
      <c r="C697" s="261"/>
      <c r="O697" s="16"/>
      <c r="P697" s="16"/>
    </row>
    <row r="698" spans="1:16" x14ac:dyDescent="0.25">
      <c r="A698" s="344"/>
      <c r="B698" s="261"/>
      <c r="C698" s="261"/>
      <c r="O698" s="16"/>
      <c r="P698" s="16"/>
    </row>
    <row r="699" spans="1:16" x14ac:dyDescent="0.25">
      <c r="A699" s="344"/>
      <c r="B699" s="261"/>
      <c r="C699" s="261"/>
      <c r="O699" s="16"/>
      <c r="P699" s="16"/>
    </row>
    <row r="700" spans="1:16" x14ac:dyDescent="0.25">
      <c r="A700" s="344"/>
      <c r="B700" s="261"/>
      <c r="C700" s="261"/>
      <c r="O700" s="16"/>
      <c r="P700" s="16"/>
    </row>
    <row r="701" spans="1:16" x14ac:dyDescent="0.25">
      <c r="A701" s="344"/>
      <c r="B701" s="261"/>
      <c r="C701" s="261"/>
      <c r="O701" s="16"/>
      <c r="P701" s="16"/>
    </row>
    <row r="702" spans="1:16" x14ac:dyDescent="0.25">
      <c r="A702" s="344"/>
      <c r="B702" s="261"/>
      <c r="C702" s="261"/>
      <c r="O702" s="16"/>
      <c r="P702" s="16"/>
    </row>
    <row r="703" spans="1:16" x14ac:dyDescent="0.25">
      <c r="A703" s="344"/>
      <c r="B703" s="261"/>
      <c r="C703" s="261"/>
      <c r="O703" s="16"/>
      <c r="P703" s="16"/>
    </row>
    <row r="704" spans="1:16" x14ac:dyDescent="0.25">
      <c r="A704" s="344"/>
      <c r="B704" s="261"/>
      <c r="C704" s="261"/>
      <c r="O704" s="16"/>
      <c r="P704" s="16"/>
    </row>
    <row r="705" spans="1:16" x14ac:dyDescent="0.25">
      <c r="A705" s="344"/>
      <c r="B705" s="261"/>
      <c r="C705" s="261"/>
      <c r="O705" s="16"/>
      <c r="P705" s="16"/>
    </row>
    <row r="706" spans="1:16" x14ac:dyDescent="0.25">
      <c r="A706" s="344"/>
      <c r="B706" s="261"/>
      <c r="C706" s="261"/>
      <c r="O706" s="16"/>
      <c r="P706" s="16"/>
    </row>
    <row r="707" spans="1:16" x14ac:dyDescent="0.25">
      <c r="A707" s="344"/>
      <c r="B707" s="261"/>
      <c r="C707" s="261"/>
      <c r="O707" s="16"/>
      <c r="P707" s="16"/>
    </row>
    <row r="708" spans="1:16" x14ac:dyDescent="0.25">
      <c r="A708" s="344"/>
      <c r="B708" s="261"/>
      <c r="C708" s="261"/>
      <c r="O708" s="16"/>
      <c r="P708" s="16"/>
    </row>
    <row r="709" spans="1:16" x14ac:dyDescent="0.25">
      <c r="A709" s="344"/>
      <c r="B709" s="261"/>
      <c r="C709" s="261"/>
      <c r="O709" s="16"/>
      <c r="P709" s="16"/>
    </row>
    <row r="710" spans="1:16" x14ac:dyDescent="0.25">
      <c r="A710" s="344"/>
      <c r="B710" s="261"/>
      <c r="C710" s="261"/>
      <c r="O710" s="16"/>
      <c r="P710" s="16"/>
    </row>
    <row r="711" spans="1:16" x14ac:dyDescent="0.25">
      <c r="A711" s="344"/>
      <c r="B711" s="261"/>
      <c r="C711" s="261"/>
      <c r="O711" s="16"/>
      <c r="P711" s="16"/>
    </row>
    <row r="712" spans="1:16" x14ac:dyDescent="0.25">
      <c r="A712" s="344"/>
      <c r="B712" s="261"/>
      <c r="C712" s="261"/>
      <c r="O712" s="16"/>
      <c r="P712" s="16"/>
    </row>
    <row r="713" spans="1:16" x14ac:dyDescent="0.25">
      <c r="A713" s="344"/>
      <c r="B713" s="261"/>
      <c r="C713" s="261"/>
      <c r="O713" s="16"/>
      <c r="P713" s="16"/>
    </row>
    <row r="714" spans="1:16" x14ac:dyDescent="0.25">
      <c r="A714" s="344"/>
      <c r="B714" s="261"/>
      <c r="C714" s="261"/>
      <c r="O714" s="16"/>
      <c r="P714" s="16"/>
    </row>
    <row r="715" spans="1:16" x14ac:dyDescent="0.25">
      <c r="A715" s="344"/>
      <c r="B715" s="261"/>
      <c r="C715" s="261"/>
      <c r="O715" s="16"/>
      <c r="P715" s="16"/>
    </row>
    <row r="716" spans="1:16" x14ac:dyDescent="0.25">
      <c r="A716" s="344"/>
      <c r="B716" s="261"/>
      <c r="C716" s="261"/>
      <c r="O716" s="16"/>
      <c r="P716" s="16"/>
    </row>
    <row r="717" spans="1:16" x14ac:dyDescent="0.25">
      <c r="A717" s="344"/>
      <c r="B717" s="261"/>
      <c r="C717" s="261"/>
      <c r="O717" s="16"/>
      <c r="P717" s="16"/>
    </row>
    <row r="718" spans="1:16" x14ac:dyDescent="0.25">
      <c r="A718" s="344"/>
      <c r="B718" s="261"/>
      <c r="C718" s="261"/>
      <c r="O718" s="16"/>
      <c r="P718" s="16"/>
    </row>
    <row r="719" spans="1:16" x14ac:dyDescent="0.25">
      <c r="A719" s="344"/>
      <c r="B719" s="261"/>
      <c r="C719" s="261"/>
      <c r="O719" s="16"/>
      <c r="P719" s="16"/>
    </row>
    <row r="720" spans="1:16" x14ac:dyDescent="0.25">
      <c r="A720" s="344"/>
      <c r="B720" s="261"/>
      <c r="C720" s="261"/>
      <c r="O720" s="16"/>
      <c r="P720" s="16"/>
    </row>
    <row r="721" spans="1:16" x14ac:dyDescent="0.25">
      <c r="A721" s="344"/>
      <c r="B721" s="261"/>
      <c r="C721" s="261"/>
      <c r="O721" s="16"/>
      <c r="P721" s="16"/>
    </row>
    <row r="722" spans="1:16" x14ac:dyDescent="0.25">
      <c r="A722" s="344"/>
      <c r="B722" s="261"/>
      <c r="C722" s="261"/>
      <c r="O722" s="16"/>
      <c r="P722" s="16"/>
    </row>
    <row r="723" spans="1:16" x14ac:dyDescent="0.25">
      <c r="A723" s="344"/>
      <c r="B723" s="261"/>
      <c r="C723" s="261"/>
      <c r="O723" s="16"/>
      <c r="P723" s="16"/>
    </row>
    <row r="724" spans="1:16" x14ac:dyDescent="0.25">
      <c r="A724" s="344"/>
      <c r="B724" s="261"/>
      <c r="C724" s="261"/>
      <c r="O724" s="16"/>
      <c r="P724" s="16"/>
    </row>
    <row r="725" spans="1:16" x14ac:dyDescent="0.25">
      <c r="A725" s="344"/>
      <c r="B725" s="261"/>
      <c r="C725" s="261"/>
      <c r="O725" s="16"/>
      <c r="P725" s="16"/>
    </row>
    <row r="726" spans="1:16" x14ac:dyDescent="0.25">
      <c r="A726" s="344"/>
      <c r="B726" s="261"/>
      <c r="C726" s="261"/>
      <c r="O726" s="16"/>
      <c r="P726" s="16"/>
    </row>
    <row r="727" spans="1:16" x14ac:dyDescent="0.25">
      <c r="A727" s="344"/>
      <c r="B727" s="261"/>
      <c r="C727" s="261"/>
      <c r="O727" s="16"/>
      <c r="P727" s="16"/>
    </row>
    <row r="728" spans="1:16" x14ac:dyDescent="0.25">
      <c r="A728" s="344"/>
      <c r="B728" s="261"/>
      <c r="C728" s="261"/>
      <c r="O728" s="16"/>
      <c r="P728" s="16"/>
    </row>
    <row r="729" spans="1:16" x14ac:dyDescent="0.25">
      <c r="A729" s="344"/>
      <c r="B729" s="261"/>
      <c r="C729" s="261"/>
      <c r="O729" s="16"/>
      <c r="P729" s="16"/>
    </row>
    <row r="730" spans="1:16" x14ac:dyDescent="0.25">
      <c r="A730" s="344"/>
      <c r="B730" s="261"/>
      <c r="C730" s="261"/>
      <c r="O730" s="16"/>
      <c r="P730" s="16"/>
    </row>
    <row r="731" spans="1:16" x14ac:dyDescent="0.25">
      <c r="A731" s="344"/>
      <c r="B731" s="261"/>
      <c r="C731" s="261"/>
      <c r="O731" s="16"/>
      <c r="P731" s="16"/>
    </row>
    <row r="732" spans="1:16" x14ac:dyDescent="0.25">
      <c r="A732" s="344"/>
      <c r="B732" s="261"/>
      <c r="C732" s="261"/>
      <c r="O732" s="16"/>
      <c r="P732" s="16"/>
    </row>
    <row r="733" spans="1:16" x14ac:dyDescent="0.25">
      <c r="A733" s="344"/>
      <c r="B733" s="261"/>
      <c r="C733" s="261"/>
      <c r="O733" s="16"/>
      <c r="P733" s="16"/>
    </row>
    <row r="734" spans="1:16" x14ac:dyDescent="0.25">
      <c r="A734" s="344"/>
      <c r="B734" s="261"/>
      <c r="C734" s="261"/>
      <c r="O734" s="16"/>
      <c r="P734" s="16"/>
    </row>
    <row r="735" spans="1:16" x14ac:dyDescent="0.25">
      <c r="A735" s="344"/>
      <c r="B735" s="261"/>
      <c r="C735" s="261"/>
      <c r="O735" s="16"/>
      <c r="P735" s="16"/>
    </row>
    <row r="736" spans="1:16" x14ac:dyDescent="0.25">
      <c r="A736" s="344"/>
      <c r="B736" s="261"/>
      <c r="C736" s="261"/>
      <c r="O736" s="16"/>
      <c r="P736" s="16"/>
    </row>
    <row r="737" spans="1:16" x14ac:dyDescent="0.25">
      <c r="A737" s="344"/>
      <c r="B737" s="261"/>
      <c r="C737" s="261"/>
      <c r="O737" s="16"/>
      <c r="P737" s="16"/>
    </row>
    <row r="738" spans="1:16" x14ac:dyDescent="0.25">
      <c r="A738" s="344"/>
      <c r="B738" s="261"/>
      <c r="C738" s="261"/>
      <c r="O738" s="16"/>
      <c r="P738" s="16"/>
    </row>
    <row r="739" spans="1:16" x14ac:dyDescent="0.25">
      <c r="A739" s="344"/>
      <c r="B739" s="261"/>
      <c r="C739" s="261"/>
      <c r="O739" s="16"/>
      <c r="P739" s="16"/>
    </row>
    <row r="740" spans="1:16" x14ac:dyDescent="0.25">
      <c r="A740" s="344"/>
      <c r="B740" s="261"/>
      <c r="C740" s="261"/>
      <c r="O740" s="16"/>
      <c r="P740" s="16"/>
    </row>
    <row r="741" spans="1:16" x14ac:dyDescent="0.25">
      <c r="A741" s="344"/>
      <c r="B741" s="261"/>
      <c r="C741" s="261"/>
      <c r="O741" s="16"/>
      <c r="P741" s="16"/>
    </row>
    <row r="742" spans="1:16" x14ac:dyDescent="0.25">
      <c r="A742" s="344"/>
      <c r="B742" s="261"/>
      <c r="C742" s="261"/>
      <c r="O742" s="16"/>
      <c r="P742" s="16"/>
    </row>
    <row r="743" spans="1:16" x14ac:dyDescent="0.25">
      <c r="A743" s="344"/>
      <c r="B743" s="261"/>
      <c r="C743" s="261"/>
      <c r="O743" s="16"/>
      <c r="P743" s="16"/>
    </row>
    <row r="744" spans="1:16" x14ac:dyDescent="0.25">
      <c r="A744" s="344"/>
      <c r="B744" s="261"/>
      <c r="C744" s="261"/>
      <c r="O744" s="16"/>
      <c r="P744" s="16"/>
    </row>
    <row r="745" spans="1:16" x14ac:dyDescent="0.25">
      <c r="A745" s="344"/>
      <c r="B745" s="261"/>
      <c r="C745" s="261"/>
      <c r="O745" s="16"/>
      <c r="P745" s="16"/>
    </row>
    <row r="746" spans="1:16" x14ac:dyDescent="0.25">
      <c r="A746" s="344"/>
      <c r="B746" s="261"/>
      <c r="C746" s="261"/>
      <c r="O746" s="16"/>
      <c r="P746" s="16"/>
    </row>
    <row r="747" spans="1:16" x14ac:dyDescent="0.25">
      <c r="A747" s="344"/>
      <c r="B747" s="261"/>
      <c r="C747" s="261"/>
      <c r="O747" s="16"/>
      <c r="P747" s="16"/>
    </row>
    <row r="748" spans="1:16" x14ac:dyDescent="0.25">
      <c r="A748" s="344"/>
      <c r="B748" s="261"/>
      <c r="C748" s="261"/>
      <c r="O748" s="16"/>
      <c r="P748" s="16"/>
    </row>
    <row r="749" spans="1:16" x14ac:dyDescent="0.25">
      <c r="A749" s="344"/>
      <c r="B749" s="261"/>
      <c r="C749" s="261"/>
      <c r="O749" s="16"/>
      <c r="P749" s="16"/>
    </row>
    <row r="750" spans="1:16" x14ac:dyDescent="0.25">
      <c r="A750" s="344"/>
      <c r="B750" s="261"/>
      <c r="C750" s="261"/>
      <c r="O750" s="16"/>
      <c r="P750" s="16"/>
    </row>
    <row r="751" spans="1:16" x14ac:dyDescent="0.25">
      <c r="A751" s="344"/>
      <c r="B751" s="261"/>
      <c r="C751" s="261"/>
      <c r="O751" s="16"/>
      <c r="P751" s="16"/>
    </row>
    <row r="752" spans="1:16" x14ac:dyDescent="0.25">
      <c r="A752" s="344"/>
      <c r="B752" s="261"/>
      <c r="C752" s="261"/>
      <c r="O752" s="16"/>
      <c r="P752" s="16"/>
    </row>
    <row r="753" spans="1:16" x14ac:dyDescent="0.25">
      <c r="A753" s="344"/>
      <c r="B753" s="261"/>
      <c r="C753" s="261"/>
      <c r="O753" s="16"/>
      <c r="P753" s="16"/>
    </row>
    <row r="754" spans="1:16" x14ac:dyDescent="0.25">
      <c r="A754" s="344"/>
      <c r="B754" s="261"/>
      <c r="C754" s="261"/>
      <c r="O754" s="16"/>
      <c r="P754" s="16"/>
    </row>
    <row r="755" spans="1:16" x14ac:dyDescent="0.25">
      <c r="A755" s="344"/>
      <c r="B755" s="261"/>
      <c r="C755" s="261"/>
      <c r="O755" s="16"/>
      <c r="P755" s="16"/>
    </row>
    <row r="756" spans="1:16" x14ac:dyDescent="0.25">
      <c r="A756" s="344"/>
      <c r="B756" s="261"/>
      <c r="C756" s="261"/>
      <c r="O756" s="16"/>
      <c r="P756" s="16"/>
    </row>
    <row r="757" spans="1:16" x14ac:dyDescent="0.25">
      <c r="A757" s="344"/>
      <c r="B757" s="261"/>
      <c r="C757" s="261"/>
      <c r="O757" s="16"/>
      <c r="P757" s="16"/>
    </row>
    <row r="758" spans="1:16" x14ac:dyDescent="0.25">
      <c r="A758" s="344"/>
      <c r="B758" s="261"/>
      <c r="C758" s="261"/>
      <c r="O758" s="16"/>
      <c r="P758" s="16"/>
    </row>
    <row r="759" spans="1:16" x14ac:dyDescent="0.25">
      <c r="A759" s="344"/>
      <c r="B759" s="261"/>
      <c r="C759" s="261"/>
      <c r="O759" s="16"/>
      <c r="P759" s="16"/>
    </row>
    <row r="760" spans="1:16" x14ac:dyDescent="0.25">
      <c r="A760" s="344"/>
      <c r="B760" s="261"/>
      <c r="C760" s="261"/>
      <c r="O760" s="16"/>
      <c r="P760" s="16"/>
    </row>
    <row r="761" spans="1:16" x14ac:dyDescent="0.25">
      <c r="A761" s="344"/>
      <c r="B761" s="261"/>
      <c r="C761" s="261"/>
      <c r="O761" s="16"/>
      <c r="P761" s="16"/>
    </row>
    <row r="762" spans="1:16" x14ac:dyDescent="0.25">
      <c r="A762" s="344"/>
      <c r="B762" s="261"/>
      <c r="C762" s="261"/>
      <c r="O762" s="16"/>
      <c r="P762" s="16"/>
    </row>
    <row r="763" spans="1:16" x14ac:dyDescent="0.25">
      <c r="A763" s="344"/>
      <c r="B763" s="261"/>
      <c r="C763" s="261"/>
      <c r="O763" s="16"/>
      <c r="P763" s="16"/>
    </row>
    <row r="764" spans="1:16" x14ac:dyDescent="0.25">
      <c r="A764" s="344"/>
      <c r="B764" s="261"/>
      <c r="C764" s="261"/>
      <c r="O764" s="16"/>
      <c r="P764" s="16"/>
    </row>
    <row r="765" spans="1:16" x14ac:dyDescent="0.25">
      <c r="A765" s="344"/>
      <c r="B765" s="261"/>
      <c r="C765" s="261"/>
      <c r="O765" s="16"/>
      <c r="P765" s="16"/>
    </row>
    <row r="766" spans="1:16" x14ac:dyDescent="0.25">
      <c r="A766" s="344"/>
      <c r="B766" s="261"/>
      <c r="C766" s="261"/>
      <c r="O766" s="16"/>
      <c r="P766" s="16"/>
    </row>
    <row r="767" spans="1:16" x14ac:dyDescent="0.25">
      <c r="A767" s="344"/>
      <c r="B767" s="261"/>
      <c r="C767" s="261"/>
      <c r="O767" s="16"/>
      <c r="P767" s="16"/>
    </row>
    <row r="768" spans="1:16" x14ac:dyDescent="0.25">
      <c r="A768" s="344"/>
      <c r="B768" s="261"/>
      <c r="C768" s="261"/>
      <c r="O768" s="16"/>
      <c r="P768" s="16"/>
    </row>
    <row r="769" spans="1:16" x14ac:dyDescent="0.25">
      <c r="A769" s="344"/>
      <c r="B769" s="261"/>
      <c r="C769" s="261"/>
      <c r="O769" s="16"/>
      <c r="P769" s="16"/>
    </row>
    <row r="770" spans="1:16" x14ac:dyDescent="0.25">
      <c r="A770" s="344"/>
      <c r="B770" s="261"/>
      <c r="C770" s="261"/>
      <c r="O770" s="16"/>
      <c r="P770" s="16"/>
    </row>
    <row r="771" spans="1:16" x14ac:dyDescent="0.25">
      <c r="A771" s="344"/>
      <c r="B771" s="261"/>
      <c r="C771" s="261"/>
      <c r="O771" s="16"/>
      <c r="P771" s="16"/>
    </row>
    <row r="772" spans="1:16" x14ac:dyDescent="0.25">
      <c r="A772" s="344"/>
      <c r="B772" s="261"/>
      <c r="C772" s="261"/>
      <c r="O772" s="16"/>
      <c r="P772" s="16"/>
    </row>
    <row r="773" spans="1:16" x14ac:dyDescent="0.25">
      <c r="A773" s="344"/>
      <c r="B773" s="261"/>
      <c r="C773" s="261"/>
      <c r="O773" s="16"/>
      <c r="P773" s="16"/>
    </row>
    <row r="774" spans="1:16" x14ac:dyDescent="0.25">
      <c r="A774" s="344"/>
      <c r="B774" s="261"/>
      <c r="C774" s="261"/>
      <c r="O774" s="16"/>
      <c r="P774" s="16"/>
    </row>
    <row r="775" spans="1:16" x14ac:dyDescent="0.25">
      <c r="A775" s="344"/>
      <c r="B775" s="261"/>
      <c r="C775" s="261"/>
      <c r="O775" s="16"/>
      <c r="P775" s="16"/>
    </row>
    <row r="776" spans="1:16" x14ac:dyDescent="0.25">
      <c r="A776" s="344"/>
      <c r="B776" s="261"/>
      <c r="C776" s="261"/>
      <c r="O776" s="16"/>
      <c r="P776" s="16"/>
    </row>
    <row r="777" spans="1:16" x14ac:dyDescent="0.25">
      <c r="A777" s="344"/>
      <c r="B777" s="261"/>
      <c r="C777" s="261"/>
      <c r="O777" s="16"/>
      <c r="P777" s="16"/>
    </row>
    <row r="778" spans="1:16" x14ac:dyDescent="0.25">
      <c r="A778" s="344"/>
      <c r="B778" s="261"/>
      <c r="C778" s="261"/>
      <c r="O778" s="16"/>
      <c r="P778" s="16"/>
    </row>
    <row r="779" spans="1:16" x14ac:dyDescent="0.25">
      <c r="A779" s="344"/>
      <c r="B779" s="261"/>
      <c r="C779" s="261"/>
      <c r="O779" s="16"/>
      <c r="P779" s="16"/>
    </row>
    <row r="780" spans="1:16" x14ac:dyDescent="0.25">
      <c r="A780" s="344"/>
      <c r="B780" s="261"/>
      <c r="C780" s="261"/>
      <c r="O780" s="16"/>
      <c r="P780" s="16"/>
    </row>
    <row r="781" spans="1:16" x14ac:dyDescent="0.25">
      <c r="A781" s="344"/>
      <c r="B781" s="261"/>
      <c r="C781" s="261"/>
      <c r="O781" s="16"/>
      <c r="P781" s="16"/>
    </row>
    <row r="782" spans="1:16" x14ac:dyDescent="0.25">
      <c r="A782" s="344"/>
      <c r="B782" s="261"/>
      <c r="C782" s="261"/>
      <c r="O782" s="16"/>
      <c r="P782" s="16"/>
    </row>
    <row r="783" spans="1:16" x14ac:dyDescent="0.25">
      <c r="A783" s="344"/>
      <c r="B783" s="261"/>
      <c r="C783" s="261"/>
      <c r="O783" s="16"/>
      <c r="P783" s="16"/>
    </row>
    <row r="784" spans="1:16" x14ac:dyDescent="0.25">
      <c r="A784" s="344"/>
      <c r="B784" s="261"/>
      <c r="C784" s="261"/>
      <c r="O784" s="16"/>
      <c r="P784" s="16"/>
    </row>
    <row r="785" spans="1:16" x14ac:dyDescent="0.25">
      <c r="A785" s="344"/>
      <c r="B785" s="261"/>
      <c r="C785" s="261"/>
      <c r="O785" s="16"/>
      <c r="P785" s="16"/>
    </row>
    <row r="786" spans="1:16" x14ac:dyDescent="0.25">
      <c r="A786" s="344"/>
      <c r="B786" s="261"/>
      <c r="C786" s="261"/>
      <c r="O786" s="16"/>
      <c r="P786" s="16"/>
    </row>
    <row r="787" spans="1:16" x14ac:dyDescent="0.25">
      <c r="A787" s="344"/>
      <c r="B787" s="261"/>
      <c r="C787" s="261"/>
      <c r="O787" s="16"/>
      <c r="P787" s="16"/>
    </row>
    <row r="788" spans="1:16" x14ac:dyDescent="0.25">
      <c r="A788" s="344"/>
      <c r="B788" s="261"/>
      <c r="C788" s="261"/>
      <c r="O788" s="16"/>
      <c r="P788" s="16"/>
    </row>
    <row r="789" spans="1:16" x14ac:dyDescent="0.25">
      <c r="A789" s="344"/>
      <c r="B789" s="261"/>
      <c r="C789" s="261"/>
      <c r="O789" s="16"/>
      <c r="P789" s="16"/>
    </row>
    <row r="790" spans="1:16" x14ac:dyDescent="0.25">
      <c r="A790" s="344"/>
      <c r="B790" s="261"/>
      <c r="C790" s="261"/>
      <c r="O790" s="16"/>
      <c r="P790" s="16"/>
    </row>
    <row r="791" spans="1:16" x14ac:dyDescent="0.25">
      <c r="A791" s="344"/>
      <c r="B791" s="261"/>
      <c r="C791" s="261"/>
      <c r="O791" s="16"/>
      <c r="P791" s="16"/>
    </row>
    <row r="792" spans="1:16" x14ac:dyDescent="0.25">
      <c r="A792" s="344"/>
      <c r="B792" s="261"/>
      <c r="C792" s="261"/>
      <c r="O792" s="16"/>
      <c r="P792" s="16"/>
    </row>
    <row r="793" spans="1:16" x14ac:dyDescent="0.25">
      <c r="A793" s="344"/>
      <c r="B793" s="261"/>
      <c r="C793" s="261"/>
      <c r="O793" s="16"/>
      <c r="P793" s="16"/>
    </row>
    <row r="794" spans="1:16" x14ac:dyDescent="0.25">
      <c r="A794" s="344"/>
      <c r="B794" s="261"/>
      <c r="C794" s="261"/>
      <c r="O794" s="16"/>
      <c r="P794" s="16"/>
    </row>
    <row r="795" spans="1:16" x14ac:dyDescent="0.25">
      <c r="A795" s="344"/>
      <c r="B795" s="261"/>
      <c r="C795" s="261"/>
      <c r="O795" s="16"/>
      <c r="P795" s="16"/>
    </row>
    <row r="796" spans="1:16" x14ac:dyDescent="0.25">
      <c r="A796" s="344"/>
      <c r="B796" s="261"/>
      <c r="C796" s="261"/>
      <c r="O796" s="16"/>
      <c r="P796" s="16"/>
    </row>
    <row r="797" spans="1:16" x14ac:dyDescent="0.25">
      <c r="A797" s="344"/>
      <c r="B797" s="261"/>
      <c r="C797" s="261"/>
      <c r="O797" s="16"/>
      <c r="P797" s="16"/>
    </row>
    <row r="798" spans="1:16" x14ac:dyDescent="0.25">
      <c r="A798" s="344"/>
      <c r="B798" s="261"/>
      <c r="C798" s="261"/>
      <c r="O798" s="16"/>
      <c r="P798" s="16"/>
    </row>
    <row r="799" spans="1:16" x14ac:dyDescent="0.25">
      <c r="A799" s="344"/>
      <c r="B799" s="261"/>
      <c r="C799" s="261"/>
      <c r="O799" s="16"/>
      <c r="P799" s="16"/>
    </row>
    <row r="800" spans="1:16" x14ac:dyDescent="0.25">
      <c r="A800" s="344"/>
      <c r="B800" s="261"/>
      <c r="C800" s="261"/>
      <c r="O800" s="16"/>
      <c r="P800" s="16"/>
    </row>
    <row r="801" spans="1:16" x14ac:dyDescent="0.25">
      <c r="A801" s="344"/>
      <c r="B801" s="261"/>
      <c r="C801" s="261"/>
      <c r="O801" s="16"/>
      <c r="P801" s="16"/>
    </row>
    <row r="802" spans="1:16" x14ac:dyDescent="0.25">
      <c r="A802" s="344"/>
      <c r="B802" s="261"/>
      <c r="C802" s="261"/>
      <c r="O802" s="16"/>
      <c r="P802" s="16"/>
    </row>
    <row r="803" spans="1:16" x14ac:dyDescent="0.25">
      <c r="A803" s="344"/>
      <c r="B803" s="261"/>
      <c r="C803" s="261"/>
      <c r="O803" s="16"/>
      <c r="P803" s="16"/>
    </row>
    <row r="804" spans="1:16" x14ac:dyDescent="0.25">
      <c r="A804" s="344"/>
      <c r="B804" s="261"/>
      <c r="C804" s="261"/>
      <c r="O804" s="16"/>
      <c r="P804" s="16"/>
    </row>
    <row r="805" spans="1:16" x14ac:dyDescent="0.25">
      <c r="A805" s="344"/>
      <c r="B805" s="261"/>
      <c r="C805" s="261"/>
      <c r="O805" s="16"/>
      <c r="P805" s="16"/>
    </row>
    <row r="806" spans="1:16" x14ac:dyDescent="0.25">
      <c r="A806" s="344"/>
      <c r="B806" s="261"/>
      <c r="C806" s="261"/>
      <c r="O806" s="16"/>
      <c r="P806" s="16"/>
    </row>
    <row r="807" spans="1:16" x14ac:dyDescent="0.25">
      <c r="A807" s="344"/>
      <c r="B807" s="261"/>
      <c r="C807" s="261"/>
      <c r="O807" s="16"/>
      <c r="P807" s="16"/>
    </row>
    <row r="808" spans="1:16" x14ac:dyDescent="0.25">
      <c r="A808" s="344"/>
      <c r="B808" s="261"/>
      <c r="C808" s="261"/>
      <c r="O808" s="16"/>
      <c r="P808" s="16"/>
    </row>
    <row r="809" spans="1:16" x14ac:dyDescent="0.25">
      <c r="A809" s="344"/>
      <c r="B809" s="261"/>
      <c r="C809" s="261"/>
      <c r="O809" s="16"/>
      <c r="P809" s="16"/>
    </row>
    <row r="810" spans="1:16" x14ac:dyDescent="0.25">
      <c r="A810" s="344"/>
      <c r="B810" s="261"/>
      <c r="C810" s="261"/>
      <c r="O810" s="16"/>
      <c r="P810" s="16"/>
    </row>
    <row r="811" spans="1:16" x14ac:dyDescent="0.25">
      <c r="A811" s="344"/>
      <c r="B811" s="261"/>
      <c r="C811" s="261"/>
      <c r="O811" s="16"/>
      <c r="P811" s="16"/>
    </row>
    <row r="812" spans="1:16" x14ac:dyDescent="0.25">
      <c r="A812" s="344"/>
      <c r="B812" s="261"/>
      <c r="C812" s="261"/>
      <c r="O812" s="16"/>
      <c r="P812" s="16"/>
    </row>
    <row r="813" spans="1:16" x14ac:dyDescent="0.25">
      <c r="A813" s="344"/>
      <c r="B813" s="261"/>
      <c r="C813" s="261"/>
      <c r="O813" s="16"/>
      <c r="P813" s="16"/>
    </row>
    <row r="814" spans="1:16" x14ac:dyDescent="0.25">
      <c r="A814" s="344"/>
      <c r="B814" s="261"/>
      <c r="C814" s="261"/>
      <c r="O814" s="16"/>
      <c r="P814" s="16"/>
    </row>
    <row r="815" spans="1:16" x14ac:dyDescent="0.25">
      <c r="A815" s="344"/>
      <c r="B815" s="261"/>
      <c r="C815" s="261"/>
      <c r="O815" s="16"/>
      <c r="P815" s="16"/>
    </row>
    <row r="816" spans="1:16" x14ac:dyDescent="0.25">
      <c r="A816" s="344"/>
      <c r="B816" s="261"/>
      <c r="C816" s="261"/>
      <c r="O816" s="16"/>
      <c r="P816" s="16"/>
    </row>
    <row r="817" spans="1:16" x14ac:dyDescent="0.25">
      <c r="A817" s="344"/>
      <c r="B817" s="261"/>
      <c r="C817" s="261"/>
      <c r="O817" s="16"/>
      <c r="P817" s="16"/>
    </row>
    <row r="818" spans="1:16" x14ac:dyDescent="0.25">
      <c r="A818" s="344"/>
      <c r="B818" s="261"/>
      <c r="C818" s="261"/>
      <c r="O818" s="16"/>
      <c r="P818" s="16"/>
    </row>
    <row r="819" spans="1:16" x14ac:dyDescent="0.25">
      <c r="A819" s="344"/>
      <c r="B819" s="261"/>
      <c r="C819" s="261"/>
      <c r="O819" s="16"/>
      <c r="P819" s="16"/>
    </row>
    <row r="820" spans="1:16" x14ac:dyDescent="0.25">
      <c r="A820" s="344"/>
      <c r="B820" s="261"/>
      <c r="C820" s="261"/>
      <c r="O820" s="16"/>
      <c r="P820" s="16"/>
    </row>
    <row r="821" spans="1:16" x14ac:dyDescent="0.25">
      <c r="A821" s="344"/>
      <c r="B821" s="261"/>
      <c r="C821" s="261"/>
      <c r="O821" s="16"/>
      <c r="P821" s="16"/>
    </row>
    <row r="822" spans="1:16" x14ac:dyDescent="0.25">
      <c r="A822" s="344"/>
      <c r="B822" s="261"/>
      <c r="C822" s="261"/>
      <c r="O822" s="16"/>
      <c r="P822" s="16"/>
    </row>
    <row r="823" spans="1:16" x14ac:dyDescent="0.25">
      <c r="A823" s="344"/>
      <c r="B823" s="261"/>
      <c r="C823" s="261"/>
      <c r="O823" s="16"/>
      <c r="P823" s="16"/>
    </row>
    <row r="824" spans="1:16" x14ac:dyDescent="0.25">
      <c r="A824" s="344"/>
      <c r="B824" s="261"/>
      <c r="C824" s="261"/>
      <c r="O824" s="16"/>
      <c r="P824" s="16"/>
    </row>
    <row r="825" spans="1:16" x14ac:dyDescent="0.25">
      <c r="A825" s="344"/>
      <c r="B825" s="261"/>
      <c r="C825" s="261"/>
      <c r="O825" s="16"/>
      <c r="P825" s="16"/>
    </row>
    <row r="826" spans="1:16" x14ac:dyDescent="0.25">
      <c r="A826" s="344"/>
      <c r="B826" s="261"/>
      <c r="C826" s="261"/>
      <c r="O826" s="16"/>
      <c r="P826" s="16"/>
    </row>
    <row r="827" spans="1:16" x14ac:dyDescent="0.25">
      <c r="A827" s="344"/>
      <c r="B827" s="261"/>
      <c r="C827" s="261"/>
      <c r="O827" s="16"/>
      <c r="P827" s="16"/>
    </row>
    <row r="828" spans="1:16" x14ac:dyDescent="0.25">
      <c r="A828" s="344"/>
      <c r="B828" s="261"/>
      <c r="C828" s="261"/>
      <c r="O828" s="16"/>
      <c r="P828" s="16"/>
    </row>
    <row r="829" spans="1:16" x14ac:dyDescent="0.25">
      <c r="A829" s="344"/>
      <c r="B829" s="261"/>
      <c r="C829" s="261"/>
      <c r="O829" s="16"/>
      <c r="P829" s="16"/>
    </row>
    <row r="830" spans="1:16" x14ac:dyDescent="0.25">
      <c r="A830" s="344"/>
      <c r="B830" s="261"/>
      <c r="C830" s="261"/>
      <c r="O830" s="16"/>
      <c r="P830" s="16"/>
    </row>
    <row r="831" spans="1:16" x14ac:dyDescent="0.25">
      <c r="A831" s="344"/>
      <c r="B831" s="261"/>
      <c r="C831" s="261"/>
      <c r="O831" s="16"/>
      <c r="P831" s="16"/>
    </row>
    <row r="832" spans="1:16" x14ac:dyDescent="0.25">
      <c r="A832" s="344"/>
      <c r="B832" s="261"/>
      <c r="C832" s="261"/>
      <c r="O832" s="16"/>
      <c r="P832" s="16"/>
    </row>
    <row r="833" spans="1:16" x14ac:dyDescent="0.25">
      <c r="A833" s="344"/>
      <c r="B833" s="261"/>
      <c r="C833" s="261"/>
      <c r="O833" s="16"/>
      <c r="P833" s="16"/>
    </row>
    <row r="834" spans="1:16" x14ac:dyDescent="0.25">
      <c r="A834" s="344"/>
      <c r="B834" s="261"/>
      <c r="C834" s="261"/>
      <c r="O834" s="16"/>
      <c r="P834" s="16"/>
    </row>
    <row r="835" spans="1:16" x14ac:dyDescent="0.25">
      <c r="A835" s="344"/>
      <c r="B835" s="261"/>
      <c r="C835" s="261"/>
      <c r="O835" s="16"/>
      <c r="P835" s="16"/>
    </row>
    <row r="836" spans="1:16" x14ac:dyDescent="0.25">
      <c r="A836" s="344"/>
      <c r="B836" s="261"/>
      <c r="C836" s="261"/>
      <c r="O836" s="16"/>
      <c r="P836" s="16"/>
    </row>
    <row r="837" spans="1:16" x14ac:dyDescent="0.25">
      <c r="A837" s="344"/>
      <c r="B837" s="261"/>
      <c r="C837" s="261"/>
      <c r="O837" s="16"/>
      <c r="P837" s="16"/>
    </row>
    <row r="838" spans="1:16" x14ac:dyDescent="0.25">
      <c r="A838" s="344"/>
      <c r="B838" s="261"/>
      <c r="C838" s="261"/>
      <c r="O838" s="16"/>
      <c r="P838" s="16"/>
    </row>
    <row r="839" spans="1:16" x14ac:dyDescent="0.25">
      <c r="A839" s="344"/>
      <c r="B839" s="261"/>
      <c r="C839" s="261"/>
      <c r="O839" s="16"/>
      <c r="P839" s="16"/>
    </row>
    <row r="840" spans="1:16" x14ac:dyDescent="0.25">
      <c r="A840" s="344"/>
      <c r="B840" s="261"/>
      <c r="C840" s="261"/>
      <c r="O840" s="16"/>
      <c r="P840" s="16"/>
    </row>
    <row r="841" spans="1:16" x14ac:dyDescent="0.25">
      <c r="A841" s="344"/>
      <c r="B841" s="261"/>
      <c r="C841" s="261"/>
      <c r="O841" s="16"/>
      <c r="P841" s="16"/>
    </row>
    <row r="842" spans="1:16" x14ac:dyDescent="0.25">
      <c r="A842" s="344"/>
      <c r="B842" s="261"/>
      <c r="C842" s="261"/>
      <c r="O842" s="16"/>
      <c r="P842" s="16"/>
    </row>
    <row r="843" spans="1:16" x14ac:dyDescent="0.25">
      <c r="A843" s="344"/>
      <c r="B843" s="261"/>
      <c r="C843" s="261"/>
      <c r="O843" s="16"/>
      <c r="P843" s="16"/>
    </row>
    <row r="844" spans="1:16" x14ac:dyDescent="0.25">
      <c r="A844" s="344"/>
      <c r="B844" s="261"/>
      <c r="C844" s="261"/>
      <c r="O844" s="16"/>
      <c r="P844" s="16"/>
    </row>
    <row r="845" spans="1:16" x14ac:dyDescent="0.25">
      <c r="A845" s="344"/>
      <c r="B845" s="261"/>
      <c r="C845" s="261"/>
      <c r="O845" s="16"/>
      <c r="P845" s="16"/>
    </row>
    <row r="846" spans="1:16" x14ac:dyDescent="0.25">
      <c r="A846" s="344"/>
      <c r="B846" s="261"/>
      <c r="C846" s="261"/>
      <c r="O846" s="16"/>
      <c r="P846" s="16"/>
    </row>
    <row r="847" spans="1:16" x14ac:dyDescent="0.25">
      <c r="A847" s="344"/>
      <c r="B847" s="261"/>
      <c r="C847" s="261"/>
      <c r="O847" s="16"/>
      <c r="P847" s="16"/>
    </row>
    <row r="848" spans="1:16" x14ac:dyDescent="0.25">
      <c r="A848" s="344"/>
      <c r="B848" s="261"/>
      <c r="C848" s="261"/>
      <c r="O848" s="16"/>
      <c r="P848" s="16"/>
    </row>
    <row r="849" spans="1:16" x14ac:dyDescent="0.25">
      <c r="A849" s="344"/>
      <c r="B849" s="261"/>
      <c r="C849" s="261"/>
      <c r="O849" s="16"/>
      <c r="P849" s="16"/>
    </row>
    <row r="850" spans="1:16" x14ac:dyDescent="0.25">
      <c r="A850" s="344"/>
      <c r="B850" s="261"/>
      <c r="C850" s="261"/>
      <c r="O850" s="16"/>
      <c r="P850" s="16"/>
    </row>
    <row r="851" spans="1:16" x14ac:dyDescent="0.25">
      <c r="A851" s="344"/>
      <c r="B851" s="261"/>
      <c r="C851" s="261"/>
      <c r="O851" s="16"/>
      <c r="P851" s="16"/>
    </row>
    <row r="852" spans="1:16" x14ac:dyDescent="0.25">
      <c r="A852" s="344"/>
      <c r="B852" s="261"/>
      <c r="C852" s="261"/>
      <c r="O852" s="16"/>
      <c r="P852" s="16"/>
    </row>
    <row r="853" spans="1:16" x14ac:dyDescent="0.25">
      <c r="A853" s="344"/>
      <c r="B853" s="261"/>
      <c r="C853" s="261"/>
      <c r="O853" s="16"/>
      <c r="P853" s="16"/>
    </row>
    <row r="854" spans="1:16" x14ac:dyDescent="0.25">
      <c r="A854" s="344"/>
      <c r="B854" s="261"/>
      <c r="C854" s="261"/>
      <c r="O854" s="16"/>
      <c r="P854" s="16"/>
    </row>
    <row r="855" spans="1:16" x14ac:dyDescent="0.25">
      <c r="A855" s="344"/>
      <c r="B855" s="261"/>
      <c r="C855" s="261"/>
      <c r="O855" s="16"/>
      <c r="P855" s="16"/>
    </row>
    <row r="856" spans="1:16" x14ac:dyDescent="0.25">
      <c r="A856" s="344"/>
      <c r="B856" s="261"/>
      <c r="C856" s="261"/>
      <c r="O856" s="16"/>
      <c r="P856" s="16"/>
    </row>
    <row r="857" spans="1:16" x14ac:dyDescent="0.25">
      <c r="A857" s="344"/>
      <c r="B857" s="261"/>
      <c r="C857" s="261"/>
      <c r="O857" s="16"/>
      <c r="P857" s="16"/>
    </row>
    <row r="858" spans="1:16" x14ac:dyDescent="0.25">
      <c r="A858" s="344"/>
      <c r="B858" s="261"/>
      <c r="C858" s="261"/>
      <c r="O858" s="16"/>
      <c r="P858" s="16"/>
    </row>
    <row r="859" spans="1:16" x14ac:dyDescent="0.25">
      <c r="A859" s="344"/>
      <c r="B859" s="261"/>
      <c r="C859" s="261"/>
      <c r="O859" s="16"/>
      <c r="P859" s="16"/>
    </row>
    <row r="860" spans="1:16" x14ac:dyDescent="0.25">
      <c r="A860" s="344"/>
      <c r="B860" s="261"/>
      <c r="C860" s="261"/>
      <c r="O860" s="16"/>
      <c r="P860" s="16"/>
    </row>
    <row r="861" spans="1:16" x14ac:dyDescent="0.25">
      <c r="A861" s="344"/>
      <c r="B861" s="261"/>
      <c r="C861" s="261"/>
      <c r="O861" s="16"/>
      <c r="P861" s="16"/>
    </row>
    <row r="862" spans="1:16" x14ac:dyDescent="0.25">
      <c r="A862" s="344"/>
      <c r="B862" s="261"/>
      <c r="C862" s="261"/>
      <c r="O862" s="16"/>
      <c r="P862" s="16"/>
    </row>
    <row r="863" spans="1:16" x14ac:dyDescent="0.25">
      <c r="A863" s="344"/>
      <c r="B863" s="261"/>
      <c r="C863" s="261"/>
      <c r="O863" s="16"/>
      <c r="P863" s="16"/>
    </row>
    <row r="864" spans="1:16" x14ac:dyDescent="0.25">
      <c r="A864" s="344"/>
      <c r="B864" s="261"/>
      <c r="C864" s="261"/>
      <c r="O864" s="16"/>
      <c r="P864" s="16"/>
    </row>
    <row r="865" spans="1:16" x14ac:dyDescent="0.25">
      <c r="A865" s="344"/>
      <c r="B865" s="261"/>
      <c r="C865" s="261"/>
      <c r="O865" s="16"/>
      <c r="P865" s="16"/>
    </row>
    <row r="866" spans="1:16" x14ac:dyDescent="0.25">
      <c r="A866" s="344"/>
      <c r="B866" s="261"/>
      <c r="C866" s="261"/>
      <c r="O866" s="16"/>
      <c r="P866" s="16"/>
    </row>
    <row r="867" spans="1:16" x14ac:dyDescent="0.25">
      <c r="A867" s="344"/>
      <c r="B867" s="261"/>
      <c r="C867" s="261"/>
      <c r="O867" s="16"/>
      <c r="P867" s="16"/>
    </row>
    <row r="868" spans="1:16" x14ac:dyDescent="0.25">
      <c r="A868" s="344"/>
      <c r="B868" s="261"/>
      <c r="C868" s="261"/>
      <c r="O868" s="16"/>
      <c r="P868" s="16"/>
    </row>
    <row r="869" spans="1:16" x14ac:dyDescent="0.25">
      <c r="A869" s="344"/>
      <c r="B869" s="261"/>
      <c r="C869" s="261"/>
      <c r="O869" s="16"/>
      <c r="P869" s="16"/>
    </row>
    <row r="870" spans="1:16" x14ac:dyDescent="0.25">
      <c r="A870" s="344"/>
      <c r="B870" s="261"/>
      <c r="C870" s="261"/>
      <c r="O870" s="16"/>
      <c r="P870" s="16"/>
    </row>
    <row r="871" spans="1:16" x14ac:dyDescent="0.25">
      <c r="A871" s="344"/>
      <c r="B871" s="261"/>
      <c r="C871" s="261"/>
      <c r="O871" s="16"/>
      <c r="P871" s="16"/>
    </row>
    <row r="872" spans="1:16" x14ac:dyDescent="0.25">
      <c r="A872" s="344"/>
      <c r="B872" s="261"/>
      <c r="C872" s="261"/>
      <c r="O872" s="16"/>
      <c r="P872" s="16"/>
    </row>
    <row r="873" spans="1:16" x14ac:dyDescent="0.25">
      <c r="A873" s="344"/>
      <c r="B873" s="261"/>
      <c r="C873" s="261"/>
      <c r="O873" s="16"/>
      <c r="P873" s="16"/>
    </row>
    <row r="874" spans="1:16" x14ac:dyDescent="0.25">
      <c r="A874" s="344"/>
      <c r="B874" s="261"/>
      <c r="C874" s="261"/>
      <c r="O874" s="16"/>
      <c r="P874" s="16"/>
    </row>
    <row r="875" spans="1:16" x14ac:dyDescent="0.25">
      <c r="A875" s="344"/>
      <c r="B875" s="261"/>
      <c r="C875" s="261"/>
      <c r="O875" s="16"/>
      <c r="P875" s="16"/>
    </row>
    <row r="876" spans="1:16" x14ac:dyDescent="0.25">
      <c r="A876" s="344"/>
      <c r="B876" s="261"/>
      <c r="C876" s="261"/>
      <c r="O876" s="16"/>
      <c r="P876" s="16"/>
    </row>
    <row r="877" spans="1:16" x14ac:dyDescent="0.25">
      <c r="A877" s="344"/>
      <c r="B877" s="261"/>
      <c r="C877" s="261"/>
      <c r="O877" s="16"/>
      <c r="P877" s="16"/>
    </row>
    <row r="878" spans="1:16" x14ac:dyDescent="0.25">
      <c r="A878" s="344"/>
      <c r="B878" s="261"/>
      <c r="C878" s="261"/>
      <c r="O878" s="16"/>
      <c r="P878" s="16"/>
    </row>
    <row r="879" spans="1:16" x14ac:dyDescent="0.25">
      <c r="A879" s="344"/>
      <c r="B879" s="261"/>
      <c r="C879" s="261"/>
      <c r="O879" s="16"/>
      <c r="P879" s="16"/>
    </row>
    <row r="880" spans="1:16" x14ac:dyDescent="0.25">
      <c r="A880" s="344"/>
      <c r="B880" s="261"/>
      <c r="C880" s="261"/>
      <c r="O880" s="16"/>
      <c r="P880" s="16"/>
    </row>
    <row r="881" spans="1:16" x14ac:dyDescent="0.25">
      <c r="A881" s="344"/>
      <c r="B881" s="261"/>
      <c r="C881" s="261"/>
      <c r="O881" s="16"/>
      <c r="P881" s="16"/>
    </row>
    <row r="882" spans="1:16" x14ac:dyDescent="0.25">
      <c r="A882" s="344"/>
      <c r="B882" s="261"/>
      <c r="C882" s="261"/>
      <c r="O882" s="16"/>
      <c r="P882" s="16"/>
    </row>
    <row r="883" spans="1:16" x14ac:dyDescent="0.25">
      <c r="A883" s="344"/>
      <c r="B883" s="261"/>
      <c r="C883" s="261"/>
      <c r="O883" s="16"/>
      <c r="P883" s="16"/>
    </row>
    <row r="884" spans="1:16" x14ac:dyDescent="0.25">
      <c r="A884" s="344"/>
      <c r="B884" s="261"/>
      <c r="C884" s="261"/>
      <c r="O884" s="16"/>
      <c r="P884" s="16"/>
    </row>
    <row r="885" spans="1:16" x14ac:dyDescent="0.25">
      <c r="A885" s="344"/>
      <c r="B885" s="261"/>
      <c r="C885" s="261"/>
      <c r="O885" s="16"/>
      <c r="P885" s="16"/>
    </row>
    <row r="886" spans="1:16" x14ac:dyDescent="0.25">
      <c r="A886" s="344"/>
      <c r="B886" s="261"/>
      <c r="C886" s="261"/>
      <c r="O886" s="16"/>
      <c r="P886" s="16"/>
    </row>
    <row r="887" spans="1:16" x14ac:dyDescent="0.25">
      <c r="A887" s="344"/>
      <c r="B887" s="261"/>
      <c r="C887" s="261"/>
      <c r="O887" s="16"/>
      <c r="P887" s="16"/>
    </row>
    <row r="888" spans="1:16" x14ac:dyDescent="0.25">
      <c r="A888" s="344"/>
      <c r="B888" s="261"/>
      <c r="C888" s="261"/>
      <c r="O888" s="16"/>
      <c r="P888" s="16"/>
    </row>
    <row r="889" spans="1:16" x14ac:dyDescent="0.25">
      <c r="A889" s="344"/>
      <c r="B889" s="261"/>
      <c r="C889" s="261"/>
      <c r="O889" s="16"/>
      <c r="P889" s="16"/>
    </row>
    <row r="890" spans="1:16" x14ac:dyDescent="0.25">
      <c r="A890" s="344"/>
      <c r="B890" s="261"/>
      <c r="C890" s="261"/>
      <c r="O890" s="16"/>
      <c r="P890" s="16"/>
    </row>
    <row r="891" spans="1:16" x14ac:dyDescent="0.25">
      <c r="A891" s="344"/>
      <c r="B891" s="261"/>
      <c r="C891" s="261"/>
      <c r="O891" s="16"/>
      <c r="P891" s="16"/>
    </row>
    <row r="892" spans="1:16" x14ac:dyDescent="0.25">
      <c r="A892" s="344"/>
      <c r="B892" s="261"/>
      <c r="C892" s="261"/>
      <c r="O892" s="16"/>
      <c r="P892" s="16"/>
    </row>
    <row r="893" spans="1:16" x14ac:dyDescent="0.25">
      <c r="A893" s="344"/>
      <c r="B893" s="261"/>
      <c r="C893" s="261"/>
      <c r="O893" s="16"/>
      <c r="P893" s="16"/>
    </row>
    <row r="894" spans="1:16" x14ac:dyDescent="0.25">
      <c r="A894" s="344"/>
      <c r="B894" s="261"/>
      <c r="C894" s="261"/>
      <c r="O894" s="16"/>
      <c r="P894" s="16"/>
    </row>
    <row r="895" spans="1:16" x14ac:dyDescent="0.25">
      <c r="A895" s="344"/>
      <c r="B895" s="261"/>
      <c r="C895" s="261"/>
      <c r="O895" s="16"/>
      <c r="P895" s="16"/>
    </row>
    <row r="896" spans="1:16" x14ac:dyDescent="0.25">
      <c r="A896" s="344"/>
      <c r="B896" s="261"/>
      <c r="C896" s="261"/>
      <c r="O896" s="16"/>
      <c r="P896" s="16"/>
    </row>
    <row r="897" spans="1:16" x14ac:dyDescent="0.25">
      <c r="A897" s="344"/>
      <c r="B897" s="261"/>
      <c r="C897" s="261"/>
      <c r="O897" s="16"/>
      <c r="P897" s="16"/>
    </row>
    <row r="898" spans="1:16" x14ac:dyDescent="0.25">
      <c r="A898" s="344"/>
      <c r="B898" s="261"/>
      <c r="C898" s="261"/>
      <c r="O898" s="16"/>
      <c r="P898" s="16"/>
    </row>
    <row r="899" spans="1:16" x14ac:dyDescent="0.25">
      <c r="A899" s="344"/>
      <c r="B899" s="261"/>
      <c r="C899" s="261"/>
      <c r="O899" s="16"/>
      <c r="P899" s="16"/>
    </row>
    <row r="900" spans="1:16" x14ac:dyDescent="0.25">
      <c r="A900" s="344"/>
      <c r="B900" s="261"/>
      <c r="C900" s="261"/>
      <c r="O900" s="16"/>
      <c r="P900" s="16"/>
    </row>
    <row r="901" spans="1:16" x14ac:dyDescent="0.25">
      <c r="A901" s="344"/>
      <c r="B901" s="261"/>
      <c r="C901" s="261"/>
      <c r="O901" s="16"/>
      <c r="P901" s="16"/>
    </row>
    <row r="902" spans="1:16" x14ac:dyDescent="0.25">
      <c r="A902" s="344"/>
      <c r="B902" s="261"/>
      <c r="C902" s="261"/>
      <c r="O902" s="16"/>
      <c r="P902" s="16"/>
    </row>
    <row r="903" spans="1:16" x14ac:dyDescent="0.25">
      <c r="A903" s="344"/>
      <c r="B903" s="261"/>
      <c r="C903" s="261"/>
      <c r="O903" s="16"/>
      <c r="P903" s="16"/>
    </row>
    <row r="904" spans="1:16" x14ac:dyDescent="0.25">
      <c r="A904" s="344"/>
      <c r="B904" s="261"/>
      <c r="C904" s="261"/>
      <c r="O904" s="16"/>
      <c r="P904" s="16"/>
    </row>
    <row r="905" spans="1:16" x14ac:dyDescent="0.25">
      <c r="A905" s="344"/>
      <c r="B905" s="261"/>
      <c r="C905" s="261"/>
      <c r="O905" s="16"/>
      <c r="P905" s="16"/>
    </row>
    <row r="906" spans="1:16" x14ac:dyDescent="0.25">
      <c r="A906" s="344"/>
      <c r="B906" s="261"/>
      <c r="C906" s="261"/>
      <c r="O906" s="16"/>
      <c r="P906" s="16"/>
    </row>
    <row r="907" spans="1:16" x14ac:dyDescent="0.25">
      <c r="A907" s="344"/>
      <c r="B907" s="261"/>
      <c r="C907" s="261"/>
      <c r="O907" s="16"/>
      <c r="P907" s="16"/>
    </row>
    <row r="908" spans="1:16" x14ac:dyDescent="0.25">
      <c r="A908" s="344"/>
      <c r="B908" s="261"/>
      <c r="C908" s="261"/>
      <c r="O908" s="16"/>
      <c r="P908" s="16"/>
    </row>
    <row r="909" spans="1:16" x14ac:dyDescent="0.25">
      <c r="A909" s="344"/>
      <c r="B909" s="261"/>
      <c r="C909" s="261"/>
      <c r="O909" s="16"/>
      <c r="P909" s="16"/>
    </row>
    <row r="910" spans="1:16" x14ac:dyDescent="0.25">
      <c r="A910" s="344"/>
      <c r="B910" s="261"/>
      <c r="C910" s="261"/>
      <c r="O910" s="16"/>
      <c r="P910" s="16"/>
    </row>
    <row r="911" spans="1:16" x14ac:dyDescent="0.25">
      <c r="A911" s="344"/>
      <c r="B911" s="261"/>
      <c r="C911" s="261"/>
      <c r="O911" s="16"/>
      <c r="P911" s="16"/>
    </row>
    <row r="912" spans="1:16" x14ac:dyDescent="0.25">
      <c r="A912" s="344"/>
      <c r="B912" s="261"/>
      <c r="C912" s="261"/>
      <c r="O912" s="16"/>
      <c r="P912" s="16"/>
    </row>
    <row r="913" spans="1:16" x14ac:dyDescent="0.25">
      <c r="A913" s="344"/>
      <c r="B913" s="261"/>
      <c r="C913" s="261"/>
      <c r="O913" s="16"/>
      <c r="P913" s="16"/>
    </row>
    <row r="914" spans="1:16" x14ac:dyDescent="0.25">
      <c r="A914" s="344"/>
      <c r="B914" s="261"/>
      <c r="C914" s="261"/>
      <c r="O914" s="16"/>
      <c r="P914" s="16"/>
    </row>
    <row r="915" spans="1:16" x14ac:dyDescent="0.25">
      <c r="A915" s="344"/>
      <c r="B915" s="261"/>
      <c r="C915" s="261"/>
      <c r="O915" s="16"/>
      <c r="P915" s="16"/>
    </row>
    <row r="916" spans="1:16" x14ac:dyDescent="0.25">
      <c r="A916" s="344"/>
      <c r="B916" s="261"/>
      <c r="C916" s="261"/>
      <c r="O916" s="16"/>
      <c r="P916" s="16"/>
    </row>
    <row r="917" spans="1:16" x14ac:dyDescent="0.25">
      <c r="A917" s="344"/>
      <c r="B917" s="261"/>
      <c r="C917" s="261"/>
      <c r="O917" s="16"/>
      <c r="P917" s="16"/>
    </row>
    <row r="918" spans="1:16" x14ac:dyDescent="0.25">
      <c r="A918" s="344"/>
      <c r="B918" s="261"/>
      <c r="C918" s="261"/>
      <c r="O918" s="16"/>
      <c r="P918" s="16"/>
    </row>
    <row r="919" spans="1:16" x14ac:dyDescent="0.25">
      <c r="A919" s="344"/>
      <c r="B919" s="261"/>
      <c r="C919" s="261"/>
      <c r="O919" s="16"/>
      <c r="P919" s="16"/>
    </row>
    <row r="920" spans="1:16" x14ac:dyDescent="0.25">
      <c r="A920" s="344"/>
      <c r="B920" s="261"/>
      <c r="C920" s="261"/>
      <c r="O920" s="16"/>
      <c r="P920" s="16"/>
    </row>
    <row r="921" spans="1:16" x14ac:dyDescent="0.25">
      <c r="A921" s="344"/>
      <c r="B921" s="261"/>
      <c r="C921" s="261"/>
      <c r="O921" s="16"/>
      <c r="P921" s="16"/>
    </row>
    <row r="922" spans="1:16" x14ac:dyDescent="0.25">
      <c r="A922" s="344"/>
      <c r="B922" s="261"/>
      <c r="C922" s="261"/>
      <c r="O922" s="16"/>
      <c r="P922" s="16"/>
    </row>
    <row r="923" spans="1:16" x14ac:dyDescent="0.25">
      <c r="A923" s="344"/>
      <c r="B923" s="261"/>
      <c r="C923" s="261"/>
      <c r="O923" s="16"/>
      <c r="P923" s="16"/>
    </row>
    <row r="924" spans="1:16" x14ac:dyDescent="0.25">
      <c r="A924" s="344"/>
      <c r="B924" s="261"/>
      <c r="C924" s="261"/>
      <c r="O924" s="16"/>
      <c r="P924" s="16"/>
    </row>
    <row r="925" spans="1:16" x14ac:dyDescent="0.25">
      <c r="A925" s="344"/>
      <c r="B925" s="261"/>
      <c r="C925" s="261"/>
      <c r="O925" s="16"/>
      <c r="P925" s="16"/>
    </row>
    <row r="926" spans="1:16" x14ac:dyDescent="0.25">
      <c r="A926" s="344"/>
      <c r="B926" s="261"/>
      <c r="C926" s="261"/>
      <c r="O926" s="16"/>
      <c r="P926" s="16"/>
    </row>
    <row r="927" spans="1:16" x14ac:dyDescent="0.25">
      <c r="A927" s="344"/>
      <c r="B927" s="261"/>
      <c r="C927" s="261"/>
      <c r="O927" s="16"/>
      <c r="P927" s="16"/>
    </row>
    <row r="928" spans="1:16" x14ac:dyDescent="0.25">
      <c r="A928" s="344"/>
      <c r="B928" s="261"/>
      <c r="C928" s="261"/>
      <c r="O928" s="16"/>
      <c r="P928" s="16"/>
    </row>
    <row r="929" spans="1:16" x14ac:dyDescent="0.25">
      <c r="A929" s="344"/>
      <c r="B929" s="261"/>
      <c r="C929" s="261"/>
      <c r="O929" s="16"/>
      <c r="P929" s="16"/>
    </row>
    <row r="930" spans="1:16" x14ac:dyDescent="0.25">
      <c r="A930" s="344"/>
      <c r="B930" s="261"/>
      <c r="C930" s="261"/>
      <c r="O930" s="16"/>
      <c r="P930" s="16"/>
    </row>
    <row r="931" spans="1:16" x14ac:dyDescent="0.25">
      <c r="A931" s="344"/>
      <c r="B931" s="261"/>
      <c r="C931" s="261"/>
      <c r="O931" s="16"/>
      <c r="P931" s="16"/>
    </row>
    <row r="932" spans="1:16" x14ac:dyDescent="0.25">
      <c r="A932" s="344"/>
      <c r="B932" s="261"/>
      <c r="C932" s="261"/>
      <c r="O932" s="16"/>
      <c r="P932" s="16"/>
    </row>
    <row r="933" spans="1:16" x14ac:dyDescent="0.25">
      <c r="A933" s="344"/>
      <c r="B933" s="261"/>
      <c r="C933" s="261"/>
      <c r="O933" s="16"/>
      <c r="P933" s="16"/>
    </row>
    <row r="934" spans="1:16" x14ac:dyDescent="0.25">
      <c r="A934" s="344"/>
      <c r="B934" s="261"/>
      <c r="C934" s="261"/>
      <c r="O934" s="16"/>
      <c r="P934" s="16"/>
    </row>
    <row r="935" spans="1:16" x14ac:dyDescent="0.25">
      <c r="A935" s="344"/>
      <c r="B935" s="261"/>
      <c r="C935" s="261"/>
      <c r="O935" s="16"/>
      <c r="P935" s="16"/>
    </row>
    <row r="936" spans="1:16" x14ac:dyDescent="0.25">
      <c r="A936" s="344"/>
      <c r="B936" s="261"/>
      <c r="C936" s="261"/>
      <c r="O936" s="16"/>
      <c r="P936" s="16"/>
    </row>
    <row r="937" spans="1:16" x14ac:dyDescent="0.25">
      <c r="A937" s="344"/>
      <c r="B937" s="261"/>
      <c r="C937" s="261"/>
      <c r="O937" s="16"/>
      <c r="P937" s="16"/>
    </row>
    <row r="938" spans="1:16" x14ac:dyDescent="0.25">
      <c r="A938" s="344"/>
      <c r="B938" s="261"/>
      <c r="C938" s="261"/>
      <c r="O938" s="16"/>
      <c r="P938" s="16"/>
    </row>
    <row r="939" spans="1:16" x14ac:dyDescent="0.25">
      <c r="A939" s="344"/>
      <c r="B939" s="261"/>
      <c r="C939" s="261"/>
      <c r="O939" s="16"/>
      <c r="P939" s="16"/>
    </row>
    <row r="940" spans="1:16" x14ac:dyDescent="0.25">
      <c r="A940" s="344"/>
      <c r="B940" s="261"/>
      <c r="C940" s="261"/>
      <c r="O940" s="16"/>
      <c r="P940" s="16"/>
    </row>
    <row r="941" spans="1:16" x14ac:dyDescent="0.25">
      <c r="A941" s="344"/>
      <c r="B941" s="261"/>
      <c r="C941" s="261"/>
      <c r="O941" s="16"/>
      <c r="P941" s="16"/>
    </row>
    <row r="942" spans="1:16" x14ac:dyDescent="0.25">
      <c r="A942" s="344"/>
      <c r="B942" s="261"/>
      <c r="C942" s="261"/>
      <c r="O942" s="16"/>
      <c r="P942" s="16"/>
    </row>
    <row r="943" spans="1:16" x14ac:dyDescent="0.25">
      <c r="A943" s="344"/>
      <c r="B943" s="261"/>
      <c r="C943" s="261"/>
      <c r="O943" s="16"/>
      <c r="P943" s="16"/>
    </row>
    <row r="944" spans="1:16" x14ac:dyDescent="0.25">
      <c r="A944" s="344"/>
      <c r="B944" s="261"/>
      <c r="C944" s="261"/>
      <c r="O944" s="16"/>
      <c r="P944" s="16"/>
    </row>
    <row r="945" spans="1:16" x14ac:dyDescent="0.25">
      <c r="A945" s="344"/>
      <c r="B945" s="261"/>
      <c r="C945" s="261"/>
      <c r="O945" s="16"/>
      <c r="P945" s="16"/>
    </row>
    <row r="946" spans="1:16" x14ac:dyDescent="0.25">
      <c r="A946" s="344"/>
      <c r="B946" s="261"/>
      <c r="C946" s="261"/>
      <c r="O946" s="16"/>
      <c r="P946" s="16"/>
    </row>
    <row r="947" spans="1:16" x14ac:dyDescent="0.25">
      <c r="A947" s="344"/>
      <c r="B947" s="261"/>
      <c r="C947" s="261"/>
      <c r="O947" s="16"/>
      <c r="P947" s="16"/>
    </row>
    <row r="948" spans="1:16" x14ac:dyDescent="0.25">
      <c r="A948" s="344"/>
      <c r="B948" s="261"/>
      <c r="C948" s="261"/>
      <c r="O948" s="16"/>
      <c r="P948" s="16"/>
    </row>
    <row r="949" spans="1:16" x14ac:dyDescent="0.25">
      <c r="A949" s="344"/>
      <c r="B949" s="261"/>
      <c r="C949" s="261"/>
      <c r="O949" s="16"/>
      <c r="P949" s="16"/>
    </row>
    <row r="950" spans="1:16" x14ac:dyDescent="0.25">
      <c r="A950" s="344"/>
      <c r="B950" s="261"/>
      <c r="C950" s="261"/>
      <c r="O950" s="16"/>
      <c r="P950" s="16"/>
    </row>
    <row r="951" spans="1:16" x14ac:dyDescent="0.25">
      <c r="A951" s="344"/>
      <c r="B951" s="261"/>
      <c r="C951" s="261"/>
      <c r="O951" s="16"/>
      <c r="P951" s="16"/>
    </row>
    <row r="952" spans="1:16" x14ac:dyDescent="0.25">
      <c r="A952" s="344"/>
      <c r="B952" s="261"/>
      <c r="C952" s="261"/>
      <c r="O952" s="16"/>
      <c r="P952" s="16"/>
    </row>
    <row r="953" spans="1:16" x14ac:dyDescent="0.25">
      <c r="A953" s="344"/>
      <c r="B953" s="261"/>
      <c r="C953" s="261"/>
      <c r="O953" s="16"/>
      <c r="P953" s="16"/>
    </row>
    <row r="954" spans="1:16" x14ac:dyDescent="0.25">
      <c r="A954" s="344"/>
      <c r="B954" s="261"/>
      <c r="C954" s="261"/>
      <c r="O954" s="16"/>
      <c r="P954" s="16"/>
    </row>
    <row r="955" spans="1:16" x14ac:dyDescent="0.25">
      <c r="A955" s="344"/>
      <c r="B955" s="261"/>
      <c r="C955" s="261"/>
      <c r="O955" s="16"/>
      <c r="P955" s="16"/>
    </row>
    <row r="956" spans="1:16" x14ac:dyDescent="0.25">
      <c r="A956" s="344"/>
      <c r="B956" s="261"/>
      <c r="C956" s="261"/>
      <c r="O956" s="16"/>
      <c r="P956" s="16"/>
    </row>
    <row r="957" spans="1:16" x14ac:dyDescent="0.25">
      <c r="A957" s="344"/>
      <c r="B957" s="261"/>
      <c r="C957" s="261"/>
      <c r="O957" s="16"/>
      <c r="P957" s="16"/>
    </row>
    <row r="958" spans="1:16" x14ac:dyDescent="0.25">
      <c r="A958" s="344"/>
      <c r="B958" s="261"/>
      <c r="C958" s="261"/>
      <c r="O958" s="16"/>
      <c r="P958" s="16"/>
    </row>
    <row r="959" spans="1:16" x14ac:dyDescent="0.25">
      <c r="A959" s="344"/>
      <c r="B959" s="261"/>
      <c r="C959" s="261"/>
      <c r="O959" s="16"/>
      <c r="P959" s="16"/>
    </row>
    <row r="960" spans="1:16" x14ac:dyDescent="0.25">
      <c r="A960" s="344"/>
      <c r="B960" s="261"/>
      <c r="C960" s="261"/>
      <c r="O960" s="16"/>
      <c r="P960" s="16"/>
    </row>
    <row r="961" spans="1:16" x14ac:dyDescent="0.25">
      <c r="A961" s="344"/>
      <c r="B961" s="261"/>
      <c r="C961" s="261"/>
      <c r="O961" s="16"/>
      <c r="P961" s="16"/>
    </row>
    <row r="962" spans="1:16" x14ac:dyDescent="0.25">
      <c r="A962" s="344"/>
      <c r="B962" s="261"/>
      <c r="C962" s="261"/>
      <c r="O962" s="16"/>
      <c r="P962" s="16"/>
    </row>
    <row r="963" spans="1:16" x14ac:dyDescent="0.25">
      <c r="A963" s="344"/>
      <c r="B963" s="261"/>
      <c r="C963" s="261"/>
      <c r="O963" s="16"/>
      <c r="P963" s="16"/>
    </row>
    <row r="964" spans="1:16" x14ac:dyDescent="0.25">
      <c r="A964" s="344"/>
      <c r="B964" s="261"/>
      <c r="C964" s="261"/>
      <c r="O964" s="16"/>
      <c r="P964" s="16"/>
    </row>
    <row r="965" spans="1:16" x14ac:dyDescent="0.25">
      <c r="A965" s="344"/>
      <c r="B965" s="261"/>
      <c r="C965" s="261"/>
      <c r="O965" s="16"/>
      <c r="P965" s="16"/>
    </row>
    <row r="966" spans="1:16" x14ac:dyDescent="0.25">
      <c r="A966" s="344"/>
      <c r="B966" s="261"/>
      <c r="C966" s="261"/>
      <c r="O966" s="16"/>
      <c r="P966" s="16"/>
    </row>
    <row r="967" spans="1:16" x14ac:dyDescent="0.25">
      <c r="A967" s="344"/>
      <c r="B967" s="261"/>
      <c r="C967" s="261"/>
      <c r="O967" s="16"/>
      <c r="P967" s="16"/>
    </row>
    <row r="968" spans="1:16" x14ac:dyDescent="0.25">
      <c r="A968" s="344"/>
      <c r="B968" s="261"/>
      <c r="C968" s="261"/>
      <c r="O968" s="16"/>
      <c r="P968" s="16"/>
    </row>
    <row r="969" spans="1:16" x14ac:dyDescent="0.25">
      <c r="A969" s="344"/>
      <c r="B969" s="261"/>
      <c r="C969" s="261"/>
      <c r="O969" s="16"/>
      <c r="P969" s="16"/>
    </row>
    <row r="970" spans="1:16" x14ac:dyDescent="0.25">
      <c r="A970" s="344"/>
      <c r="B970" s="261"/>
      <c r="C970" s="261"/>
      <c r="O970" s="16"/>
      <c r="P970" s="16"/>
    </row>
    <row r="971" spans="1:16" x14ac:dyDescent="0.25">
      <c r="A971" s="344"/>
      <c r="B971" s="261"/>
      <c r="C971" s="261"/>
      <c r="O971" s="16"/>
      <c r="P971" s="16"/>
    </row>
    <row r="972" spans="1:16" x14ac:dyDescent="0.25">
      <c r="A972" s="344"/>
      <c r="B972" s="261"/>
      <c r="C972" s="261"/>
      <c r="O972" s="16"/>
      <c r="P972" s="16"/>
    </row>
    <row r="973" spans="1:16" x14ac:dyDescent="0.25">
      <c r="A973" s="344"/>
      <c r="B973" s="261"/>
      <c r="C973" s="261"/>
      <c r="O973" s="16"/>
      <c r="P973" s="16"/>
    </row>
    <row r="974" spans="1:16" x14ac:dyDescent="0.25">
      <c r="A974" s="344"/>
      <c r="B974" s="261"/>
      <c r="C974" s="261"/>
      <c r="O974" s="16"/>
      <c r="P974" s="16"/>
    </row>
    <row r="975" spans="1:16" x14ac:dyDescent="0.25">
      <c r="A975" s="344"/>
      <c r="B975" s="261"/>
      <c r="C975" s="261"/>
      <c r="O975" s="16"/>
      <c r="P975" s="16"/>
    </row>
    <row r="976" spans="1:16" x14ac:dyDescent="0.25">
      <c r="A976" s="344"/>
      <c r="B976" s="261"/>
      <c r="C976" s="261"/>
      <c r="O976" s="16"/>
      <c r="P976" s="16"/>
    </row>
    <row r="977" spans="1:16" x14ac:dyDescent="0.25">
      <c r="A977" s="344"/>
      <c r="B977" s="261"/>
      <c r="C977" s="261"/>
      <c r="O977" s="16"/>
      <c r="P977" s="16"/>
    </row>
    <row r="978" spans="1:16" x14ac:dyDescent="0.25">
      <c r="A978" s="344"/>
      <c r="B978" s="261"/>
      <c r="C978" s="261"/>
      <c r="O978" s="16"/>
      <c r="P978" s="16"/>
    </row>
    <row r="979" spans="1:16" x14ac:dyDescent="0.25">
      <c r="A979" s="344"/>
      <c r="B979" s="261"/>
      <c r="C979" s="261"/>
      <c r="O979" s="16"/>
      <c r="P979" s="16"/>
    </row>
    <row r="980" spans="1:16" x14ac:dyDescent="0.25">
      <c r="A980" s="344"/>
      <c r="B980" s="261"/>
      <c r="C980" s="261"/>
      <c r="O980" s="16"/>
      <c r="P980" s="16"/>
    </row>
    <row r="981" spans="1:16" x14ac:dyDescent="0.25">
      <c r="A981" s="344"/>
      <c r="B981" s="261"/>
      <c r="C981" s="261"/>
      <c r="O981" s="16"/>
      <c r="P981" s="16"/>
    </row>
    <row r="982" spans="1:16" x14ac:dyDescent="0.25">
      <c r="A982" s="344"/>
      <c r="B982" s="261"/>
      <c r="C982" s="261"/>
      <c r="O982" s="16"/>
      <c r="P982" s="16"/>
    </row>
    <row r="983" spans="1:16" x14ac:dyDescent="0.25">
      <c r="A983" s="344"/>
      <c r="B983" s="261"/>
      <c r="C983" s="261"/>
      <c r="O983" s="16"/>
      <c r="P983" s="16"/>
    </row>
    <row r="984" spans="1:16" x14ac:dyDescent="0.25">
      <c r="A984" s="344"/>
      <c r="B984" s="261"/>
      <c r="C984" s="261"/>
      <c r="O984" s="16"/>
      <c r="P984" s="16"/>
    </row>
    <row r="985" spans="1:16" x14ac:dyDescent="0.25">
      <c r="A985" s="344"/>
      <c r="B985" s="261"/>
      <c r="C985" s="261"/>
      <c r="O985" s="16"/>
      <c r="P985" s="16"/>
    </row>
    <row r="986" spans="1:16" x14ac:dyDescent="0.25">
      <c r="A986" s="344"/>
      <c r="B986" s="261"/>
      <c r="C986" s="261"/>
      <c r="O986" s="16"/>
      <c r="P986" s="16"/>
    </row>
    <row r="987" spans="1:16" x14ac:dyDescent="0.25">
      <c r="A987" s="344"/>
      <c r="B987" s="261"/>
      <c r="C987" s="261"/>
      <c r="O987" s="16"/>
      <c r="P987" s="16"/>
    </row>
    <row r="988" spans="1:16" x14ac:dyDescent="0.25">
      <c r="A988" s="344"/>
      <c r="B988" s="261"/>
      <c r="C988" s="261"/>
      <c r="O988" s="16"/>
      <c r="P988" s="16"/>
    </row>
    <row r="989" spans="1:16" x14ac:dyDescent="0.25">
      <c r="A989" s="344"/>
      <c r="B989" s="261"/>
      <c r="C989" s="261"/>
      <c r="O989" s="16"/>
      <c r="P989" s="16"/>
    </row>
    <row r="990" spans="1:16" x14ac:dyDescent="0.25">
      <c r="A990" s="344"/>
      <c r="B990" s="261"/>
      <c r="C990" s="261"/>
      <c r="O990" s="16"/>
      <c r="P990" s="16"/>
    </row>
    <row r="991" spans="1:16" x14ac:dyDescent="0.25">
      <c r="A991" s="344"/>
      <c r="B991" s="261"/>
      <c r="C991" s="261"/>
      <c r="O991" s="16"/>
      <c r="P991" s="16"/>
    </row>
    <row r="992" spans="1:16" x14ac:dyDescent="0.25">
      <c r="A992" s="344"/>
      <c r="B992" s="261"/>
      <c r="C992" s="261"/>
      <c r="O992" s="16"/>
      <c r="P992" s="16"/>
    </row>
    <row r="993" spans="1:16" x14ac:dyDescent="0.25">
      <c r="A993" s="344"/>
      <c r="B993" s="261"/>
      <c r="C993" s="261"/>
      <c r="O993" s="16"/>
      <c r="P993" s="16"/>
    </row>
    <row r="994" spans="1:16" x14ac:dyDescent="0.25">
      <c r="A994" s="344"/>
      <c r="B994" s="261"/>
      <c r="C994" s="261"/>
      <c r="O994" s="16"/>
      <c r="P994" s="16"/>
    </row>
    <row r="995" spans="1:16" x14ac:dyDescent="0.25">
      <c r="A995" s="344"/>
      <c r="B995" s="261"/>
      <c r="C995" s="261"/>
      <c r="O995" s="16"/>
      <c r="P995" s="16"/>
    </row>
    <row r="996" spans="1:16" x14ac:dyDescent="0.25">
      <c r="A996" s="344"/>
      <c r="B996" s="261"/>
      <c r="C996" s="261"/>
      <c r="O996" s="16"/>
      <c r="P996" s="16"/>
    </row>
    <row r="997" spans="1:16" x14ac:dyDescent="0.25">
      <c r="A997" s="344"/>
      <c r="B997" s="261"/>
      <c r="C997" s="261"/>
      <c r="O997" s="16"/>
      <c r="P997" s="16"/>
    </row>
    <row r="998" spans="1:16" x14ac:dyDescent="0.25">
      <c r="A998" s="344"/>
      <c r="B998" s="261"/>
      <c r="C998" s="261"/>
      <c r="O998" s="16"/>
      <c r="P998" s="16"/>
    </row>
    <row r="999" spans="1:16" x14ac:dyDescent="0.25">
      <c r="A999" s="344"/>
      <c r="B999" s="261"/>
      <c r="C999" s="261"/>
      <c r="O999" s="16"/>
      <c r="P999" s="16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63"/>
  <sheetViews>
    <sheetView workbookViewId="0"/>
  </sheetViews>
  <sheetFormatPr defaultColWidth="11.25" defaultRowHeight="15" customHeight="1" x14ac:dyDescent="0.25"/>
  <cols>
    <col min="1" max="1" width="14.875" customWidth="1"/>
    <col min="3" max="3" width="12.75" customWidth="1"/>
    <col min="8" max="8" width="18.25" customWidth="1"/>
  </cols>
  <sheetData>
    <row r="1" spans="1:14" x14ac:dyDescent="0.25">
      <c r="A1" s="335" t="s">
        <v>0</v>
      </c>
      <c r="B1" s="335" t="s">
        <v>987</v>
      </c>
      <c r="C1" s="335" t="s">
        <v>988</v>
      </c>
      <c r="D1" s="335" t="s">
        <v>989</v>
      </c>
      <c r="E1" s="335" t="s">
        <v>990</v>
      </c>
      <c r="F1" s="335"/>
      <c r="G1" s="335"/>
      <c r="H1" s="335" t="s">
        <v>991</v>
      </c>
      <c r="I1" s="335" t="s">
        <v>992</v>
      </c>
      <c r="J1" s="335" t="s">
        <v>993</v>
      </c>
      <c r="K1" s="335" t="s">
        <v>995</v>
      </c>
      <c r="L1" s="335" t="s">
        <v>1035</v>
      </c>
      <c r="M1" s="336" t="s">
        <v>1036</v>
      </c>
      <c r="N1" s="342" t="s">
        <v>13</v>
      </c>
    </row>
    <row r="2" spans="1:14" x14ac:dyDescent="0.25">
      <c r="A2" s="335" t="s">
        <v>1000</v>
      </c>
      <c r="B2" s="338">
        <v>1</v>
      </c>
      <c r="C2" s="338">
        <v>921</v>
      </c>
      <c r="D2" s="335" t="s">
        <v>1001</v>
      </c>
      <c r="E2" s="338">
        <v>0</v>
      </c>
      <c r="F2" s="338">
        <v>0</v>
      </c>
      <c r="G2" s="338">
        <v>0</v>
      </c>
      <c r="H2" s="339">
        <v>45728.584027777775</v>
      </c>
      <c r="I2" s="338">
        <v>2.2799999999999998</v>
      </c>
      <c r="J2" s="338">
        <v>141.71</v>
      </c>
      <c r="K2" s="338">
        <v>1</v>
      </c>
      <c r="L2" s="338">
        <v>2.2799999999999998</v>
      </c>
      <c r="M2" s="338">
        <v>2.2799999999999998</v>
      </c>
      <c r="N2" s="337" t="s">
        <v>19</v>
      </c>
    </row>
    <row r="3" spans="1:14" x14ac:dyDescent="0.25">
      <c r="A3" s="335" t="s">
        <v>1002</v>
      </c>
      <c r="B3" s="338">
        <v>2</v>
      </c>
      <c r="C3" s="338">
        <v>921</v>
      </c>
      <c r="D3" s="335" t="s">
        <v>1003</v>
      </c>
      <c r="E3" s="338">
        <v>0</v>
      </c>
      <c r="F3" s="338">
        <v>0</v>
      </c>
      <c r="G3" s="338">
        <v>0</v>
      </c>
      <c r="H3" s="339">
        <v>45728.584953703707</v>
      </c>
      <c r="I3" s="338">
        <v>2.36</v>
      </c>
      <c r="J3" s="338">
        <v>145.91999999999999</v>
      </c>
      <c r="K3" s="338">
        <v>1</v>
      </c>
      <c r="L3" s="338">
        <v>2.36</v>
      </c>
      <c r="M3" s="338">
        <v>2.36</v>
      </c>
      <c r="N3" s="337" t="s">
        <v>19</v>
      </c>
    </row>
    <row r="4" spans="1:14" x14ac:dyDescent="0.25">
      <c r="A4" s="338">
        <v>2.2200000000000002</v>
      </c>
      <c r="B4" s="338">
        <v>3</v>
      </c>
      <c r="C4" s="338">
        <v>921</v>
      </c>
      <c r="D4" s="335" t="s">
        <v>1004</v>
      </c>
      <c r="E4" s="338">
        <v>0</v>
      </c>
      <c r="F4" s="338">
        <v>0</v>
      </c>
      <c r="G4" s="338">
        <v>0</v>
      </c>
      <c r="H4" s="339">
        <v>45728.585879629631</v>
      </c>
      <c r="I4" s="338">
        <v>2.27</v>
      </c>
      <c r="J4" s="338">
        <v>141.13</v>
      </c>
      <c r="K4" s="338">
        <v>1</v>
      </c>
      <c r="L4" s="338">
        <v>2.27</v>
      </c>
      <c r="M4" s="338">
        <v>2.27</v>
      </c>
      <c r="N4" s="337" t="s">
        <v>19</v>
      </c>
    </row>
    <row r="5" spans="1:14" x14ac:dyDescent="0.25">
      <c r="A5" s="338">
        <v>1.66</v>
      </c>
      <c r="B5" s="338">
        <v>4</v>
      </c>
      <c r="C5" s="338">
        <v>901</v>
      </c>
      <c r="D5" s="335" t="s">
        <v>1004</v>
      </c>
      <c r="E5" s="338">
        <v>0</v>
      </c>
      <c r="F5" s="338">
        <v>0</v>
      </c>
      <c r="G5" s="338">
        <v>0</v>
      </c>
      <c r="H5" s="339">
        <v>45728.586805555555</v>
      </c>
      <c r="I5" s="338">
        <v>1.66</v>
      </c>
      <c r="J5" s="338">
        <v>109.34</v>
      </c>
      <c r="K5" s="338">
        <v>1</v>
      </c>
      <c r="L5" s="338">
        <v>1.66</v>
      </c>
      <c r="M5" s="338">
        <v>1.66</v>
      </c>
      <c r="N5" s="337" t="s">
        <v>19</v>
      </c>
    </row>
    <row r="6" spans="1:14" x14ac:dyDescent="0.25">
      <c r="A6" s="338">
        <v>1.1100000000000001</v>
      </c>
      <c r="B6" s="338">
        <v>5</v>
      </c>
      <c r="C6" s="338">
        <v>902</v>
      </c>
      <c r="D6" s="335" t="s">
        <v>1004</v>
      </c>
      <c r="E6" s="338">
        <v>0</v>
      </c>
      <c r="F6" s="338">
        <v>0</v>
      </c>
      <c r="G6" s="338">
        <v>0</v>
      </c>
      <c r="H6" s="339">
        <v>45728.587731481479</v>
      </c>
      <c r="I6" s="338">
        <v>1.06</v>
      </c>
      <c r="J6" s="338">
        <v>78.13</v>
      </c>
      <c r="K6" s="338">
        <v>1</v>
      </c>
      <c r="L6" s="338">
        <v>1.06</v>
      </c>
      <c r="M6" s="338">
        <v>1.06</v>
      </c>
      <c r="N6" s="337" t="s">
        <v>19</v>
      </c>
    </row>
    <row r="7" spans="1:14" x14ac:dyDescent="0.25">
      <c r="A7" s="338">
        <v>0.55000000000000004</v>
      </c>
      <c r="B7" s="338">
        <v>6</v>
      </c>
      <c r="C7" s="338">
        <v>903</v>
      </c>
      <c r="D7" s="335" t="s">
        <v>1004</v>
      </c>
      <c r="E7" s="338">
        <v>0</v>
      </c>
      <c r="F7" s="338">
        <v>0</v>
      </c>
      <c r="G7" s="338">
        <v>0</v>
      </c>
      <c r="H7" s="339">
        <v>45728.58865740741</v>
      </c>
      <c r="I7" s="338">
        <v>0.45</v>
      </c>
      <c r="J7" s="338">
        <v>46.02</v>
      </c>
      <c r="K7" s="338">
        <v>1</v>
      </c>
      <c r="L7" s="338">
        <v>0.45</v>
      </c>
      <c r="M7" s="338">
        <v>0.45</v>
      </c>
      <c r="N7" s="337" t="s">
        <v>19</v>
      </c>
    </row>
    <row r="8" spans="1:14" x14ac:dyDescent="0.25">
      <c r="A8" s="338">
        <v>0.22</v>
      </c>
      <c r="B8" s="338">
        <v>7</v>
      </c>
      <c r="C8" s="338">
        <v>904</v>
      </c>
      <c r="D8" s="335" t="s">
        <v>1004</v>
      </c>
      <c r="E8" s="338">
        <v>0</v>
      </c>
      <c r="F8" s="338">
        <v>0</v>
      </c>
      <c r="G8" s="338">
        <v>0</v>
      </c>
      <c r="H8" s="339">
        <v>45728.589583333334</v>
      </c>
      <c r="I8" s="338">
        <v>0.25</v>
      </c>
      <c r="J8" s="338">
        <v>35.67</v>
      </c>
      <c r="K8" s="338">
        <v>1</v>
      </c>
      <c r="L8" s="338">
        <v>0.25</v>
      </c>
      <c r="M8" s="338">
        <v>0.25</v>
      </c>
      <c r="N8" s="337" t="s">
        <v>19</v>
      </c>
    </row>
    <row r="9" spans="1:14" x14ac:dyDescent="0.25">
      <c r="A9" s="335" t="s">
        <v>24</v>
      </c>
      <c r="B9" s="338">
        <v>8</v>
      </c>
      <c r="C9" s="338">
        <v>905</v>
      </c>
      <c r="D9" s="335" t="s">
        <v>1004</v>
      </c>
      <c r="E9" s="338">
        <v>0</v>
      </c>
      <c r="F9" s="338">
        <v>0</v>
      </c>
      <c r="G9" s="338">
        <v>0</v>
      </c>
      <c r="H9" s="339">
        <v>45728.590509259258</v>
      </c>
      <c r="I9" s="338">
        <v>7.0000000000000007E-2</v>
      </c>
      <c r="J9" s="338">
        <v>25.89</v>
      </c>
      <c r="K9" s="338">
        <v>1</v>
      </c>
      <c r="L9" s="338">
        <v>7.0000000000000007E-2</v>
      </c>
      <c r="M9" s="335" t="s">
        <v>1037</v>
      </c>
      <c r="N9" s="337" t="s">
        <v>19</v>
      </c>
    </row>
    <row r="10" spans="1:14" x14ac:dyDescent="0.25">
      <c r="A10" s="335" t="s">
        <v>1006</v>
      </c>
      <c r="B10" s="338">
        <v>9</v>
      </c>
      <c r="C10" s="338">
        <v>0</v>
      </c>
      <c r="D10" s="335" t="s">
        <v>1007</v>
      </c>
      <c r="E10" s="338">
        <v>0</v>
      </c>
      <c r="F10" s="338">
        <v>0</v>
      </c>
      <c r="G10" s="338">
        <v>0</v>
      </c>
      <c r="H10" s="339">
        <v>45728.591435185182</v>
      </c>
      <c r="I10" s="338">
        <v>-0.43</v>
      </c>
      <c r="J10" s="338">
        <v>0</v>
      </c>
      <c r="K10" s="338">
        <v>1</v>
      </c>
      <c r="L10" s="338">
        <v>-0.43</v>
      </c>
      <c r="M10" s="335" t="s">
        <v>1037</v>
      </c>
      <c r="N10" s="337" t="s">
        <v>19</v>
      </c>
    </row>
    <row r="11" spans="1:14" x14ac:dyDescent="0.25">
      <c r="A11" s="335" t="s">
        <v>1009</v>
      </c>
      <c r="B11" s="338">
        <v>10</v>
      </c>
      <c r="C11" s="338">
        <v>921</v>
      </c>
      <c r="D11" s="335" t="s">
        <v>1010</v>
      </c>
      <c r="E11" s="338">
        <v>0</v>
      </c>
      <c r="F11" s="338">
        <v>1</v>
      </c>
      <c r="G11" s="338">
        <v>1</v>
      </c>
      <c r="H11" s="339">
        <v>45728.594212962962</v>
      </c>
      <c r="I11" s="338">
        <v>2.11</v>
      </c>
      <c r="J11" s="338">
        <v>132.74</v>
      </c>
      <c r="K11" s="338">
        <v>1</v>
      </c>
      <c r="L11" s="338">
        <v>2.11</v>
      </c>
      <c r="M11" s="338">
        <v>2.11</v>
      </c>
      <c r="N11" s="337" t="s">
        <v>19</v>
      </c>
    </row>
    <row r="12" spans="1:14" x14ac:dyDescent="0.25">
      <c r="A12" s="335" t="s">
        <v>1011</v>
      </c>
      <c r="B12" s="338">
        <v>11</v>
      </c>
      <c r="C12" s="338">
        <v>904</v>
      </c>
      <c r="D12" s="335" t="s">
        <v>1012</v>
      </c>
      <c r="E12" s="338">
        <v>0</v>
      </c>
      <c r="F12" s="338">
        <v>1</v>
      </c>
      <c r="G12" s="338">
        <v>2</v>
      </c>
      <c r="H12" s="339">
        <v>45728.595138888886</v>
      </c>
      <c r="I12" s="338">
        <v>0.37</v>
      </c>
      <c r="J12" s="338">
        <v>42</v>
      </c>
      <c r="K12" s="338">
        <v>1</v>
      </c>
      <c r="L12" s="338">
        <v>0.37</v>
      </c>
      <c r="M12" s="338">
        <v>0.37</v>
      </c>
      <c r="N12" s="337" t="s">
        <v>19</v>
      </c>
    </row>
    <row r="13" spans="1:14" x14ac:dyDescent="0.25">
      <c r="A13" s="335" t="s">
        <v>1011</v>
      </c>
      <c r="B13" s="338">
        <v>12</v>
      </c>
      <c r="C13" s="338">
        <v>904</v>
      </c>
      <c r="D13" s="335" t="s">
        <v>1012</v>
      </c>
      <c r="E13" s="338">
        <v>0</v>
      </c>
      <c r="F13" s="338">
        <v>1</v>
      </c>
      <c r="G13" s="338">
        <v>3</v>
      </c>
      <c r="H13" s="339">
        <v>45728.596064814818</v>
      </c>
      <c r="I13" s="338">
        <v>0.4</v>
      </c>
      <c r="J13" s="338">
        <v>43.28</v>
      </c>
      <c r="K13" s="338">
        <v>1</v>
      </c>
      <c r="L13" s="338">
        <v>0.4</v>
      </c>
      <c r="M13" s="338">
        <v>0.4</v>
      </c>
      <c r="N13" s="337" t="s">
        <v>19</v>
      </c>
    </row>
    <row r="14" spans="1:14" x14ac:dyDescent="0.25">
      <c r="A14" s="335" t="s">
        <v>24</v>
      </c>
      <c r="B14" s="338">
        <v>13</v>
      </c>
      <c r="C14" s="338">
        <v>905</v>
      </c>
      <c r="D14" s="335" t="s">
        <v>1013</v>
      </c>
      <c r="E14" s="338">
        <v>0</v>
      </c>
      <c r="F14" s="338">
        <v>0</v>
      </c>
      <c r="G14" s="338">
        <v>1</v>
      </c>
      <c r="H14" s="339">
        <v>45728.596990740742</v>
      </c>
      <c r="I14" s="338">
        <v>0.16</v>
      </c>
      <c r="J14" s="338">
        <v>30.77</v>
      </c>
      <c r="K14" s="338">
        <v>1</v>
      </c>
      <c r="L14" s="338">
        <v>0.16</v>
      </c>
      <c r="M14" s="338">
        <v>0.16</v>
      </c>
      <c r="N14" s="337" t="s">
        <v>19</v>
      </c>
    </row>
    <row r="15" spans="1:14" x14ac:dyDescent="0.25">
      <c r="A15" s="335" t="s">
        <v>1038</v>
      </c>
      <c r="B15" s="338">
        <v>14</v>
      </c>
      <c r="C15" s="338">
        <v>906</v>
      </c>
      <c r="D15" s="335" t="s">
        <v>1015</v>
      </c>
      <c r="E15" s="338">
        <v>0</v>
      </c>
      <c r="F15" s="338">
        <v>0</v>
      </c>
      <c r="G15" s="338">
        <v>2</v>
      </c>
      <c r="H15" s="339">
        <v>45728.597916666666</v>
      </c>
      <c r="I15" s="338">
        <v>1.0900000000000001</v>
      </c>
      <c r="J15" s="338">
        <v>79.739999999999995</v>
      </c>
      <c r="K15" s="338">
        <v>1</v>
      </c>
      <c r="L15" s="338">
        <v>1.0900000000000001</v>
      </c>
      <c r="M15" s="338">
        <v>1.0900000000000001</v>
      </c>
      <c r="N15" s="337" t="s">
        <v>19</v>
      </c>
    </row>
    <row r="16" spans="1:14" x14ac:dyDescent="0.25">
      <c r="A16" s="335" t="s">
        <v>1039</v>
      </c>
      <c r="B16" s="338">
        <v>15</v>
      </c>
      <c r="C16" s="338">
        <v>907</v>
      </c>
      <c r="D16" s="335" t="s">
        <v>1017</v>
      </c>
      <c r="E16" s="338">
        <v>0</v>
      </c>
      <c r="F16" s="338">
        <v>0</v>
      </c>
      <c r="G16" s="338">
        <v>0</v>
      </c>
      <c r="H16" s="339">
        <v>45728.59884259259</v>
      </c>
      <c r="I16" s="338">
        <v>1.63</v>
      </c>
      <c r="J16" s="338">
        <v>108.03</v>
      </c>
      <c r="K16" s="338">
        <v>1</v>
      </c>
      <c r="L16" s="338">
        <v>1.63</v>
      </c>
      <c r="M16" s="338">
        <v>1.63</v>
      </c>
      <c r="N16" s="337" t="s">
        <v>19</v>
      </c>
    </row>
    <row r="17" spans="1:14" x14ac:dyDescent="0.25">
      <c r="A17" s="335" t="s">
        <v>1006</v>
      </c>
      <c r="B17" s="338">
        <v>16</v>
      </c>
      <c r="C17" s="338">
        <v>0</v>
      </c>
      <c r="D17" s="335" t="s">
        <v>1007</v>
      </c>
      <c r="E17" s="338">
        <v>0</v>
      </c>
      <c r="F17" s="338">
        <v>0</v>
      </c>
      <c r="G17" s="338">
        <v>0</v>
      </c>
      <c r="H17" s="339">
        <v>45728.599768518521</v>
      </c>
      <c r="I17" s="338">
        <v>-0.43</v>
      </c>
      <c r="J17" s="338">
        <v>0</v>
      </c>
      <c r="K17" s="338">
        <v>1</v>
      </c>
      <c r="L17" s="338">
        <v>-0.43</v>
      </c>
      <c r="M17" s="335" t="s">
        <v>1037</v>
      </c>
      <c r="N17" s="337" t="s">
        <v>19</v>
      </c>
    </row>
    <row r="18" spans="1:14" x14ac:dyDescent="0.25">
      <c r="A18" s="338">
        <v>335</v>
      </c>
      <c r="B18" s="338">
        <v>17</v>
      </c>
      <c r="C18" s="338">
        <v>1</v>
      </c>
      <c r="D18" s="335" t="s">
        <v>1013</v>
      </c>
      <c r="E18" s="338">
        <v>0</v>
      </c>
      <c r="F18" s="338">
        <v>0</v>
      </c>
      <c r="G18" s="338">
        <v>0</v>
      </c>
      <c r="H18" s="339">
        <v>45728.602546296293</v>
      </c>
      <c r="I18" s="338">
        <v>0.11</v>
      </c>
      <c r="J18" s="338">
        <v>28.1</v>
      </c>
      <c r="K18" s="338">
        <v>1</v>
      </c>
      <c r="L18" s="338">
        <v>0.11</v>
      </c>
      <c r="M18" s="338">
        <v>0.11</v>
      </c>
      <c r="N18" s="337" t="s">
        <v>19</v>
      </c>
    </row>
    <row r="19" spans="1:14" x14ac:dyDescent="0.25">
      <c r="A19" s="338">
        <v>400</v>
      </c>
      <c r="B19" s="338">
        <v>18</v>
      </c>
      <c r="C19" s="338">
        <v>2</v>
      </c>
      <c r="D19" s="335" t="s">
        <v>1013</v>
      </c>
      <c r="E19" s="338">
        <v>0</v>
      </c>
      <c r="F19" s="338">
        <v>0</v>
      </c>
      <c r="G19" s="338">
        <v>0</v>
      </c>
      <c r="H19" s="339">
        <v>45728.603472222225</v>
      </c>
      <c r="I19" s="338">
        <v>0.19</v>
      </c>
      <c r="J19" s="338">
        <v>32.43</v>
      </c>
      <c r="K19" s="338">
        <v>1</v>
      </c>
      <c r="L19" s="338">
        <v>0.19</v>
      </c>
      <c r="M19" s="338">
        <v>0.19</v>
      </c>
      <c r="N19" s="337" t="s">
        <v>19</v>
      </c>
    </row>
    <row r="20" spans="1:14" x14ac:dyDescent="0.25">
      <c r="A20" s="338">
        <v>101</v>
      </c>
      <c r="B20" s="338">
        <v>19</v>
      </c>
      <c r="C20" s="338">
        <v>3</v>
      </c>
      <c r="D20" s="335" t="s">
        <v>1013</v>
      </c>
      <c r="E20" s="338">
        <v>0</v>
      </c>
      <c r="F20" s="338">
        <v>0</v>
      </c>
      <c r="G20" s="338">
        <v>0</v>
      </c>
      <c r="H20" s="339">
        <v>45728.604398148149</v>
      </c>
      <c r="I20" s="338">
        <v>0.21</v>
      </c>
      <c r="J20" s="338">
        <v>33.49</v>
      </c>
      <c r="K20" s="338">
        <v>1</v>
      </c>
      <c r="L20" s="338">
        <v>0.21</v>
      </c>
      <c r="M20" s="338">
        <v>0.21</v>
      </c>
      <c r="N20" s="337" t="s">
        <v>19</v>
      </c>
    </row>
    <row r="21" spans="1:14" x14ac:dyDescent="0.25">
      <c r="A21" s="338">
        <v>62</v>
      </c>
      <c r="B21" s="338">
        <v>20</v>
      </c>
      <c r="C21" s="338">
        <v>4</v>
      </c>
      <c r="D21" s="335" t="s">
        <v>1013</v>
      </c>
      <c r="E21" s="338">
        <v>0</v>
      </c>
      <c r="F21" s="338">
        <v>0</v>
      </c>
      <c r="G21" s="338">
        <v>0</v>
      </c>
      <c r="H21" s="339">
        <v>45728.605324074073</v>
      </c>
      <c r="I21" s="338">
        <v>0.15</v>
      </c>
      <c r="J21" s="338">
        <v>30.41</v>
      </c>
      <c r="K21" s="338">
        <v>1</v>
      </c>
      <c r="L21" s="338">
        <v>0.15</v>
      </c>
      <c r="M21" s="338">
        <v>0.15</v>
      </c>
      <c r="N21" s="337" t="s">
        <v>19</v>
      </c>
    </row>
    <row r="22" spans="1:14" x14ac:dyDescent="0.25">
      <c r="A22" s="338">
        <v>127</v>
      </c>
      <c r="B22" s="338">
        <v>21</v>
      </c>
      <c r="C22" s="338">
        <v>5</v>
      </c>
      <c r="D22" s="335" t="s">
        <v>1013</v>
      </c>
      <c r="E22" s="338">
        <v>0</v>
      </c>
      <c r="F22" s="338">
        <v>0</v>
      </c>
      <c r="G22" s="338">
        <v>1</v>
      </c>
      <c r="H22" s="339">
        <v>45728.606249999997</v>
      </c>
      <c r="I22" s="338">
        <v>0.21</v>
      </c>
      <c r="J22" s="338">
        <v>33.18</v>
      </c>
      <c r="K22" s="338">
        <v>1</v>
      </c>
      <c r="L22" s="338">
        <v>0.21</v>
      </c>
      <c r="M22" s="338">
        <v>0.21</v>
      </c>
      <c r="N22" s="337" t="s">
        <v>19</v>
      </c>
    </row>
    <row r="23" spans="1:14" x14ac:dyDescent="0.25">
      <c r="A23" s="338">
        <v>517</v>
      </c>
      <c r="B23" s="338">
        <v>22</v>
      </c>
      <c r="C23" s="338">
        <v>6</v>
      </c>
      <c r="D23" s="335" t="s">
        <v>1013</v>
      </c>
      <c r="E23" s="338">
        <v>0</v>
      </c>
      <c r="F23" s="338">
        <v>0</v>
      </c>
      <c r="G23" s="338">
        <v>0</v>
      </c>
      <c r="H23" s="339">
        <v>45728.607175925928</v>
      </c>
      <c r="I23" s="338">
        <v>0.22</v>
      </c>
      <c r="J23" s="338">
        <v>33.92</v>
      </c>
      <c r="K23" s="338">
        <v>1</v>
      </c>
      <c r="L23" s="338">
        <v>0.22</v>
      </c>
      <c r="M23" s="338">
        <v>0.22</v>
      </c>
      <c r="N23" s="337" t="s">
        <v>19</v>
      </c>
    </row>
    <row r="24" spans="1:14" x14ac:dyDescent="0.25">
      <c r="A24" s="338">
        <v>413</v>
      </c>
      <c r="B24" s="338">
        <v>23</v>
      </c>
      <c r="C24" s="338">
        <v>7</v>
      </c>
      <c r="D24" s="335" t="s">
        <v>1013</v>
      </c>
      <c r="E24" s="338">
        <v>0</v>
      </c>
      <c r="F24" s="338">
        <v>0</v>
      </c>
      <c r="G24" s="338">
        <v>0</v>
      </c>
      <c r="H24" s="339">
        <v>45728.608101851853</v>
      </c>
      <c r="I24" s="338">
        <v>0.25</v>
      </c>
      <c r="J24" s="338">
        <v>35.29</v>
      </c>
      <c r="K24" s="338">
        <v>1</v>
      </c>
      <c r="L24" s="338">
        <v>0.25</v>
      </c>
      <c r="M24" s="338">
        <v>0.25</v>
      </c>
      <c r="N24" s="337" t="s">
        <v>19</v>
      </c>
    </row>
    <row r="25" spans="1:14" x14ac:dyDescent="0.25">
      <c r="A25" s="338">
        <v>595</v>
      </c>
      <c r="B25" s="338">
        <v>24</v>
      </c>
      <c r="C25" s="338">
        <v>8</v>
      </c>
      <c r="D25" s="335" t="s">
        <v>1013</v>
      </c>
      <c r="E25" s="338">
        <v>0</v>
      </c>
      <c r="F25" s="338">
        <v>0</v>
      </c>
      <c r="G25" s="338">
        <v>0</v>
      </c>
      <c r="H25" s="339">
        <v>45728.609027777777</v>
      </c>
      <c r="I25" s="338">
        <v>0.08</v>
      </c>
      <c r="J25" s="338">
        <v>26.74</v>
      </c>
      <c r="K25" s="338">
        <v>1</v>
      </c>
      <c r="L25" s="338">
        <v>0.08</v>
      </c>
      <c r="M25" s="338">
        <v>0.08</v>
      </c>
      <c r="N25" s="337" t="s">
        <v>19</v>
      </c>
    </row>
    <row r="26" spans="1:14" x14ac:dyDescent="0.25">
      <c r="A26" s="338">
        <v>140</v>
      </c>
      <c r="B26" s="338">
        <v>25</v>
      </c>
      <c r="C26" s="338">
        <v>9</v>
      </c>
      <c r="D26" s="335" t="s">
        <v>1013</v>
      </c>
      <c r="E26" s="338">
        <v>0</v>
      </c>
      <c r="F26" s="338">
        <v>0</v>
      </c>
      <c r="G26" s="338">
        <v>1</v>
      </c>
      <c r="H26" s="339">
        <v>45728.609953703701</v>
      </c>
      <c r="I26" s="338">
        <v>7.0000000000000007E-2</v>
      </c>
      <c r="J26" s="338">
        <v>26.09</v>
      </c>
      <c r="K26" s="338">
        <v>1</v>
      </c>
      <c r="L26" s="338">
        <v>7.0000000000000007E-2</v>
      </c>
      <c r="M26" s="335" t="s">
        <v>1037</v>
      </c>
      <c r="N26" s="337" t="s">
        <v>19</v>
      </c>
    </row>
    <row r="27" spans="1:14" x14ac:dyDescent="0.25">
      <c r="A27" s="338">
        <v>10</v>
      </c>
      <c r="B27" s="338">
        <v>26</v>
      </c>
      <c r="C27" s="338">
        <v>10</v>
      </c>
      <c r="D27" s="335" t="s">
        <v>1013</v>
      </c>
      <c r="E27" s="338">
        <v>0</v>
      </c>
      <c r="F27" s="338">
        <v>0</v>
      </c>
      <c r="G27" s="338">
        <v>0</v>
      </c>
      <c r="H27" s="339">
        <v>45728.610879629632</v>
      </c>
      <c r="I27" s="338">
        <v>0.02</v>
      </c>
      <c r="J27" s="338">
        <v>23.31</v>
      </c>
      <c r="K27" s="338">
        <v>1</v>
      </c>
      <c r="L27" s="338">
        <v>0.02</v>
      </c>
      <c r="M27" s="335" t="s">
        <v>1037</v>
      </c>
      <c r="N27" s="337" t="s">
        <v>19</v>
      </c>
    </row>
    <row r="28" spans="1:14" x14ac:dyDescent="0.25">
      <c r="A28" s="335" t="s">
        <v>1040</v>
      </c>
      <c r="B28" s="338">
        <v>27</v>
      </c>
      <c r="C28" s="338">
        <v>11</v>
      </c>
      <c r="D28" s="335" t="s">
        <v>1015</v>
      </c>
      <c r="E28" s="338">
        <v>0</v>
      </c>
      <c r="F28" s="338">
        <v>0</v>
      </c>
      <c r="G28" s="338">
        <v>1</v>
      </c>
      <c r="H28" s="339">
        <v>45728.611805555556</v>
      </c>
      <c r="I28" s="338">
        <v>1.1299999999999999</v>
      </c>
      <c r="J28" s="338">
        <v>81.569999999999993</v>
      </c>
      <c r="K28" s="338">
        <v>1</v>
      </c>
      <c r="L28" s="338">
        <v>1.1299999999999999</v>
      </c>
      <c r="M28" s="338">
        <v>1.1299999999999999</v>
      </c>
      <c r="N28" s="337" t="s">
        <v>19</v>
      </c>
    </row>
    <row r="29" spans="1:14" x14ac:dyDescent="0.25">
      <c r="A29" s="335" t="s">
        <v>1039</v>
      </c>
      <c r="B29" s="338">
        <v>28</v>
      </c>
      <c r="C29" s="338">
        <v>907</v>
      </c>
      <c r="D29" s="335" t="s">
        <v>1017</v>
      </c>
      <c r="E29" s="338">
        <v>0</v>
      </c>
      <c r="F29" s="338">
        <v>0</v>
      </c>
      <c r="G29" s="338">
        <v>0</v>
      </c>
      <c r="H29" s="339">
        <v>45728.61273148148</v>
      </c>
      <c r="I29" s="338">
        <v>1.61</v>
      </c>
      <c r="J29" s="338">
        <v>106.57</v>
      </c>
      <c r="K29" s="338">
        <v>1</v>
      </c>
      <c r="L29" s="338">
        <v>1.61</v>
      </c>
      <c r="M29" s="338">
        <v>1.61</v>
      </c>
      <c r="N29" s="337" t="s">
        <v>19</v>
      </c>
    </row>
    <row r="30" spans="1:14" x14ac:dyDescent="0.25">
      <c r="A30" s="335" t="s">
        <v>1006</v>
      </c>
      <c r="B30" s="338">
        <v>29</v>
      </c>
      <c r="C30" s="338">
        <v>0</v>
      </c>
      <c r="D30" s="335" t="s">
        <v>1007</v>
      </c>
      <c r="E30" s="338">
        <v>0</v>
      </c>
      <c r="F30" s="338">
        <v>0</v>
      </c>
      <c r="G30" s="338">
        <v>0</v>
      </c>
      <c r="H30" s="339">
        <v>45728.613657407404</v>
      </c>
      <c r="I30" s="338">
        <v>-0.43</v>
      </c>
      <c r="J30" s="338">
        <v>0</v>
      </c>
      <c r="K30" s="338">
        <v>1</v>
      </c>
      <c r="L30" s="338">
        <v>-0.43</v>
      </c>
      <c r="M30" s="335" t="s">
        <v>1037</v>
      </c>
      <c r="N30" s="337" t="s">
        <v>19</v>
      </c>
    </row>
    <row r="31" spans="1:14" x14ac:dyDescent="0.25">
      <c r="A31" s="338">
        <v>166</v>
      </c>
      <c r="B31" s="338">
        <v>30</v>
      </c>
      <c r="C31" s="338">
        <v>12</v>
      </c>
      <c r="D31" s="335" t="s">
        <v>1013</v>
      </c>
      <c r="E31" s="338">
        <v>0</v>
      </c>
      <c r="F31" s="338">
        <v>0</v>
      </c>
      <c r="G31" s="338">
        <v>0</v>
      </c>
      <c r="H31" s="339">
        <v>45728.616435185184</v>
      </c>
      <c r="I31" s="338">
        <v>-0.01</v>
      </c>
      <c r="J31" s="338">
        <v>22.08</v>
      </c>
      <c r="K31" s="338">
        <v>1</v>
      </c>
      <c r="L31" s="338">
        <v>-0.01</v>
      </c>
      <c r="M31" s="335" t="s">
        <v>1037</v>
      </c>
      <c r="N31" s="337" t="s">
        <v>19</v>
      </c>
    </row>
    <row r="32" spans="1:14" x14ac:dyDescent="0.25">
      <c r="A32" s="338">
        <v>257</v>
      </c>
      <c r="B32" s="338">
        <v>31</v>
      </c>
      <c r="C32" s="338">
        <v>13</v>
      </c>
      <c r="D32" s="335" t="s">
        <v>1013</v>
      </c>
      <c r="E32" s="338">
        <v>0</v>
      </c>
      <c r="F32" s="338">
        <v>0</v>
      </c>
      <c r="G32" s="338">
        <v>0</v>
      </c>
      <c r="H32" s="339">
        <v>45728.617361111108</v>
      </c>
      <c r="I32" s="338">
        <v>0.05</v>
      </c>
      <c r="J32" s="338">
        <v>25.06</v>
      </c>
      <c r="K32" s="338">
        <v>1</v>
      </c>
      <c r="L32" s="338">
        <v>0.05</v>
      </c>
      <c r="M32" s="335" t="s">
        <v>1037</v>
      </c>
      <c r="N32" s="337" t="s">
        <v>19</v>
      </c>
    </row>
    <row r="33" spans="1:15" x14ac:dyDescent="0.25">
      <c r="A33" s="338">
        <v>23</v>
      </c>
      <c r="B33" s="338">
        <v>32</v>
      </c>
      <c r="C33" s="338">
        <v>14</v>
      </c>
      <c r="D33" s="335" t="s">
        <v>1013</v>
      </c>
      <c r="E33" s="338">
        <v>0</v>
      </c>
      <c r="F33" s="338">
        <v>0</v>
      </c>
      <c r="G33" s="338">
        <v>0</v>
      </c>
      <c r="H33" s="339">
        <v>45728.618287037039</v>
      </c>
      <c r="I33" s="338">
        <v>0.24</v>
      </c>
      <c r="J33" s="338">
        <v>35.06</v>
      </c>
      <c r="K33" s="338">
        <v>1</v>
      </c>
      <c r="L33" s="338">
        <v>0.24</v>
      </c>
      <c r="M33" s="338">
        <v>0.24</v>
      </c>
      <c r="N33" s="337" t="s">
        <v>19</v>
      </c>
    </row>
    <row r="34" spans="1:15" x14ac:dyDescent="0.25">
      <c r="A34" s="338">
        <v>179</v>
      </c>
      <c r="B34" s="338">
        <v>33</v>
      </c>
      <c r="C34" s="338">
        <v>15</v>
      </c>
      <c r="D34" s="335" t="s">
        <v>1013</v>
      </c>
      <c r="E34" s="338">
        <v>0</v>
      </c>
      <c r="F34" s="338">
        <v>0</v>
      </c>
      <c r="G34" s="338">
        <v>0</v>
      </c>
      <c r="H34" s="339">
        <v>45728.619212962964</v>
      </c>
      <c r="I34" s="338">
        <v>0.1</v>
      </c>
      <c r="J34" s="338">
        <v>27.42</v>
      </c>
      <c r="K34" s="338">
        <v>1</v>
      </c>
      <c r="L34" s="338">
        <v>0.1</v>
      </c>
      <c r="M34" s="338">
        <v>0.1</v>
      </c>
      <c r="N34" s="337" t="s">
        <v>19</v>
      </c>
    </row>
    <row r="35" spans="1:15" x14ac:dyDescent="0.25">
      <c r="A35" s="338">
        <v>36</v>
      </c>
      <c r="B35" s="338">
        <v>34</v>
      </c>
      <c r="C35" s="338">
        <v>16</v>
      </c>
      <c r="D35" s="335" t="s">
        <v>1013</v>
      </c>
      <c r="E35" s="338">
        <v>0</v>
      </c>
      <c r="F35" s="338">
        <v>0</v>
      </c>
      <c r="G35" s="338">
        <v>0</v>
      </c>
      <c r="H35" s="339">
        <v>45728.620138888888</v>
      </c>
      <c r="I35" s="338">
        <v>0.12</v>
      </c>
      <c r="J35" s="338">
        <v>28.72</v>
      </c>
      <c r="K35" s="338">
        <v>1</v>
      </c>
      <c r="L35" s="338">
        <v>0.12</v>
      </c>
      <c r="M35" s="338">
        <v>0.12</v>
      </c>
      <c r="N35" s="337" t="s">
        <v>19</v>
      </c>
    </row>
    <row r="36" spans="1:15" x14ac:dyDescent="0.25">
      <c r="A36" s="338">
        <v>205</v>
      </c>
      <c r="B36" s="338">
        <v>35</v>
      </c>
      <c r="C36" s="338">
        <v>17</v>
      </c>
      <c r="D36" s="335" t="s">
        <v>1013</v>
      </c>
      <c r="E36" s="338">
        <v>0</v>
      </c>
      <c r="F36" s="338">
        <v>0</v>
      </c>
      <c r="G36" s="338">
        <v>0</v>
      </c>
      <c r="H36" s="339">
        <v>45728.621064814812</v>
      </c>
      <c r="I36" s="338">
        <v>0.13</v>
      </c>
      <c r="J36" s="338">
        <v>29.26</v>
      </c>
      <c r="K36" s="338">
        <v>1</v>
      </c>
      <c r="L36" s="338">
        <v>0.13</v>
      </c>
      <c r="M36" s="338">
        <v>0.13</v>
      </c>
      <c r="N36" s="337" t="s">
        <v>19</v>
      </c>
    </row>
    <row r="37" spans="1:15" x14ac:dyDescent="0.25">
      <c r="A37" s="338">
        <v>465</v>
      </c>
      <c r="B37" s="338">
        <v>36</v>
      </c>
      <c r="C37" s="338">
        <v>18</v>
      </c>
      <c r="D37" s="335" t="s">
        <v>1013</v>
      </c>
      <c r="E37" s="338">
        <v>0</v>
      </c>
      <c r="F37" s="338">
        <v>0</v>
      </c>
      <c r="G37" s="338">
        <v>0</v>
      </c>
      <c r="H37" s="339">
        <v>45728.621990740743</v>
      </c>
      <c r="I37" s="338">
        <v>-0.01</v>
      </c>
      <c r="J37" s="338">
        <v>22.07</v>
      </c>
      <c r="K37" s="338">
        <v>1</v>
      </c>
      <c r="L37" s="338">
        <v>-0.01</v>
      </c>
      <c r="M37" s="335" t="s">
        <v>1037</v>
      </c>
      <c r="N37" s="337" t="s">
        <v>19</v>
      </c>
    </row>
    <row r="38" spans="1:15" x14ac:dyDescent="0.25">
      <c r="A38" s="338">
        <v>556</v>
      </c>
      <c r="B38" s="338">
        <v>37</v>
      </c>
      <c r="C38" s="338">
        <v>19</v>
      </c>
      <c r="D38" s="335" t="s">
        <v>1013</v>
      </c>
      <c r="E38" s="338">
        <v>0</v>
      </c>
      <c r="F38" s="338">
        <v>0</v>
      </c>
      <c r="G38" s="338">
        <v>0</v>
      </c>
      <c r="H38" s="339">
        <v>45728.622916666667</v>
      </c>
      <c r="I38" s="338">
        <v>-0.01</v>
      </c>
      <c r="J38" s="338">
        <v>21.8</v>
      </c>
      <c r="K38" s="338">
        <v>1</v>
      </c>
      <c r="L38" s="338">
        <v>-0.01</v>
      </c>
      <c r="M38" s="335" t="s">
        <v>1037</v>
      </c>
      <c r="N38" s="337" t="s">
        <v>19</v>
      </c>
      <c r="O38" s="271" t="s">
        <v>1041</v>
      </c>
    </row>
    <row r="39" spans="1:15" x14ac:dyDescent="0.25">
      <c r="A39" s="338">
        <v>114</v>
      </c>
      <c r="B39" s="338">
        <v>38</v>
      </c>
      <c r="C39" s="338">
        <v>20</v>
      </c>
      <c r="D39" s="335" t="s">
        <v>1013</v>
      </c>
      <c r="E39" s="338">
        <v>0</v>
      </c>
      <c r="F39" s="338">
        <v>0</v>
      </c>
      <c r="G39" s="338">
        <v>0</v>
      </c>
      <c r="H39" s="339">
        <v>45728.623842592591</v>
      </c>
      <c r="I39" s="338">
        <v>0.01</v>
      </c>
      <c r="J39" s="338">
        <v>22.79</v>
      </c>
      <c r="K39" s="338">
        <v>1</v>
      </c>
      <c r="L39" s="338">
        <v>0.01</v>
      </c>
      <c r="M39" s="335" t="s">
        <v>1037</v>
      </c>
      <c r="N39" s="337" t="s">
        <v>19</v>
      </c>
    </row>
    <row r="40" spans="1:15" x14ac:dyDescent="0.25">
      <c r="A40" s="338">
        <v>153</v>
      </c>
      <c r="B40" s="338">
        <v>39</v>
      </c>
      <c r="C40" s="338">
        <v>21</v>
      </c>
      <c r="D40" s="335" t="s">
        <v>1013</v>
      </c>
      <c r="E40" s="338">
        <v>0</v>
      </c>
      <c r="F40" s="338">
        <v>0</v>
      </c>
      <c r="G40" s="338">
        <v>0</v>
      </c>
      <c r="H40" s="339">
        <v>45728.624768518515</v>
      </c>
      <c r="I40" s="338">
        <v>0.03</v>
      </c>
      <c r="J40" s="338">
        <v>23.92</v>
      </c>
      <c r="K40" s="338">
        <v>1</v>
      </c>
      <c r="L40" s="338">
        <v>0.03</v>
      </c>
      <c r="M40" s="335" t="s">
        <v>1037</v>
      </c>
      <c r="N40" s="337" t="s">
        <v>19</v>
      </c>
    </row>
    <row r="41" spans="1:15" x14ac:dyDescent="0.25">
      <c r="A41" s="335" t="s">
        <v>1042</v>
      </c>
      <c r="B41" s="338">
        <v>40</v>
      </c>
      <c r="C41" s="338">
        <v>22</v>
      </c>
      <c r="D41" s="335" t="s">
        <v>1015</v>
      </c>
      <c r="E41" s="338">
        <v>0</v>
      </c>
      <c r="F41" s="338">
        <v>0</v>
      </c>
      <c r="G41" s="338">
        <v>1</v>
      </c>
      <c r="H41" s="339">
        <v>45728.625694444447</v>
      </c>
      <c r="I41" s="338">
        <v>1.07</v>
      </c>
      <c r="J41" s="338">
        <v>78.62</v>
      </c>
      <c r="K41" s="338">
        <v>1</v>
      </c>
      <c r="L41" s="338">
        <v>1.07</v>
      </c>
      <c r="M41" s="338">
        <v>1.07</v>
      </c>
      <c r="N41" s="337" t="s">
        <v>19</v>
      </c>
    </row>
    <row r="42" spans="1:15" x14ac:dyDescent="0.25">
      <c r="A42" s="335" t="s">
        <v>1039</v>
      </c>
      <c r="B42" s="338">
        <v>41</v>
      </c>
      <c r="C42" s="338">
        <v>907</v>
      </c>
      <c r="D42" s="335" t="s">
        <v>1017</v>
      </c>
      <c r="E42" s="338">
        <v>0</v>
      </c>
      <c r="F42" s="338">
        <v>0</v>
      </c>
      <c r="G42" s="338">
        <v>0</v>
      </c>
      <c r="H42" s="339">
        <v>45728.626620370371</v>
      </c>
      <c r="I42" s="338">
        <v>1.6</v>
      </c>
      <c r="J42" s="338">
        <v>106.11</v>
      </c>
      <c r="K42" s="338">
        <v>1</v>
      </c>
      <c r="L42" s="338">
        <v>1.6</v>
      </c>
      <c r="M42" s="338">
        <v>1.6</v>
      </c>
      <c r="N42" s="337" t="s">
        <v>19</v>
      </c>
    </row>
    <row r="43" spans="1:15" x14ac:dyDescent="0.25">
      <c r="A43" s="335" t="s">
        <v>1006</v>
      </c>
      <c r="B43" s="338">
        <v>42</v>
      </c>
      <c r="C43" s="338">
        <v>0</v>
      </c>
      <c r="D43" s="335" t="s">
        <v>1007</v>
      </c>
      <c r="E43" s="338">
        <v>0</v>
      </c>
      <c r="F43" s="338">
        <v>0</v>
      </c>
      <c r="G43" s="338">
        <v>0</v>
      </c>
      <c r="H43" s="339">
        <v>45728.627546296295</v>
      </c>
      <c r="I43" s="338">
        <v>-0.43</v>
      </c>
      <c r="J43" s="338">
        <v>0</v>
      </c>
      <c r="K43" s="338">
        <v>1</v>
      </c>
      <c r="L43" s="338">
        <v>-0.43</v>
      </c>
      <c r="M43" s="335" t="s">
        <v>1037</v>
      </c>
      <c r="N43" s="337" t="s">
        <v>19</v>
      </c>
    </row>
    <row r="44" spans="1:15" x14ac:dyDescent="0.25">
      <c r="A44" s="338">
        <v>439</v>
      </c>
      <c r="B44" s="338">
        <v>43</v>
      </c>
      <c r="C44" s="338">
        <v>23</v>
      </c>
      <c r="D44" s="335" t="s">
        <v>1013</v>
      </c>
      <c r="E44" s="338">
        <v>0</v>
      </c>
      <c r="F44" s="338">
        <v>0</v>
      </c>
      <c r="G44" s="338">
        <v>0</v>
      </c>
      <c r="H44" s="339">
        <v>45728.630324074074</v>
      </c>
      <c r="I44" s="338">
        <v>0.01</v>
      </c>
      <c r="J44" s="338">
        <v>22.89</v>
      </c>
      <c r="K44" s="338">
        <v>1</v>
      </c>
      <c r="L44" s="338">
        <v>0.01</v>
      </c>
      <c r="M44" s="335" t="s">
        <v>1037</v>
      </c>
      <c r="N44" s="337" t="s">
        <v>19</v>
      </c>
    </row>
    <row r="45" spans="1:15" x14ac:dyDescent="0.25">
      <c r="A45" s="338">
        <v>192</v>
      </c>
      <c r="B45" s="338">
        <v>44</v>
      </c>
      <c r="C45" s="338">
        <v>24</v>
      </c>
      <c r="D45" s="335" t="s">
        <v>1013</v>
      </c>
      <c r="E45" s="338">
        <v>0</v>
      </c>
      <c r="F45" s="338">
        <v>0</v>
      </c>
      <c r="G45" s="338">
        <v>0</v>
      </c>
      <c r="H45" s="339">
        <v>45728.631249999999</v>
      </c>
      <c r="I45" s="338">
        <v>-0.05</v>
      </c>
      <c r="J45" s="338">
        <v>19.59</v>
      </c>
      <c r="K45" s="338">
        <v>1</v>
      </c>
      <c r="L45" s="338">
        <v>-0.05</v>
      </c>
      <c r="M45" s="335" t="s">
        <v>1037</v>
      </c>
      <c r="N45" s="337" t="s">
        <v>19</v>
      </c>
    </row>
    <row r="46" spans="1:15" x14ac:dyDescent="0.25">
      <c r="A46" s="338">
        <v>582</v>
      </c>
      <c r="B46" s="338">
        <v>45</v>
      </c>
      <c r="C46" s="338">
        <v>25</v>
      </c>
      <c r="D46" s="335" t="s">
        <v>1013</v>
      </c>
      <c r="E46" s="338">
        <v>0</v>
      </c>
      <c r="F46" s="338">
        <v>0</v>
      </c>
      <c r="G46" s="338">
        <v>0</v>
      </c>
      <c r="H46" s="339">
        <v>45728.632175925923</v>
      </c>
      <c r="I46" s="338">
        <v>0.06</v>
      </c>
      <c r="J46" s="338">
        <v>25.31</v>
      </c>
      <c r="K46" s="338">
        <v>1</v>
      </c>
      <c r="L46" s="338">
        <v>0.06</v>
      </c>
      <c r="M46" s="335" t="s">
        <v>1037</v>
      </c>
      <c r="N46" s="337" t="s">
        <v>19</v>
      </c>
    </row>
    <row r="47" spans="1:15" x14ac:dyDescent="0.25">
      <c r="A47" s="338">
        <v>49</v>
      </c>
      <c r="B47" s="338">
        <v>46</v>
      </c>
      <c r="C47" s="338">
        <v>26</v>
      </c>
      <c r="D47" s="335" t="s">
        <v>1013</v>
      </c>
      <c r="E47" s="338">
        <v>0</v>
      </c>
      <c r="F47" s="338">
        <v>0</v>
      </c>
      <c r="G47" s="338">
        <v>0</v>
      </c>
      <c r="H47" s="339">
        <v>45728.633101851854</v>
      </c>
      <c r="I47" s="338">
        <v>-0.17</v>
      </c>
      <c r="J47" s="338">
        <v>13.21</v>
      </c>
      <c r="K47" s="338">
        <v>1</v>
      </c>
      <c r="L47" s="338">
        <v>-0.17</v>
      </c>
      <c r="M47" s="335" t="s">
        <v>1037</v>
      </c>
      <c r="N47" s="337" t="s">
        <v>19</v>
      </c>
    </row>
    <row r="48" spans="1:15" x14ac:dyDescent="0.25">
      <c r="A48" s="338">
        <v>88</v>
      </c>
      <c r="B48" s="338">
        <v>47</v>
      </c>
      <c r="C48" s="338">
        <v>27</v>
      </c>
      <c r="D48" s="335" t="s">
        <v>1013</v>
      </c>
      <c r="E48" s="338">
        <v>0</v>
      </c>
      <c r="F48" s="338">
        <v>0</v>
      </c>
      <c r="G48" s="338">
        <v>0</v>
      </c>
      <c r="H48" s="339">
        <v>45728.634027777778</v>
      </c>
      <c r="I48" s="338">
        <v>0.06</v>
      </c>
      <c r="J48" s="338">
        <v>25.7</v>
      </c>
      <c r="K48" s="338">
        <v>1</v>
      </c>
      <c r="L48" s="338">
        <v>0.06</v>
      </c>
      <c r="M48" s="335" t="s">
        <v>1037</v>
      </c>
      <c r="N48" s="337" t="s">
        <v>19</v>
      </c>
    </row>
    <row r="49" spans="1:14" x14ac:dyDescent="0.25">
      <c r="A49" s="338">
        <v>569</v>
      </c>
      <c r="B49" s="338">
        <v>48</v>
      </c>
      <c r="C49" s="338">
        <v>28</v>
      </c>
      <c r="D49" s="335" t="s">
        <v>1013</v>
      </c>
      <c r="E49" s="338">
        <v>0</v>
      </c>
      <c r="F49" s="338">
        <v>0</v>
      </c>
      <c r="G49" s="338">
        <v>0</v>
      </c>
      <c r="H49" s="339">
        <v>45728.634953703702</v>
      </c>
      <c r="I49" s="338">
        <v>7.0000000000000007E-2</v>
      </c>
      <c r="J49" s="338">
        <v>25.84</v>
      </c>
      <c r="K49" s="338">
        <v>1</v>
      </c>
      <c r="L49" s="338">
        <v>7.0000000000000007E-2</v>
      </c>
      <c r="M49" s="335" t="s">
        <v>1037</v>
      </c>
      <c r="N49" s="337" t="s">
        <v>19</v>
      </c>
    </row>
    <row r="50" spans="1:14" x14ac:dyDescent="0.25">
      <c r="A50" s="338">
        <v>504</v>
      </c>
      <c r="B50" s="338">
        <v>49</v>
      </c>
      <c r="C50" s="338">
        <v>29</v>
      </c>
      <c r="D50" s="335" t="s">
        <v>1013</v>
      </c>
      <c r="E50" s="338">
        <v>0</v>
      </c>
      <c r="F50" s="338">
        <v>0</v>
      </c>
      <c r="G50" s="338">
        <v>0</v>
      </c>
      <c r="H50" s="339">
        <v>45728.635879629626</v>
      </c>
      <c r="I50" s="338">
        <v>0.04</v>
      </c>
      <c r="J50" s="338">
        <v>24.57</v>
      </c>
      <c r="K50" s="338">
        <v>1</v>
      </c>
      <c r="L50" s="338">
        <v>0.04</v>
      </c>
      <c r="M50" s="335" t="s">
        <v>1037</v>
      </c>
      <c r="N50" s="337" t="s">
        <v>19</v>
      </c>
    </row>
    <row r="51" spans="1:14" x14ac:dyDescent="0.25">
      <c r="A51" s="338">
        <v>322</v>
      </c>
      <c r="B51" s="338">
        <v>50</v>
      </c>
      <c r="C51" s="338">
        <v>30</v>
      </c>
      <c r="D51" s="335" t="s">
        <v>1013</v>
      </c>
      <c r="E51" s="338">
        <v>0</v>
      </c>
      <c r="F51" s="338">
        <v>0</v>
      </c>
      <c r="G51" s="338">
        <v>0</v>
      </c>
      <c r="H51" s="339">
        <v>45728.636805555558</v>
      </c>
      <c r="I51" s="338">
        <v>0.17</v>
      </c>
      <c r="J51" s="338">
        <v>31.51</v>
      </c>
      <c r="K51" s="338">
        <v>1</v>
      </c>
      <c r="L51" s="338">
        <v>0.17</v>
      </c>
      <c r="M51" s="338">
        <v>0.17</v>
      </c>
      <c r="N51" s="337" t="s">
        <v>19</v>
      </c>
    </row>
    <row r="52" spans="1:14" x14ac:dyDescent="0.25">
      <c r="A52" s="338">
        <v>75</v>
      </c>
      <c r="B52" s="338">
        <v>51</v>
      </c>
      <c r="C52" s="338">
        <v>31</v>
      </c>
      <c r="D52" s="335" t="s">
        <v>1013</v>
      </c>
      <c r="E52" s="338">
        <v>0</v>
      </c>
      <c r="F52" s="338">
        <v>0</v>
      </c>
      <c r="G52" s="338">
        <v>0</v>
      </c>
      <c r="H52" s="339">
        <v>45728.637731481482</v>
      </c>
      <c r="I52" s="338">
        <v>0.02</v>
      </c>
      <c r="J52" s="338">
        <v>23.16</v>
      </c>
      <c r="K52" s="338">
        <v>1</v>
      </c>
      <c r="L52" s="338">
        <v>0.02</v>
      </c>
      <c r="M52" s="335" t="s">
        <v>1037</v>
      </c>
      <c r="N52" s="337" t="s">
        <v>19</v>
      </c>
    </row>
    <row r="53" spans="1:14" x14ac:dyDescent="0.25">
      <c r="A53" s="335" t="s">
        <v>1043</v>
      </c>
      <c r="B53" s="338">
        <v>52</v>
      </c>
      <c r="C53" s="338">
        <v>32</v>
      </c>
      <c r="D53" s="335" t="s">
        <v>1015</v>
      </c>
      <c r="E53" s="338">
        <v>0</v>
      </c>
      <c r="F53" s="338">
        <v>0</v>
      </c>
      <c r="G53" s="338">
        <v>1</v>
      </c>
      <c r="H53" s="339">
        <v>45728.638657407406</v>
      </c>
      <c r="I53" s="338">
        <v>1.1100000000000001</v>
      </c>
      <c r="J53" s="338">
        <v>80.34</v>
      </c>
      <c r="K53" s="338">
        <v>1</v>
      </c>
      <c r="L53" s="338">
        <v>1.1100000000000001</v>
      </c>
      <c r="M53" s="338">
        <v>1.1100000000000001</v>
      </c>
      <c r="N53" s="337" t="s">
        <v>19</v>
      </c>
    </row>
    <row r="54" spans="1:14" x14ac:dyDescent="0.25">
      <c r="A54" s="335" t="s">
        <v>1039</v>
      </c>
      <c r="B54" s="338">
        <v>53</v>
      </c>
      <c r="C54" s="338">
        <v>907</v>
      </c>
      <c r="D54" s="335" t="s">
        <v>1017</v>
      </c>
      <c r="E54" s="338">
        <v>0</v>
      </c>
      <c r="F54" s="338">
        <v>0</v>
      </c>
      <c r="G54" s="338">
        <v>0</v>
      </c>
      <c r="H54" s="339">
        <v>45728.63958333333</v>
      </c>
      <c r="I54" s="338">
        <v>1.62</v>
      </c>
      <c r="J54" s="338">
        <v>107.47</v>
      </c>
      <c r="K54" s="338">
        <v>1</v>
      </c>
      <c r="L54" s="338">
        <v>1.62</v>
      </c>
      <c r="M54" s="338">
        <v>1.62</v>
      </c>
      <c r="N54" s="337" t="s">
        <v>19</v>
      </c>
    </row>
    <row r="55" spans="1:14" x14ac:dyDescent="0.25">
      <c r="A55" s="335" t="s">
        <v>1006</v>
      </c>
      <c r="B55" s="338">
        <v>54</v>
      </c>
      <c r="C55" s="338">
        <v>0</v>
      </c>
      <c r="D55" s="335" t="s">
        <v>1007</v>
      </c>
      <c r="E55" s="338">
        <v>0</v>
      </c>
      <c r="F55" s="338">
        <v>0</v>
      </c>
      <c r="G55" s="338">
        <v>0</v>
      </c>
      <c r="H55" s="339">
        <v>45728.640509259261</v>
      </c>
      <c r="I55" s="338">
        <v>-0.43</v>
      </c>
      <c r="J55" s="338">
        <v>0</v>
      </c>
      <c r="K55" s="338">
        <v>1</v>
      </c>
      <c r="L55" s="338">
        <v>-0.43</v>
      </c>
      <c r="M55" s="335" t="s">
        <v>1037</v>
      </c>
      <c r="N55" s="337" t="s">
        <v>19</v>
      </c>
    </row>
    <row r="56" spans="1:14" x14ac:dyDescent="0.25">
      <c r="A56" s="335" t="s">
        <v>24</v>
      </c>
      <c r="B56" s="338">
        <v>55</v>
      </c>
      <c r="C56" s="338">
        <v>905</v>
      </c>
      <c r="D56" s="335" t="s">
        <v>1013</v>
      </c>
      <c r="E56" s="338">
        <v>0</v>
      </c>
      <c r="F56" s="338">
        <v>0</v>
      </c>
      <c r="G56" s="338">
        <v>0</v>
      </c>
      <c r="H56" s="339">
        <v>45728.643287037034</v>
      </c>
      <c r="I56" s="338">
        <v>-0.06</v>
      </c>
      <c r="J56" s="338">
        <v>19.02</v>
      </c>
      <c r="K56" s="338">
        <v>1</v>
      </c>
      <c r="L56" s="338">
        <v>-0.06</v>
      </c>
      <c r="M56" s="335" t="s">
        <v>1037</v>
      </c>
      <c r="N56" s="337" t="s">
        <v>19</v>
      </c>
    </row>
    <row r="57" spans="1:14" x14ac:dyDescent="0.25">
      <c r="A57" s="335" t="s">
        <v>24</v>
      </c>
      <c r="B57" s="338">
        <v>56</v>
      </c>
      <c r="C57" s="338">
        <v>905</v>
      </c>
      <c r="D57" s="335" t="s">
        <v>1013</v>
      </c>
      <c r="E57" s="338">
        <v>0</v>
      </c>
      <c r="F57" s="338">
        <v>0</v>
      </c>
      <c r="G57" s="338">
        <v>0</v>
      </c>
      <c r="H57" s="339">
        <v>45728.644212962965</v>
      </c>
      <c r="I57" s="338">
        <v>-0.08</v>
      </c>
      <c r="J57" s="338">
        <v>18.39</v>
      </c>
      <c r="K57" s="338">
        <v>1</v>
      </c>
      <c r="L57" s="338">
        <v>-0.08</v>
      </c>
      <c r="M57" s="335" t="s">
        <v>1037</v>
      </c>
      <c r="N57" s="337" t="s">
        <v>19</v>
      </c>
    </row>
    <row r="58" spans="1:14" x14ac:dyDescent="0.25">
      <c r="A58" s="335" t="s">
        <v>24</v>
      </c>
      <c r="B58" s="338">
        <v>57</v>
      </c>
      <c r="C58" s="338">
        <v>905</v>
      </c>
      <c r="D58" s="335" t="s">
        <v>1013</v>
      </c>
      <c r="E58" s="338">
        <v>0</v>
      </c>
      <c r="F58" s="338">
        <v>0</v>
      </c>
      <c r="G58" s="338">
        <v>0</v>
      </c>
      <c r="H58" s="339">
        <v>45728.645138888889</v>
      </c>
      <c r="I58" s="338">
        <v>-0.05</v>
      </c>
      <c r="J58" s="338">
        <v>19.489999999999998</v>
      </c>
      <c r="K58" s="338">
        <v>1</v>
      </c>
      <c r="L58" s="338">
        <v>-0.05</v>
      </c>
      <c r="M58" s="335" t="s">
        <v>1037</v>
      </c>
      <c r="N58" s="337" t="s">
        <v>19</v>
      </c>
    </row>
    <row r="59" spans="1:14" x14ac:dyDescent="0.25">
      <c r="A59" s="335" t="s">
        <v>24</v>
      </c>
      <c r="B59" s="338">
        <v>58</v>
      </c>
      <c r="C59" s="338">
        <v>905</v>
      </c>
      <c r="D59" s="335" t="s">
        <v>1013</v>
      </c>
      <c r="E59" s="338">
        <v>0</v>
      </c>
      <c r="F59" s="338">
        <v>0</v>
      </c>
      <c r="G59" s="338">
        <v>0</v>
      </c>
      <c r="H59" s="339">
        <v>45728.646064814813</v>
      </c>
      <c r="I59" s="338">
        <v>-0.03</v>
      </c>
      <c r="J59" s="338">
        <v>20.67</v>
      </c>
      <c r="K59" s="338">
        <v>1</v>
      </c>
      <c r="L59" s="338">
        <v>-0.03</v>
      </c>
      <c r="M59" s="335" t="s">
        <v>1037</v>
      </c>
      <c r="N59" s="337" t="s">
        <v>19</v>
      </c>
    </row>
    <row r="60" spans="1:14" x14ac:dyDescent="0.25">
      <c r="A60" s="335" t="s">
        <v>24</v>
      </c>
      <c r="B60" s="338">
        <v>59</v>
      </c>
      <c r="C60" s="338">
        <v>905</v>
      </c>
      <c r="D60" s="335" t="s">
        <v>1013</v>
      </c>
      <c r="E60" s="338">
        <v>0</v>
      </c>
      <c r="F60" s="338">
        <v>0</v>
      </c>
      <c r="G60" s="338">
        <v>0</v>
      </c>
      <c r="H60" s="339">
        <v>45728.646990740737</v>
      </c>
      <c r="I60" s="338">
        <v>-0.03</v>
      </c>
      <c r="J60" s="338">
        <v>20.62</v>
      </c>
      <c r="K60" s="338">
        <v>1</v>
      </c>
      <c r="L60" s="338">
        <v>-0.03</v>
      </c>
      <c r="M60" s="335" t="s">
        <v>1037</v>
      </c>
      <c r="N60" s="337" t="s">
        <v>19</v>
      </c>
    </row>
    <row r="61" spans="1:14" x14ac:dyDescent="0.25">
      <c r="A61" s="335" t="s">
        <v>24</v>
      </c>
      <c r="B61" s="338">
        <v>60</v>
      </c>
      <c r="C61" s="338">
        <v>905</v>
      </c>
      <c r="D61" s="335" t="s">
        <v>1013</v>
      </c>
      <c r="E61" s="338">
        <v>0</v>
      </c>
      <c r="F61" s="338">
        <v>0</v>
      </c>
      <c r="G61" s="338">
        <v>0</v>
      </c>
      <c r="H61" s="339">
        <v>45728.647916666669</v>
      </c>
      <c r="I61" s="338">
        <v>-0.05</v>
      </c>
      <c r="J61" s="338">
        <v>19.71</v>
      </c>
      <c r="K61" s="338">
        <v>1</v>
      </c>
      <c r="L61" s="338">
        <v>-0.05</v>
      </c>
      <c r="M61" s="335" t="s">
        <v>1037</v>
      </c>
      <c r="N61" s="337" t="s">
        <v>19</v>
      </c>
    </row>
    <row r="62" spans="1:14" x14ac:dyDescent="0.25">
      <c r="A62" s="335" t="s">
        <v>24</v>
      </c>
      <c r="B62" s="338">
        <v>61</v>
      </c>
      <c r="C62" s="338">
        <v>905</v>
      </c>
      <c r="D62" s="335" t="s">
        <v>1013</v>
      </c>
      <c r="E62" s="338">
        <v>0</v>
      </c>
      <c r="F62" s="338">
        <v>0</v>
      </c>
      <c r="G62" s="338">
        <v>0</v>
      </c>
      <c r="H62" s="339">
        <v>45728.648842592593</v>
      </c>
      <c r="I62" s="338">
        <v>-0.06</v>
      </c>
      <c r="J62" s="338">
        <v>19.47</v>
      </c>
      <c r="K62" s="338">
        <v>1</v>
      </c>
      <c r="L62" s="338">
        <v>-0.06</v>
      </c>
      <c r="M62" s="335" t="s">
        <v>1037</v>
      </c>
      <c r="N62" s="337" t="s">
        <v>19</v>
      </c>
    </row>
    <row r="63" spans="1:14" x14ac:dyDescent="0.25">
      <c r="A63" s="335" t="s">
        <v>24</v>
      </c>
      <c r="B63" s="338">
        <v>62</v>
      </c>
      <c r="C63" s="338">
        <v>905</v>
      </c>
      <c r="D63" s="335" t="s">
        <v>1013</v>
      </c>
      <c r="E63" s="338">
        <v>0</v>
      </c>
      <c r="F63" s="338">
        <v>0</v>
      </c>
      <c r="G63" s="338">
        <v>0</v>
      </c>
      <c r="H63" s="339">
        <v>45728.649768518517</v>
      </c>
      <c r="I63" s="338">
        <v>-7.0000000000000007E-2</v>
      </c>
      <c r="J63" s="338">
        <v>18.48</v>
      </c>
      <c r="K63" s="338">
        <v>1</v>
      </c>
      <c r="L63" s="338">
        <v>-7.0000000000000007E-2</v>
      </c>
      <c r="M63" s="335" t="s">
        <v>1037</v>
      </c>
      <c r="N63" s="337" t="s">
        <v>19</v>
      </c>
    </row>
    <row r="64" spans="1:14" x14ac:dyDescent="0.25">
      <c r="A64" s="335" t="s">
        <v>24</v>
      </c>
      <c r="B64" s="338">
        <v>63</v>
      </c>
      <c r="C64" s="338">
        <v>905</v>
      </c>
      <c r="D64" s="335" t="s">
        <v>1013</v>
      </c>
      <c r="E64" s="338">
        <v>0</v>
      </c>
      <c r="F64" s="338">
        <v>0</v>
      </c>
      <c r="G64" s="338">
        <v>0</v>
      </c>
      <c r="H64" s="339">
        <v>45728.650694444441</v>
      </c>
      <c r="I64" s="338">
        <v>-0.09</v>
      </c>
      <c r="J64" s="338">
        <v>17.68</v>
      </c>
      <c r="K64" s="338">
        <v>1</v>
      </c>
      <c r="L64" s="338">
        <v>-0.09</v>
      </c>
      <c r="M64" s="335" t="s">
        <v>1037</v>
      </c>
      <c r="N64" s="337" t="s">
        <v>19</v>
      </c>
    </row>
    <row r="65" spans="1:14" x14ac:dyDescent="0.25">
      <c r="A65" s="335" t="s">
        <v>24</v>
      </c>
      <c r="B65" s="338">
        <v>64</v>
      </c>
      <c r="C65" s="338">
        <v>905</v>
      </c>
      <c r="D65" s="335" t="s">
        <v>1013</v>
      </c>
      <c r="E65" s="338">
        <v>0</v>
      </c>
      <c r="F65" s="338">
        <v>0</v>
      </c>
      <c r="G65" s="338">
        <v>0</v>
      </c>
      <c r="H65" s="339">
        <v>45728.651620370372</v>
      </c>
      <c r="I65" s="338">
        <v>-0.12</v>
      </c>
      <c r="J65" s="338">
        <v>15.85</v>
      </c>
      <c r="K65" s="338">
        <v>1</v>
      </c>
      <c r="L65" s="338">
        <v>-0.12</v>
      </c>
      <c r="M65" s="335" t="s">
        <v>1037</v>
      </c>
      <c r="N65" s="337" t="s">
        <v>19</v>
      </c>
    </row>
    <row r="66" spans="1:14" x14ac:dyDescent="0.25">
      <c r="A66" s="335" t="s">
        <v>1014</v>
      </c>
      <c r="B66" s="338">
        <v>65</v>
      </c>
      <c r="C66" s="338">
        <v>906</v>
      </c>
      <c r="D66" s="335" t="s">
        <v>1015</v>
      </c>
      <c r="E66" s="338">
        <v>0</v>
      </c>
      <c r="F66" s="338">
        <v>0</v>
      </c>
      <c r="G66" s="338">
        <v>1</v>
      </c>
      <c r="H66" s="339">
        <v>45728.652546296296</v>
      </c>
      <c r="I66" s="338">
        <v>0.96</v>
      </c>
      <c r="J66" s="338">
        <v>72.87</v>
      </c>
      <c r="K66" s="338">
        <v>1</v>
      </c>
      <c r="L66" s="338">
        <v>0.96</v>
      </c>
      <c r="M66" s="338">
        <v>0.96</v>
      </c>
      <c r="N66" s="337" t="s">
        <v>19</v>
      </c>
    </row>
    <row r="67" spans="1:14" x14ac:dyDescent="0.25">
      <c r="A67" s="335" t="s">
        <v>1039</v>
      </c>
      <c r="B67" s="338">
        <v>66</v>
      </c>
      <c r="C67" s="338">
        <v>907</v>
      </c>
      <c r="D67" s="335" t="s">
        <v>1017</v>
      </c>
      <c r="E67" s="338">
        <v>0</v>
      </c>
      <c r="F67" s="338">
        <v>0</v>
      </c>
      <c r="G67" s="338">
        <v>0</v>
      </c>
      <c r="H67" s="339">
        <v>45728.65347222222</v>
      </c>
      <c r="I67" s="338">
        <v>1.62</v>
      </c>
      <c r="J67" s="338">
        <v>107.34</v>
      </c>
      <c r="K67" s="338">
        <v>1</v>
      </c>
      <c r="L67" s="338">
        <v>1.62</v>
      </c>
      <c r="M67" s="338">
        <v>1.62</v>
      </c>
      <c r="N67" s="337" t="s">
        <v>19</v>
      </c>
    </row>
    <row r="68" spans="1:14" x14ac:dyDescent="0.25">
      <c r="A68" s="335" t="s">
        <v>1006</v>
      </c>
      <c r="B68" s="338">
        <v>67</v>
      </c>
      <c r="C68" s="338">
        <v>0</v>
      </c>
      <c r="D68" s="335" t="s">
        <v>1007</v>
      </c>
      <c r="E68" s="338">
        <v>0</v>
      </c>
      <c r="F68" s="338">
        <v>0</v>
      </c>
      <c r="G68" s="338">
        <v>0</v>
      </c>
      <c r="H68" s="339">
        <v>45728.654398148145</v>
      </c>
      <c r="I68" s="338">
        <v>-0.43</v>
      </c>
      <c r="J68" s="338">
        <v>0</v>
      </c>
      <c r="K68" s="338">
        <v>1</v>
      </c>
      <c r="L68" s="338">
        <v>-0.43</v>
      </c>
      <c r="M68" s="335" t="s">
        <v>1037</v>
      </c>
      <c r="N68" s="337" t="s">
        <v>19</v>
      </c>
    </row>
    <row r="69" spans="1:14" x14ac:dyDescent="0.25">
      <c r="A69" s="335" t="s">
        <v>1002</v>
      </c>
      <c r="B69" s="338">
        <v>68</v>
      </c>
      <c r="C69" s="338">
        <v>921</v>
      </c>
      <c r="D69" s="335" t="s">
        <v>1003</v>
      </c>
      <c r="E69" s="338">
        <v>0</v>
      </c>
      <c r="F69" s="338">
        <v>0</v>
      </c>
      <c r="G69" s="338">
        <v>0</v>
      </c>
      <c r="H69" s="339">
        <v>45728.657175925924</v>
      </c>
      <c r="I69" s="338">
        <v>2.36</v>
      </c>
      <c r="J69" s="338">
        <v>145.91999999999999</v>
      </c>
      <c r="K69" s="338">
        <v>1</v>
      </c>
      <c r="L69" s="338">
        <v>2.36</v>
      </c>
      <c r="M69" s="338">
        <v>2.36</v>
      </c>
      <c r="N69" s="337" t="s">
        <v>19</v>
      </c>
    </row>
    <row r="70" spans="1:14" x14ac:dyDescent="0.25">
      <c r="A70" s="335" t="s">
        <v>1020</v>
      </c>
      <c r="B70" s="338">
        <v>69</v>
      </c>
      <c r="C70" s="338">
        <v>0</v>
      </c>
      <c r="D70" s="335" t="s">
        <v>1021</v>
      </c>
      <c r="E70" s="338">
        <v>0</v>
      </c>
      <c r="F70" s="338">
        <v>0</v>
      </c>
      <c r="G70" s="338">
        <v>0</v>
      </c>
      <c r="H70" s="339">
        <v>45728.658101851855</v>
      </c>
      <c r="I70" s="338">
        <v>-0.43</v>
      </c>
      <c r="J70" s="338">
        <v>0</v>
      </c>
      <c r="K70" s="338">
        <v>1</v>
      </c>
      <c r="L70" s="338">
        <v>-0.43</v>
      </c>
      <c r="M70" s="335" t="s">
        <v>1037</v>
      </c>
      <c r="N70" s="337" t="s">
        <v>19</v>
      </c>
    </row>
    <row r="71" spans="1:14" x14ac:dyDescent="0.25">
      <c r="A71" s="335" t="s">
        <v>1000</v>
      </c>
      <c r="B71" s="338">
        <v>1</v>
      </c>
      <c r="C71" s="338">
        <v>921</v>
      </c>
      <c r="D71" s="335" t="s">
        <v>1001</v>
      </c>
      <c r="E71" s="338">
        <v>0</v>
      </c>
      <c r="F71" s="338">
        <v>0</v>
      </c>
      <c r="G71" s="338">
        <v>0</v>
      </c>
      <c r="H71" s="339">
        <v>45754.598657407405</v>
      </c>
      <c r="I71" s="338">
        <v>2.29</v>
      </c>
      <c r="J71" s="338">
        <v>149.55000000000001</v>
      </c>
      <c r="K71" s="338">
        <v>1</v>
      </c>
      <c r="L71" s="338">
        <v>2.29</v>
      </c>
      <c r="M71" s="338">
        <v>2.29</v>
      </c>
      <c r="N71" s="337" t="s">
        <v>19</v>
      </c>
    </row>
    <row r="72" spans="1:14" x14ac:dyDescent="0.25">
      <c r="A72" s="335" t="s">
        <v>1002</v>
      </c>
      <c r="B72" s="338">
        <v>2</v>
      </c>
      <c r="C72" s="338">
        <v>921</v>
      </c>
      <c r="D72" s="335" t="s">
        <v>1003</v>
      </c>
      <c r="E72" s="338">
        <v>0</v>
      </c>
      <c r="F72" s="338">
        <v>0</v>
      </c>
      <c r="G72" s="338">
        <v>0</v>
      </c>
      <c r="H72" s="339">
        <v>45754.599583333336</v>
      </c>
      <c r="I72" s="338">
        <v>2.2999999999999998</v>
      </c>
      <c r="J72" s="338">
        <v>150.19</v>
      </c>
      <c r="K72" s="338">
        <v>1</v>
      </c>
      <c r="L72" s="338">
        <v>2.2999999999999998</v>
      </c>
      <c r="M72" s="338">
        <v>2.2999999999999998</v>
      </c>
      <c r="N72" s="337" t="s">
        <v>19</v>
      </c>
    </row>
    <row r="73" spans="1:14" x14ac:dyDescent="0.25">
      <c r="A73" s="338">
        <v>2.2200000000000002</v>
      </c>
      <c r="B73" s="338">
        <v>3</v>
      </c>
      <c r="C73" s="338">
        <v>921</v>
      </c>
      <c r="D73" s="335" t="s">
        <v>1004</v>
      </c>
      <c r="E73" s="338">
        <v>0</v>
      </c>
      <c r="F73" s="338">
        <v>0</v>
      </c>
      <c r="G73" s="338">
        <v>0</v>
      </c>
      <c r="H73" s="339">
        <v>45754.60050925926</v>
      </c>
      <c r="I73" s="338">
        <v>2.27</v>
      </c>
      <c r="J73" s="338">
        <v>148.6</v>
      </c>
      <c r="K73" s="338">
        <v>1</v>
      </c>
      <c r="L73" s="338">
        <v>2.27</v>
      </c>
      <c r="M73" s="338">
        <v>2.27</v>
      </c>
      <c r="N73" s="337" t="s">
        <v>19</v>
      </c>
    </row>
    <row r="74" spans="1:14" x14ac:dyDescent="0.25">
      <c r="A74" s="338">
        <v>1.66</v>
      </c>
      <c r="B74" s="338">
        <v>4</v>
      </c>
      <c r="C74" s="338">
        <v>901</v>
      </c>
      <c r="D74" s="335" t="s">
        <v>1004</v>
      </c>
      <c r="E74" s="338">
        <v>0</v>
      </c>
      <c r="F74" s="338">
        <v>0</v>
      </c>
      <c r="G74" s="338">
        <v>0</v>
      </c>
      <c r="H74" s="339">
        <v>45754.601435185185</v>
      </c>
      <c r="I74" s="338">
        <v>1.63</v>
      </c>
      <c r="J74" s="338">
        <v>111.8</v>
      </c>
      <c r="K74" s="338">
        <v>1</v>
      </c>
      <c r="L74" s="338">
        <v>1.63</v>
      </c>
      <c r="M74" s="338">
        <v>1.63</v>
      </c>
      <c r="N74" s="337" t="s">
        <v>19</v>
      </c>
    </row>
    <row r="75" spans="1:14" x14ac:dyDescent="0.25">
      <c r="A75" s="338">
        <v>1.1100000000000001</v>
      </c>
      <c r="B75" s="338">
        <v>5</v>
      </c>
      <c r="C75" s="338">
        <v>902</v>
      </c>
      <c r="D75" s="335" t="s">
        <v>1004</v>
      </c>
      <c r="E75" s="338">
        <v>0</v>
      </c>
      <c r="F75" s="338">
        <v>0</v>
      </c>
      <c r="G75" s="338">
        <v>0</v>
      </c>
      <c r="H75" s="339">
        <v>45754.602361111109</v>
      </c>
      <c r="I75" s="338">
        <v>1.05</v>
      </c>
      <c r="J75" s="338">
        <v>78.510000000000005</v>
      </c>
      <c r="K75" s="338">
        <v>1</v>
      </c>
      <c r="L75" s="338">
        <v>1.05</v>
      </c>
      <c r="M75" s="338">
        <v>1.05</v>
      </c>
      <c r="N75" s="337" t="s">
        <v>19</v>
      </c>
    </row>
    <row r="76" spans="1:14" x14ac:dyDescent="0.25">
      <c r="A76" s="335"/>
      <c r="B76" s="338">
        <v>6</v>
      </c>
      <c r="C76" s="338">
        <v>0</v>
      </c>
      <c r="D76" s="335" t="s">
        <v>1044</v>
      </c>
      <c r="E76" s="338">
        <v>0</v>
      </c>
      <c r="F76" s="338">
        <v>0</v>
      </c>
      <c r="G76" s="338">
        <v>0</v>
      </c>
      <c r="H76" s="339">
        <v>45754.60328703704</v>
      </c>
      <c r="I76" s="338">
        <v>0.84</v>
      </c>
      <c r="J76" s="338">
        <v>66.760000000000005</v>
      </c>
      <c r="K76" s="338">
        <v>1</v>
      </c>
      <c r="L76" s="338">
        <v>0.84</v>
      </c>
      <c r="M76" s="338">
        <v>0.84</v>
      </c>
      <c r="N76" s="337" t="s">
        <v>19</v>
      </c>
    </row>
    <row r="77" spans="1:14" x14ac:dyDescent="0.25">
      <c r="A77" s="338">
        <v>0.22</v>
      </c>
      <c r="B77" s="338">
        <v>7</v>
      </c>
      <c r="C77" s="338">
        <v>904</v>
      </c>
      <c r="D77" s="335" t="s">
        <v>1004</v>
      </c>
      <c r="E77" s="338">
        <v>0</v>
      </c>
      <c r="F77" s="338">
        <v>0</v>
      </c>
      <c r="G77" s="338">
        <v>0</v>
      </c>
      <c r="H77" s="339">
        <v>45754.604212962964</v>
      </c>
      <c r="I77" s="338">
        <v>0.28999999999999998</v>
      </c>
      <c r="J77" s="338">
        <v>35.15</v>
      </c>
      <c r="K77" s="338">
        <v>1</v>
      </c>
      <c r="L77" s="338">
        <v>0.28999999999999998</v>
      </c>
      <c r="M77" s="338">
        <v>0.28999999999999998</v>
      </c>
      <c r="N77" s="337" t="s">
        <v>19</v>
      </c>
    </row>
    <row r="78" spans="1:14" x14ac:dyDescent="0.25">
      <c r="A78" s="335" t="s">
        <v>24</v>
      </c>
      <c r="B78" s="338">
        <v>8</v>
      </c>
      <c r="C78" s="338">
        <v>905</v>
      </c>
      <c r="D78" s="335" t="s">
        <v>1004</v>
      </c>
      <c r="E78" s="338">
        <v>0</v>
      </c>
      <c r="F78" s="338">
        <v>0</v>
      </c>
      <c r="G78" s="338">
        <v>0</v>
      </c>
      <c r="H78" s="339">
        <v>45754.605138888888</v>
      </c>
      <c r="I78" s="338">
        <v>-0.02</v>
      </c>
      <c r="J78" s="338">
        <v>17.05</v>
      </c>
      <c r="K78" s="338">
        <v>1</v>
      </c>
      <c r="L78" s="338">
        <v>-0.02</v>
      </c>
      <c r="M78" s="335" t="s">
        <v>1045</v>
      </c>
      <c r="N78" s="337" t="s">
        <v>19</v>
      </c>
    </row>
    <row r="79" spans="1:14" x14ac:dyDescent="0.25">
      <c r="A79" s="335" t="s">
        <v>1006</v>
      </c>
      <c r="B79" s="338">
        <v>9</v>
      </c>
      <c r="C79" s="338">
        <v>0</v>
      </c>
      <c r="D79" s="335" t="s">
        <v>1007</v>
      </c>
      <c r="E79" s="338">
        <v>0</v>
      </c>
      <c r="F79" s="338">
        <v>0</v>
      </c>
      <c r="G79" s="338">
        <v>0</v>
      </c>
      <c r="H79" s="339">
        <v>45754.606064814812</v>
      </c>
      <c r="I79" s="338">
        <v>-0.32</v>
      </c>
      <c r="J79" s="338">
        <v>0</v>
      </c>
      <c r="K79" s="338">
        <v>1</v>
      </c>
      <c r="L79" s="338">
        <v>-0.32</v>
      </c>
      <c r="M79" s="335" t="s">
        <v>1045</v>
      </c>
      <c r="N79" s="337" t="s">
        <v>19</v>
      </c>
    </row>
    <row r="80" spans="1:14" x14ac:dyDescent="0.25">
      <c r="A80" s="335" t="s">
        <v>1009</v>
      </c>
      <c r="B80" s="338">
        <v>10</v>
      </c>
      <c r="C80" s="338">
        <v>921</v>
      </c>
      <c r="D80" s="335" t="s">
        <v>1010</v>
      </c>
      <c r="E80" s="338">
        <v>0</v>
      </c>
      <c r="F80" s="338">
        <v>1</v>
      </c>
      <c r="G80" s="338">
        <v>1</v>
      </c>
      <c r="H80" s="339">
        <v>45754.608842592592</v>
      </c>
      <c r="I80" s="338">
        <v>2.0699999999999998</v>
      </c>
      <c r="J80" s="338">
        <v>137.44999999999999</v>
      </c>
      <c r="K80" s="338">
        <v>1</v>
      </c>
      <c r="L80" s="338">
        <v>2.0699999999999998</v>
      </c>
      <c r="M80" s="338">
        <v>2.0699999999999998</v>
      </c>
      <c r="N80" s="337" t="s">
        <v>19</v>
      </c>
    </row>
    <row r="81" spans="1:14" x14ac:dyDescent="0.25">
      <c r="A81" s="335" t="s">
        <v>1011</v>
      </c>
      <c r="B81" s="338">
        <v>11</v>
      </c>
      <c r="C81" s="338">
        <v>904</v>
      </c>
      <c r="D81" s="335" t="s">
        <v>1012</v>
      </c>
      <c r="E81" s="338">
        <v>0</v>
      </c>
      <c r="F81" s="338">
        <v>1</v>
      </c>
      <c r="G81" s="338">
        <v>2</v>
      </c>
      <c r="H81" s="339">
        <v>45754.609768518516</v>
      </c>
      <c r="I81" s="338">
        <v>0.27</v>
      </c>
      <c r="J81" s="338">
        <v>33.659999999999997</v>
      </c>
      <c r="K81" s="338">
        <v>1</v>
      </c>
      <c r="L81" s="338">
        <v>0.27</v>
      </c>
      <c r="M81" s="338">
        <v>0.27</v>
      </c>
      <c r="N81" s="337" t="s">
        <v>19</v>
      </c>
    </row>
    <row r="82" spans="1:14" x14ac:dyDescent="0.25">
      <c r="A82" s="335" t="s">
        <v>1011</v>
      </c>
      <c r="B82" s="338">
        <v>12</v>
      </c>
      <c r="C82" s="338">
        <v>904</v>
      </c>
      <c r="D82" s="335" t="s">
        <v>1012</v>
      </c>
      <c r="E82" s="338">
        <v>0</v>
      </c>
      <c r="F82" s="338">
        <v>1</v>
      </c>
      <c r="G82" s="338">
        <v>3</v>
      </c>
      <c r="H82" s="339">
        <v>45754.610694444447</v>
      </c>
      <c r="I82" s="338">
        <v>0.28999999999999998</v>
      </c>
      <c r="J82" s="338">
        <v>35.1</v>
      </c>
      <c r="K82" s="338">
        <v>1</v>
      </c>
      <c r="L82" s="338">
        <v>0.28999999999999998</v>
      </c>
      <c r="M82" s="338">
        <v>0.28999999999999998</v>
      </c>
      <c r="N82" s="337" t="s">
        <v>19</v>
      </c>
    </row>
    <row r="83" spans="1:14" x14ac:dyDescent="0.25">
      <c r="A83" s="335" t="s">
        <v>24</v>
      </c>
      <c r="B83" s="338">
        <v>13</v>
      </c>
      <c r="C83" s="338">
        <v>905</v>
      </c>
      <c r="D83" s="335" t="s">
        <v>1013</v>
      </c>
      <c r="E83" s="338">
        <v>0</v>
      </c>
      <c r="F83" s="338">
        <v>0</v>
      </c>
      <c r="G83" s="338">
        <v>1</v>
      </c>
      <c r="H83" s="339">
        <v>45754.611620370371</v>
      </c>
      <c r="I83" s="338">
        <v>0</v>
      </c>
      <c r="J83" s="338">
        <v>18.239999999999998</v>
      </c>
      <c r="K83" s="338">
        <v>1</v>
      </c>
      <c r="L83" s="338">
        <v>0</v>
      </c>
      <c r="M83" s="335" t="s">
        <v>1045</v>
      </c>
      <c r="N83" s="337" t="s">
        <v>19</v>
      </c>
    </row>
    <row r="84" spans="1:14" x14ac:dyDescent="0.25">
      <c r="A84" s="335" t="s">
        <v>1038</v>
      </c>
      <c r="B84" s="338">
        <v>14</v>
      </c>
      <c r="C84" s="338">
        <v>906</v>
      </c>
      <c r="D84" s="335" t="s">
        <v>1015</v>
      </c>
      <c r="E84" s="338">
        <v>0</v>
      </c>
      <c r="F84" s="338">
        <v>0</v>
      </c>
      <c r="G84" s="338">
        <v>2</v>
      </c>
      <c r="H84" s="339">
        <v>45754.612546296295</v>
      </c>
      <c r="I84" s="338">
        <v>0.91</v>
      </c>
      <c r="J84" s="338">
        <v>70.77</v>
      </c>
      <c r="K84" s="338">
        <v>1</v>
      </c>
      <c r="L84" s="338">
        <v>0.91</v>
      </c>
      <c r="M84" s="338">
        <v>0.91</v>
      </c>
      <c r="N84" s="337" t="s">
        <v>19</v>
      </c>
    </row>
    <row r="85" spans="1:14" x14ac:dyDescent="0.25">
      <c r="A85" s="335" t="s">
        <v>1039</v>
      </c>
      <c r="B85" s="338">
        <v>15</v>
      </c>
      <c r="C85" s="338">
        <v>907</v>
      </c>
      <c r="D85" s="335" t="s">
        <v>1017</v>
      </c>
      <c r="E85" s="338">
        <v>0</v>
      </c>
      <c r="F85" s="338">
        <v>0</v>
      </c>
      <c r="G85" s="338">
        <v>0</v>
      </c>
      <c r="H85" s="339">
        <v>45754.61347222222</v>
      </c>
      <c r="I85" s="338">
        <v>1.35</v>
      </c>
      <c r="J85" s="338">
        <v>96.15</v>
      </c>
      <c r="K85" s="338">
        <v>1</v>
      </c>
      <c r="L85" s="338">
        <v>1.35</v>
      </c>
      <c r="M85" s="338">
        <v>1.35</v>
      </c>
      <c r="N85" s="337" t="s">
        <v>19</v>
      </c>
    </row>
    <row r="86" spans="1:14" x14ac:dyDescent="0.25">
      <c r="A86" s="335" t="s">
        <v>1006</v>
      </c>
      <c r="B86" s="338">
        <v>16</v>
      </c>
      <c r="C86" s="338">
        <v>0</v>
      </c>
      <c r="D86" s="335" t="s">
        <v>1007</v>
      </c>
      <c r="E86" s="338">
        <v>0</v>
      </c>
      <c r="F86" s="338">
        <v>0</v>
      </c>
      <c r="G86" s="338">
        <v>0</v>
      </c>
      <c r="H86" s="339">
        <v>45754.614398148151</v>
      </c>
      <c r="I86" s="338">
        <v>-0.32</v>
      </c>
      <c r="J86" s="338">
        <v>0</v>
      </c>
      <c r="K86" s="338">
        <v>1</v>
      </c>
      <c r="L86" s="338">
        <v>-0.32</v>
      </c>
      <c r="M86" s="335" t="s">
        <v>1045</v>
      </c>
      <c r="N86" s="337" t="s">
        <v>19</v>
      </c>
    </row>
    <row r="87" spans="1:14" x14ac:dyDescent="0.25">
      <c r="A87" s="338">
        <v>218</v>
      </c>
      <c r="B87" s="338">
        <v>17</v>
      </c>
      <c r="C87" s="338">
        <v>1</v>
      </c>
      <c r="D87" s="335" t="s">
        <v>1013</v>
      </c>
      <c r="E87" s="338">
        <v>0</v>
      </c>
      <c r="F87" s="338">
        <v>0</v>
      </c>
      <c r="G87" s="338">
        <v>0</v>
      </c>
      <c r="H87" s="339">
        <v>45754.617175925923</v>
      </c>
      <c r="I87" s="338">
        <v>0.38</v>
      </c>
      <c r="J87" s="338">
        <v>40.43</v>
      </c>
      <c r="K87" s="338">
        <v>1</v>
      </c>
      <c r="L87" s="338">
        <v>0.38</v>
      </c>
      <c r="M87" s="338">
        <v>0.38</v>
      </c>
      <c r="N87" s="337" t="s">
        <v>19</v>
      </c>
    </row>
    <row r="88" spans="1:14" x14ac:dyDescent="0.25">
      <c r="A88" s="338">
        <v>673</v>
      </c>
      <c r="B88" s="338">
        <v>18</v>
      </c>
      <c r="C88" s="338">
        <v>2</v>
      </c>
      <c r="D88" s="335" t="s">
        <v>1013</v>
      </c>
      <c r="E88" s="338">
        <v>0</v>
      </c>
      <c r="F88" s="338">
        <v>0</v>
      </c>
      <c r="G88" s="338">
        <v>0</v>
      </c>
      <c r="H88" s="339">
        <v>45754.618101851855</v>
      </c>
      <c r="I88" s="338">
        <v>0.19</v>
      </c>
      <c r="J88" s="338">
        <v>29.61</v>
      </c>
      <c r="K88" s="338">
        <v>1</v>
      </c>
      <c r="L88" s="338">
        <v>0.19</v>
      </c>
      <c r="M88" s="338">
        <v>0.19</v>
      </c>
      <c r="N88" s="337" t="s">
        <v>19</v>
      </c>
    </row>
    <row r="89" spans="1:14" x14ac:dyDescent="0.25">
      <c r="A89" s="338">
        <v>387</v>
      </c>
      <c r="B89" s="338">
        <v>19</v>
      </c>
      <c r="C89" s="338">
        <v>3</v>
      </c>
      <c r="D89" s="335" t="s">
        <v>1013</v>
      </c>
      <c r="E89" s="338">
        <v>0</v>
      </c>
      <c r="F89" s="338">
        <v>0</v>
      </c>
      <c r="G89" s="338">
        <v>0</v>
      </c>
      <c r="H89" s="339">
        <v>45754.619027777779</v>
      </c>
      <c r="I89" s="338">
        <v>0.19</v>
      </c>
      <c r="J89" s="338">
        <v>29.22</v>
      </c>
      <c r="K89" s="338">
        <v>1</v>
      </c>
      <c r="L89" s="338">
        <v>0.19</v>
      </c>
      <c r="M89" s="338">
        <v>0.19</v>
      </c>
      <c r="N89" s="337" t="s">
        <v>19</v>
      </c>
    </row>
    <row r="90" spans="1:14" x14ac:dyDescent="0.25">
      <c r="A90" s="338">
        <v>309</v>
      </c>
      <c r="B90" s="338">
        <v>20</v>
      </c>
      <c r="C90" s="338">
        <v>4</v>
      </c>
      <c r="D90" s="335" t="s">
        <v>1013</v>
      </c>
      <c r="E90" s="338">
        <v>0</v>
      </c>
      <c r="F90" s="338">
        <v>0</v>
      </c>
      <c r="G90" s="338">
        <v>0</v>
      </c>
      <c r="H90" s="339">
        <v>45754.619953703703</v>
      </c>
      <c r="I90" s="338">
        <v>7.0000000000000007E-2</v>
      </c>
      <c r="J90" s="338">
        <v>22.5</v>
      </c>
      <c r="K90" s="338">
        <v>1</v>
      </c>
      <c r="L90" s="338">
        <v>7.0000000000000007E-2</v>
      </c>
      <c r="M90" s="338">
        <v>7.0000000000000007E-2</v>
      </c>
      <c r="N90" s="337" t="s">
        <v>19</v>
      </c>
    </row>
    <row r="91" spans="1:14" x14ac:dyDescent="0.25">
      <c r="A91" s="338">
        <v>660</v>
      </c>
      <c r="B91" s="338">
        <v>21</v>
      </c>
      <c r="C91" s="338">
        <v>5</v>
      </c>
      <c r="D91" s="335" t="s">
        <v>1013</v>
      </c>
      <c r="E91" s="338">
        <v>0</v>
      </c>
      <c r="F91" s="338">
        <v>0</v>
      </c>
      <c r="G91" s="338">
        <v>1</v>
      </c>
      <c r="H91" s="339">
        <v>45754.620879629627</v>
      </c>
      <c r="I91" s="338">
        <v>0.04</v>
      </c>
      <c r="J91" s="338">
        <v>20.93</v>
      </c>
      <c r="K91" s="338">
        <v>1</v>
      </c>
      <c r="L91" s="338">
        <v>0.04</v>
      </c>
      <c r="M91" s="335" t="s">
        <v>1045</v>
      </c>
      <c r="N91" s="337" t="s">
        <v>19</v>
      </c>
    </row>
    <row r="92" spans="1:14" x14ac:dyDescent="0.25">
      <c r="A92" s="338">
        <v>374</v>
      </c>
      <c r="B92" s="338">
        <v>22</v>
      </c>
      <c r="C92" s="338">
        <v>6</v>
      </c>
      <c r="D92" s="335" t="s">
        <v>1013</v>
      </c>
      <c r="E92" s="338">
        <v>0</v>
      </c>
      <c r="F92" s="338">
        <v>0</v>
      </c>
      <c r="G92" s="338">
        <v>0</v>
      </c>
      <c r="H92" s="339">
        <v>45754.621805555558</v>
      </c>
      <c r="I92" s="338">
        <v>0.08</v>
      </c>
      <c r="J92" s="338">
        <v>22.98</v>
      </c>
      <c r="K92" s="338">
        <v>1</v>
      </c>
      <c r="L92" s="338">
        <v>0.08</v>
      </c>
      <c r="M92" s="338">
        <v>0.08</v>
      </c>
      <c r="N92" s="337" t="s">
        <v>19</v>
      </c>
    </row>
    <row r="93" spans="1:14" x14ac:dyDescent="0.25">
      <c r="A93" s="338">
        <v>621</v>
      </c>
      <c r="B93" s="338">
        <v>23</v>
      </c>
      <c r="C93" s="338">
        <v>7</v>
      </c>
      <c r="D93" s="335" t="s">
        <v>1013</v>
      </c>
      <c r="E93" s="338">
        <v>0</v>
      </c>
      <c r="F93" s="338">
        <v>0</v>
      </c>
      <c r="G93" s="338">
        <v>0</v>
      </c>
      <c r="H93" s="339">
        <v>45754.622731481482</v>
      </c>
      <c r="I93" s="338">
        <v>0.02</v>
      </c>
      <c r="J93" s="338">
        <v>19.440000000000001</v>
      </c>
      <c r="K93" s="338">
        <v>1</v>
      </c>
      <c r="L93" s="338">
        <v>0.02</v>
      </c>
      <c r="M93" s="335" t="s">
        <v>1045</v>
      </c>
      <c r="N93" s="337" t="s">
        <v>19</v>
      </c>
    </row>
    <row r="94" spans="1:14" x14ac:dyDescent="0.25">
      <c r="A94" s="338">
        <v>361</v>
      </c>
      <c r="B94" s="338">
        <v>24</v>
      </c>
      <c r="C94" s="338">
        <v>8</v>
      </c>
      <c r="D94" s="335" t="s">
        <v>1013</v>
      </c>
      <c r="E94" s="338">
        <v>0</v>
      </c>
      <c r="F94" s="338">
        <v>0</v>
      </c>
      <c r="G94" s="338">
        <v>0</v>
      </c>
      <c r="H94" s="339">
        <v>45754.623657407406</v>
      </c>
      <c r="I94" s="338">
        <v>0.01</v>
      </c>
      <c r="J94" s="338">
        <v>19.13</v>
      </c>
      <c r="K94" s="338">
        <v>1</v>
      </c>
      <c r="L94" s="338">
        <v>0.01</v>
      </c>
      <c r="M94" s="335" t="s">
        <v>1045</v>
      </c>
      <c r="N94" s="337" t="s">
        <v>19</v>
      </c>
    </row>
    <row r="95" spans="1:14" x14ac:dyDescent="0.25">
      <c r="A95" s="338">
        <v>348</v>
      </c>
      <c r="B95" s="338">
        <v>25</v>
      </c>
      <c r="C95" s="338">
        <v>9</v>
      </c>
      <c r="D95" s="335" t="s">
        <v>1013</v>
      </c>
      <c r="E95" s="338">
        <v>0</v>
      </c>
      <c r="F95" s="338">
        <v>0</v>
      </c>
      <c r="G95" s="338">
        <v>1</v>
      </c>
      <c r="H95" s="339">
        <v>45754.624583333331</v>
      </c>
      <c r="I95" s="338">
        <v>0.04</v>
      </c>
      <c r="J95" s="338">
        <v>20.61</v>
      </c>
      <c r="K95" s="338">
        <v>1</v>
      </c>
      <c r="L95" s="338">
        <v>0.04</v>
      </c>
      <c r="M95" s="335" t="s">
        <v>1045</v>
      </c>
      <c r="N95" s="337" t="s">
        <v>19</v>
      </c>
    </row>
    <row r="96" spans="1:14" x14ac:dyDescent="0.25">
      <c r="A96" s="335" t="s">
        <v>1046</v>
      </c>
      <c r="B96" s="338">
        <v>26</v>
      </c>
      <c r="C96" s="338">
        <v>10</v>
      </c>
      <c r="D96" s="335" t="s">
        <v>1015</v>
      </c>
      <c r="E96" s="338">
        <v>0</v>
      </c>
      <c r="F96" s="338">
        <v>0</v>
      </c>
      <c r="G96" s="338">
        <v>1</v>
      </c>
      <c r="H96" s="339">
        <v>45754.625509259262</v>
      </c>
      <c r="I96" s="338">
        <v>0.98</v>
      </c>
      <c r="J96" s="338">
        <v>74.77</v>
      </c>
      <c r="K96" s="338">
        <v>1</v>
      </c>
      <c r="L96" s="338">
        <v>0.98</v>
      </c>
      <c r="M96" s="338">
        <v>0.98</v>
      </c>
      <c r="N96" s="337" t="s">
        <v>19</v>
      </c>
    </row>
    <row r="97" spans="1:14" x14ac:dyDescent="0.25">
      <c r="A97" s="335" t="s">
        <v>1039</v>
      </c>
      <c r="B97" s="338">
        <v>27</v>
      </c>
      <c r="C97" s="338">
        <v>907</v>
      </c>
      <c r="D97" s="335" t="s">
        <v>1017</v>
      </c>
      <c r="E97" s="338">
        <v>0</v>
      </c>
      <c r="F97" s="338">
        <v>0</v>
      </c>
      <c r="G97" s="338">
        <v>0</v>
      </c>
      <c r="H97" s="339">
        <v>45754.626435185186</v>
      </c>
      <c r="I97" s="338">
        <v>1.31</v>
      </c>
      <c r="J97" s="338">
        <v>93.75</v>
      </c>
      <c r="K97" s="338">
        <v>1</v>
      </c>
      <c r="L97" s="338">
        <v>1.31</v>
      </c>
      <c r="M97" s="338">
        <v>1.31</v>
      </c>
      <c r="N97" s="337" t="s">
        <v>19</v>
      </c>
    </row>
    <row r="98" spans="1:14" x14ac:dyDescent="0.25">
      <c r="A98" s="335" t="s">
        <v>1006</v>
      </c>
      <c r="B98" s="338">
        <v>28</v>
      </c>
      <c r="C98" s="338">
        <v>0</v>
      </c>
      <c r="D98" s="335" t="s">
        <v>1007</v>
      </c>
      <c r="E98" s="338">
        <v>0</v>
      </c>
      <c r="F98" s="338">
        <v>0</v>
      </c>
      <c r="G98" s="338">
        <v>0</v>
      </c>
      <c r="H98" s="339">
        <v>45754.62736111111</v>
      </c>
      <c r="I98" s="338">
        <v>-0.32</v>
      </c>
      <c r="J98" s="338">
        <v>0</v>
      </c>
      <c r="K98" s="338">
        <v>1</v>
      </c>
      <c r="L98" s="338">
        <v>-0.32</v>
      </c>
      <c r="M98" s="335" t="s">
        <v>1045</v>
      </c>
      <c r="N98" s="337" t="s">
        <v>19</v>
      </c>
    </row>
    <row r="99" spans="1:14" x14ac:dyDescent="0.25">
      <c r="A99" s="338">
        <v>686</v>
      </c>
      <c r="B99" s="338">
        <v>29</v>
      </c>
      <c r="C99" s="338">
        <v>11</v>
      </c>
      <c r="D99" s="335" t="s">
        <v>1013</v>
      </c>
      <c r="E99" s="338">
        <v>0</v>
      </c>
      <c r="F99" s="338">
        <v>0</v>
      </c>
      <c r="G99" s="338">
        <v>0</v>
      </c>
      <c r="H99" s="339">
        <v>45754.63013888889</v>
      </c>
      <c r="I99" s="338">
        <v>0</v>
      </c>
      <c r="J99" s="338">
        <v>18.46</v>
      </c>
      <c r="K99" s="338">
        <v>1</v>
      </c>
      <c r="L99" s="338">
        <v>0</v>
      </c>
      <c r="M99" s="335" t="s">
        <v>1045</v>
      </c>
      <c r="N99" s="337" t="s">
        <v>19</v>
      </c>
    </row>
    <row r="100" spans="1:14" x14ac:dyDescent="0.25">
      <c r="A100" s="338">
        <v>283</v>
      </c>
      <c r="B100" s="338">
        <v>30</v>
      </c>
      <c r="C100" s="338">
        <v>12</v>
      </c>
      <c r="D100" s="335" t="s">
        <v>1013</v>
      </c>
      <c r="E100" s="338">
        <v>0</v>
      </c>
      <c r="F100" s="338">
        <v>0</v>
      </c>
      <c r="G100" s="338">
        <v>0</v>
      </c>
      <c r="H100" s="339">
        <v>45754.631064814814</v>
      </c>
      <c r="I100" s="338">
        <v>0.04</v>
      </c>
      <c r="J100" s="338">
        <v>20.93</v>
      </c>
      <c r="K100" s="338">
        <v>1</v>
      </c>
      <c r="L100" s="338">
        <v>0.04</v>
      </c>
      <c r="M100" s="335" t="s">
        <v>1045</v>
      </c>
      <c r="N100" s="337" t="s">
        <v>19</v>
      </c>
    </row>
    <row r="101" spans="1:14" x14ac:dyDescent="0.25">
      <c r="A101" s="338">
        <v>543</v>
      </c>
      <c r="B101" s="338">
        <v>31</v>
      </c>
      <c r="C101" s="338">
        <v>13</v>
      </c>
      <c r="D101" s="335" t="s">
        <v>1013</v>
      </c>
      <c r="E101" s="338">
        <v>0</v>
      </c>
      <c r="F101" s="338">
        <v>0</v>
      </c>
      <c r="G101" s="338">
        <v>0</v>
      </c>
      <c r="H101" s="339">
        <v>45754.631990740738</v>
      </c>
      <c r="I101" s="338">
        <v>7.0000000000000007E-2</v>
      </c>
      <c r="J101" s="338">
        <v>22.54</v>
      </c>
      <c r="K101" s="338">
        <v>1</v>
      </c>
      <c r="L101" s="338">
        <v>7.0000000000000007E-2</v>
      </c>
      <c r="M101" s="338">
        <v>7.0000000000000007E-2</v>
      </c>
      <c r="N101" s="337" t="s">
        <v>19</v>
      </c>
    </row>
    <row r="102" spans="1:14" x14ac:dyDescent="0.25">
      <c r="A102" s="338">
        <v>608</v>
      </c>
      <c r="B102" s="338">
        <v>32</v>
      </c>
      <c r="C102" s="338">
        <v>14</v>
      </c>
      <c r="D102" s="335" t="s">
        <v>1013</v>
      </c>
      <c r="E102" s="338">
        <v>0</v>
      </c>
      <c r="F102" s="338">
        <v>0</v>
      </c>
      <c r="G102" s="338">
        <v>0</v>
      </c>
      <c r="H102" s="339">
        <v>45754.632916666669</v>
      </c>
      <c r="I102" s="338">
        <v>0.59</v>
      </c>
      <c r="J102" s="338">
        <v>52.58</v>
      </c>
      <c r="K102" s="338">
        <v>1</v>
      </c>
      <c r="L102" s="338">
        <v>0.59</v>
      </c>
      <c r="M102" s="338">
        <v>0.59</v>
      </c>
      <c r="N102" s="337" t="s">
        <v>19</v>
      </c>
    </row>
    <row r="103" spans="1:14" x14ac:dyDescent="0.25">
      <c r="A103" s="338">
        <v>491</v>
      </c>
      <c r="B103" s="338">
        <v>33</v>
      </c>
      <c r="C103" s="338">
        <v>15</v>
      </c>
      <c r="D103" s="335" t="s">
        <v>1013</v>
      </c>
      <c r="E103" s="338">
        <v>0</v>
      </c>
      <c r="F103" s="338">
        <v>0</v>
      </c>
      <c r="G103" s="338">
        <v>0</v>
      </c>
      <c r="H103" s="339">
        <v>45754.633842592593</v>
      </c>
      <c r="I103" s="338">
        <v>0.02</v>
      </c>
      <c r="J103" s="338">
        <v>19.600000000000001</v>
      </c>
      <c r="K103" s="338">
        <v>1</v>
      </c>
      <c r="L103" s="338">
        <v>0.02</v>
      </c>
      <c r="M103" s="335" t="s">
        <v>1045</v>
      </c>
      <c r="N103" s="337" t="s">
        <v>19</v>
      </c>
    </row>
    <row r="104" spans="1:14" x14ac:dyDescent="0.25">
      <c r="A104" s="338">
        <v>270</v>
      </c>
      <c r="B104" s="338">
        <v>34</v>
      </c>
      <c r="C104" s="338">
        <v>16</v>
      </c>
      <c r="D104" s="335" t="s">
        <v>1013</v>
      </c>
      <c r="E104" s="338">
        <v>0</v>
      </c>
      <c r="F104" s="338">
        <v>0</v>
      </c>
      <c r="G104" s="338">
        <v>0</v>
      </c>
      <c r="H104" s="339">
        <v>45754.634768518517</v>
      </c>
      <c r="I104" s="338">
        <v>0.02</v>
      </c>
      <c r="J104" s="338">
        <v>19.84</v>
      </c>
      <c r="K104" s="338">
        <v>1</v>
      </c>
      <c r="L104" s="338">
        <v>0.02</v>
      </c>
      <c r="M104" s="335" t="s">
        <v>1045</v>
      </c>
      <c r="N104" s="337" t="s">
        <v>19</v>
      </c>
    </row>
    <row r="105" spans="1:14" x14ac:dyDescent="0.25">
      <c r="A105" s="338">
        <v>530</v>
      </c>
      <c r="B105" s="338">
        <v>35</v>
      </c>
      <c r="C105" s="338">
        <v>17</v>
      </c>
      <c r="D105" s="335" t="s">
        <v>1013</v>
      </c>
      <c r="E105" s="338">
        <v>0</v>
      </c>
      <c r="F105" s="338">
        <v>0</v>
      </c>
      <c r="G105" s="338">
        <v>0</v>
      </c>
      <c r="H105" s="339">
        <v>45754.635694444441</v>
      </c>
      <c r="I105" s="338">
        <v>0.01</v>
      </c>
      <c r="J105" s="338">
        <v>18.829999999999998</v>
      </c>
      <c r="K105" s="338">
        <v>1</v>
      </c>
      <c r="L105" s="338">
        <v>0.01</v>
      </c>
      <c r="M105" s="335" t="s">
        <v>1045</v>
      </c>
      <c r="N105" s="337" t="s">
        <v>19</v>
      </c>
    </row>
    <row r="106" spans="1:14" x14ac:dyDescent="0.25">
      <c r="A106" s="338">
        <v>647</v>
      </c>
      <c r="B106" s="338">
        <v>36</v>
      </c>
      <c r="C106" s="338">
        <v>18</v>
      </c>
      <c r="D106" s="335" t="s">
        <v>1013</v>
      </c>
      <c r="E106" s="338">
        <v>0</v>
      </c>
      <c r="F106" s="338">
        <v>0</v>
      </c>
      <c r="G106" s="338">
        <v>0</v>
      </c>
      <c r="H106" s="339">
        <v>45754.636620370373</v>
      </c>
      <c r="I106" s="338">
        <v>0.03</v>
      </c>
      <c r="J106" s="338">
        <v>20.11</v>
      </c>
      <c r="K106" s="338">
        <v>1</v>
      </c>
      <c r="L106" s="338">
        <v>0.03</v>
      </c>
      <c r="M106" s="335" t="s">
        <v>1045</v>
      </c>
      <c r="N106" s="337" t="s">
        <v>19</v>
      </c>
    </row>
    <row r="107" spans="1:14" x14ac:dyDescent="0.25">
      <c r="A107" s="338">
        <v>296</v>
      </c>
      <c r="B107" s="338">
        <v>37</v>
      </c>
      <c r="C107" s="338">
        <v>19</v>
      </c>
      <c r="D107" s="335" t="s">
        <v>1013</v>
      </c>
      <c r="E107" s="338">
        <v>0</v>
      </c>
      <c r="F107" s="338">
        <v>0</v>
      </c>
      <c r="G107" s="338">
        <v>0</v>
      </c>
      <c r="H107" s="339">
        <v>45754.637546296297</v>
      </c>
      <c r="I107" s="338">
        <v>7.0000000000000007E-2</v>
      </c>
      <c r="J107" s="338">
        <v>22.34</v>
      </c>
      <c r="K107" s="338">
        <v>1</v>
      </c>
      <c r="L107" s="338">
        <v>7.0000000000000007E-2</v>
      </c>
      <c r="M107" s="338">
        <v>7.0000000000000007E-2</v>
      </c>
      <c r="N107" s="337" t="s">
        <v>19</v>
      </c>
    </row>
    <row r="108" spans="1:14" x14ac:dyDescent="0.25">
      <c r="A108" s="335" t="s">
        <v>1047</v>
      </c>
      <c r="B108" s="338">
        <v>38</v>
      </c>
      <c r="C108" s="338">
        <v>20</v>
      </c>
      <c r="D108" s="335" t="s">
        <v>1015</v>
      </c>
      <c r="E108" s="338">
        <v>0</v>
      </c>
      <c r="F108" s="338">
        <v>0</v>
      </c>
      <c r="G108" s="338">
        <v>1</v>
      </c>
      <c r="H108" s="339">
        <v>45754.638472222221</v>
      </c>
      <c r="I108" s="338">
        <v>1.07</v>
      </c>
      <c r="J108" s="338">
        <v>79.55</v>
      </c>
      <c r="K108" s="338">
        <v>1</v>
      </c>
      <c r="L108" s="338">
        <v>1.07</v>
      </c>
      <c r="M108" s="338">
        <v>1.07</v>
      </c>
      <c r="N108" s="337" t="s">
        <v>19</v>
      </c>
    </row>
    <row r="109" spans="1:14" x14ac:dyDescent="0.25">
      <c r="A109" s="335" t="s">
        <v>1039</v>
      </c>
      <c r="B109" s="338">
        <v>39</v>
      </c>
      <c r="C109" s="338">
        <v>907</v>
      </c>
      <c r="D109" s="335" t="s">
        <v>1017</v>
      </c>
      <c r="E109" s="338">
        <v>0</v>
      </c>
      <c r="F109" s="338">
        <v>0</v>
      </c>
      <c r="G109" s="338">
        <v>0</v>
      </c>
      <c r="H109" s="339">
        <v>45754.639398148145</v>
      </c>
      <c r="I109" s="338">
        <v>1.3</v>
      </c>
      <c r="J109" s="338">
        <v>92.77</v>
      </c>
      <c r="K109" s="338">
        <v>1</v>
      </c>
      <c r="L109" s="338">
        <v>1.3</v>
      </c>
      <c r="M109" s="338">
        <v>1.3</v>
      </c>
      <c r="N109" s="337" t="s">
        <v>19</v>
      </c>
    </row>
    <row r="110" spans="1:14" x14ac:dyDescent="0.25">
      <c r="A110" s="335" t="s">
        <v>1006</v>
      </c>
      <c r="B110" s="338">
        <v>40</v>
      </c>
      <c r="C110" s="338">
        <v>0</v>
      </c>
      <c r="D110" s="335" t="s">
        <v>1007</v>
      </c>
      <c r="E110" s="338">
        <v>0</v>
      </c>
      <c r="F110" s="338">
        <v>0</v>
      </c>
      <c r="G110" s="338">
        <v>0</v>
      </c>
      <c r="H110" s="339">
        <v>45754.640324074076</v>
      </c>
      <c r="I110" s="338">
        <v>-0.32</v>
      </c>
      <c r="J110" s="338">
        <v>0</v>
      </c>
      <c r="K110" s="338">
        <v>1</v>
      </c>
      <c r="L110" s="338">
        <v>-0.32</v>
      </c>
      <c r="M110" s="335" t="s">
        <v>1045</v>
      </c>
      <c r="N110" s="337" t="s">
        <v>19</v>
      </c>
    </row>
    <row r="111" spans="1:14" x14ac:dyDescent="0.25">
      <c r="A111" s="335" t="s">
        <v>24</v>
      </c>
      <c r="B111" s="338">
        <v>41</v>
      </c>
      <c r="C111" s="338">
        <v>905</v>
      </c>
      <c r="D111" s="335" t="s">
        <v>1013</v>
      </c>
      <c r="E111" s="338">
        <v>0</v>
      </c>
      <c r="F111" s="338">
        <v>0</v>
      </c>
      <c r="G111" s="338">
        <v>0</v>
      </c>
      <c r="H111" s="339">
        <v>45754.643101851849</v>
      </c>
      <c r="I111" s="338">
        <v>-0.09</v>
      </c>
      <c r="J111" s="338">
        <v>13.17</v>
      </c>
      <c r="K111" s="338">
        <v>1</v>
      </c>
      <c r="L111" s="338">
        <v>-0.09</v>
      </c>
      <c r="M111" s="335" t="s">
        <v>1045</v>
      </c>
      <c r="N111" s="337" t="s">
        <v>19</v>
      </c>
    </row>
    <row r="112" spans="1:14" x14ac:dyDescent="0.25">
      <c r="A112" s="335" t="s">
        <v>24</v>
      </c>
      <c r="B112" s="338">
        <v>42</v>
      </c>
      <c r="C112" s="338">
        <v>905</v>
      </c>
      <c r="D112" s="335" t="s">
        <v>1013</v>
      </c>
      <c r="E112" s="338">
        <v>0</v>
      </c>
      <c r="F112" s="338">
        <v>0</v>
      </c>
      <c r="G112" s="338">
        <v>0</v>
      </c>
      <c r="H112" s="339">
        <v>45754.64402777778</v>
      </c>
      <c r="I112" s="338">
        <v>-0.11</v>
      </c>
      <c r="J112" s="338">
        <v>11.86</v>
      </c>
      <c r="K112" s="338">
        <v>1</v>
      </c>
      <c r="L112" s="338">
        <v>-0.11</v>
      </c>
      <c r="M112" s="335" t="s">
        <v>1045</v>
      </c>
      <c r="N112" s="337" t="s">
        <v>19</v>
      </c>
    </row>
    <row r="113" spans="1:14" x14ac:dyDescent="0.25">
      <c r="A113" s="335" t="s">
        <v>24</v>
      </c>
      <c r="B113" s="338">
        <v>43</v>
      </c>
      <c r="C113" s="338">
        <v>905</v>
      </c>
      <c r="D113" s="335" t="s">
        <v>1013</v>
      </c>
      <c r="E113" s="338">
        <v>0</v>
      </c>
      <c r="F113" s="338">
        <v>0</v>
      </c>
      <c r="G113" s="338">
        <v>0</v>
      </c>
      <c r="H113" s="339">
        <v>45754.644953703704</v>
      </c>
      <c r="I113" s="338">
        <v>-0.12</v>
      </c>
      <c r="J113" s="338">
        <v>11.61</v>
      </c>
      <c r="K113" s="338">
        <v>1</v>
      </c>
      <c r="L113" s="338">
        <v>-0.12</v>
      </c>
      <c r="M113" s="335" t="s">
        <v>1045</v>
      </c>
      <c r="N113" s="337" t="s">
        <v>19</v>
      </c>
    </row>
    <row r="114" spans="1:14" x14ac:dyDescent="0.25">
      <c r="A114" s="335" t="s">
        <v>24</v>
      </c>
      <c r="B114" s="338">
        <v>44</v>
      </c>
      <c r="C114" s="338">
        <v>905</v>
      </c>
      <c r="D114" s="335" t="s">
        <v>1013</v>
      </c>
      <c r="E114" s="338">
        <v>0</v>
      </c>
      <c r="F114" s="338">
        <v>0</v>
      </c>
      <c r="G114" s="338">
        <v>0</v>
      </c>
      <c r="H114" s="339">
        <v>45754.645879629628</v>
      </c>
      <c r="I114" s="338">
        <v>-0.11</v>
      </c>
      <c r="J114" s="338">
        <v>12.01</v>
      </c>
      <c r="K114" s="338">
        <v>1</v>
      </c>
      <c r="L114" s="338">
        <v>-0.11</v>
      </c>
      <c r="M114" s="335" t="s">
        <v>1045</v>
      </c>
      <c r="N114" s="337" t="s">
        <v>19</v>
      </c>
    </row>
    <row r="115" spans="1:14" x14ac:dyDescent="0.25">
      <c r="A115" s="335" t="s">
        <v>24</v>
      </c>
      <c r="B115" s="338">
        <v>45</v>
      </c>
      <c r="C115" s="338">
        <v>905</v>
      </c>
      <c r="D115" s="335" t="s">
        <v>1013</v>
      </c>
      <c r="E115" s="338">
        <v>0</v>
      </c>
      <c r="F115" s="338">
        <v>0</v>
      </c>
      <c r="G115" s="338">
        <v>0</v>
      </c>
      <c r="H115" s="339">
        <v>45754.646805555552</v>
      </c>
      <c r="I115" s="338">
        <v>-0.09</v>
      </c>
      <c r="J115" s="338">
        <v>13.26</v>
      </c>
      <c r="K115" s="338">
        <v>1</v>
      </c>
      <c r="L115" s="338">
        <v>-0.09</v>
      </c>
      <c r="M115" s="335" t="s">
        <v>1045</v>
      </c>
      <c r="N115" s="337" t="s">
        <v>19</v>
      </c>
    </row>
    <row r="116" spans="1:14" x14ac:dyDescent="0.25">
      <c r="A116" s="335" t="s">
        <v>24</v>
      </c>
      <c r="B116" s="338">
        <v>46</v>
      </c>
      <c r="C116" s="338">
        <v>905</v>
      </c>
      <c r="D116" s="335" t="s">
        <v>1013</v>
      </c>
      <c r="E116" s="338">
        <v>0</v>
      </c>
      <c r="F116" s="338">
        <v>0</v>
      </c>
      <c r="G116" s="338">
        <v>0</v>
      </c>
      <c r="H116" s="339">
        <v>45754.647731481484</v>
      </c>
      <c r="I116" s="338">
        <v>-0.09</v>
      </c>
      <c r="J116" s="338">
        <v>13.5</v>
      </c>
      <c r="K116" s="338">
        <v>1</v>
      </c>
      <c r="L116" s="338">
        <v>-0.09</v>
      </c>
      <c r="M116" s="335" t="s">
        <v>1045</v>
      </c>
      <c r="N116" s="337" t="s">
        <v>19</v>
      </c>
    </row>
    <row r="117" spans="1:14" x14ac:dyDescent="0.25">
      <c r="A117" s="335" t="s">
        <v>24</v>
      </c>
      <c r="B117" s="338">
        <v>47</v>
      </c>
      <c r="C117" s="338">
        <v>905</v>
      </c>
      <c r="D117" s="335" t="s">
        <v>1013</v>
      </c>
      <c r="E117" s="338">
        <v>0</v>
      </c>
      <c r="F117" s="338">
        <v>0</v>
      </c>
      <c r="G117" s="338">
        <v>0</v>
      </c>
      <c r="H117" s="339">
        <v>45754.648657407408</v>
      </c>
      <c r="I117" s="338">
        <v>-0.12</v>
      </c>
      <c r="J117" s="338">
        <v>11.54</v>
      </c>
      <c r="K117" s="338">
        <v>1</v>
      </c>
      <c r="L117" s="338">
        <v>-0.12</v>
      </c>
      <c r="M117" s="335" t="s">
        <v>1045</v>
      </c>
      <c r="N117" s="337" t="s">
        <v>19</v>
      </c>
    </row>
    <row r="118" spans="1:14" x14ac:dyDescent="0.25">
      <c r="A118" s="335" t="s">
        <v>24</v>
      </c>
      <c r="B118" s="338">
        <v>48</v>
      </c>
      <c r="C118" s="338">
        <v>905</v>
      </c>
      <c r="D118" s="335" t="s">
        <v>1013</v>
      </c>
      <c r="E118" s="338">
        <v>0</v>
      </c>
      <c r="F118" s="338">
        <v>0</v>
      </c>
      <c r="G118" s="338">
        <v>0</v>
      </c>
      <c r="H118" s="339">
        <v>45754.649583333332</v>
      </c>
      <c r="I118" s="338">
        <v>-7.0000000000000007E-2</v>
      </c>
      <c r="J118" s="338">
        <v>14.16</v>
      </c>
      <c r="K118" s="338">
        <v>1</v>
      </c>
      <c r="L118" s="338">
        <v>-7.0000000000000007E-2</v>
      </c>
      <c r="M118" s="335" t="s">
        <v>1045</v>
      </c>
      <c r="N118" s="337" t="s">
        <v>19</v>
      </c>
    </row>
    <row r="119" spans="1:14" x14ac:dyDescent="0.25">
      <c r="A119" s="335" t="s">
        <v>24</v>
      </c>
      <c r="B119" s="338">
        <v>49</v>
      </c>
      <c r="C119" s="338">
        <v>905</v>
      </c>
      <c r="D119" s="335" t="s">
        <v>1013</v>
      </c>
      <c r="E119" s="338">
        <v>0</v>
      </c>
      <c r="F119" s="338">
        <v>0</v>
      </c>
      <c r="G119" s="338">
        <v>0</v>
      </c>
      <c r="H119" s="339">
        <v>45754.650509259256</v>
      </c>
      <c r="I119" s="338">
        <v>-7.0000000000000007E-2</v>
      </c>
      <c r="J119" s="338">
        <v>14.49</v>
      </c>
      <c r="K119" s="338">
        <v>1</v>
      </c>
      <c r="L119" s="338">
        <v>-7.0000000000000007E-2</v>
      </c>
      <c r="M119" s="335" t="s">
        <v>1045</v>
      </c>
      <c r="N119" s="337" t="s">
        <v>19</v>
      </c>
    </row>
    <row r="120" spans="1:14" x14ac:dyDescent="0.25">
      <c r="A120" s="335" t="s">
        <v>24</v>
      </c>
      <c r="B120" s="338">
        <v>50</v>
      </c>
      <c r="C120" s="338">
        <v>905</v>
      </c>
      <c r="D120" s="335" t="s">
        <v>1013</v>
      </c>
      <c r="E120" s="338">
        <v>0</v>
      </c>
      <c r="F120" s="338">
        <v>0</v>
      </c>
      <c r="G120" s="338">
        <v>0</v>
      </c>
      <c r="H120" s="339">
        <v>45754.651435185187</v>
      </c>
      <c r="I120" s="338">
        <v>-7.0000000000000007E-2</v>
      </c>
      <c r="J120" s="338">
        <v>14.7</v>
      </c>
      <c r="K120" s="338">
        <v>1</v>
      </c>
      <c r="L120" s="338">
        <v>-7.0000000000000007E-2</v>
      </c>
      <c r="M120" s="335" t="s">
        <v>1045</v>
      </c>
      <c r="N120" s="337" t="s">
        <v>19</v>
      </c>
    </row>
    <row r="121" spans="1:14" x14ac:dyDescent="0.25">
      <c r="A121" s="335" t="s">
        <v>1014</v>
      </c>
      <c r="B121" s="338">
        <v>51</v>
      </c>
      <c r="C121" s="338">
        <v>906</v>
      </c>
      <c r="D121" s="335" t="s">
        <v>1015</v>
      </c>
      <c r="E121" s="338">
        <v>0</v>
      </c>
      <c r="F121" s="338">
        <v>0</v>
      </c>
      <c r="G121" s="338">
        <v>1</v>
      </c>
      <c r="H121" s="339">
        <v>45754.652361111112</v>
      </c>
      <c r="I121" s="338">
        <v>0.92</v>
      </c>
      <c r="J121" s="338">
        <v>71.459999999999994</v>
      </c>
      <c r="K121" s="338">
        <v>1</v>
      </c>
      <c r="L121" s="338">
        <v>0.92</v>
      </c>
      <c r="M121" s="338">
        <v>0.92</v>
      </c>
      <c r="N121" s="337" t="s">
        <v>19</v>
      </c>
    </row>
    <row r="122" spans="1:14" x14ac:dyDescent="0.25">
      <c r="A122" s="335" t="s">
        <v>1039</v>
      </c>
      <c r="B122" s="338">
        <v>52</v>
      </c>
      <c r="C122" s="338">
        <v>907</v>
      </c>
      <c r="D122" s="335" t="s">
        <v>1017</v>
      </c>
      <c r="E122" s="338">
        <v>0</v>
      </c>
      <c r="F122" s="338">
        <v>0</v>
      </c>
      <c r="G122" s="338">
        <v>0</v>
      </c>
      <c r="H122" s="339">
        <v>45754.653287037036</v>
      </c>
      <c r="I122" s="338">
        <v>1.38</v>
      </c>
      <c r="J122" s="338">
        <v>97.6</v>
      </c>
      <c r="K122" s="338">
        <v>1</v>
      </c>
      <c r="L122" s="338">
        <v>1.38</v>
      </c>
      <c r="M122" s="338">
        <v>1.38</v>
      </c>
      <c r="N122" s="337" t="s">
        <v>19</v>
      </c>
    </row>
    <row r="123" spans="1:14" x14ac:dyDescent="0.25">
      <c r="A123" s="335" t="s">
        <v>1006</v>
      </c>
      <c r="B123" s="338">
        <v>53</v>
      </c>
      <c r="C123" s="338">
        <v>0</v>
      </c>
      <c r="D123" s="335" t="s">
        <v>1007</v>
      </c>
      <c r="E123" s="338">
        <v>0</v>
      </c>
      <c r="F123" s="338">
        <v>0</v>
      </c>
      <c r="G123" s="338">
        <v>0</v>
      </c>
      <c r="H123" s="339">
        <v>45754.65421296296</v>
      </c>
      <c r="I123" s="338">
        <v>-0.32</v>
      </c>
      <c r="J123" s="338">
        <v>0</v>
      </c>
      <c r="K123" s="338">
        <v>1</v>
      </c>
      <c r="L123" s="338">
        <v>-0.32</v>
      </c>
      <c r="M123" s="335" t="s">
        <v>1045</v>
      </c>
      <c r="N123" s="337" t="s">
        <v>19</v>
      </c>
    </row>
    <row r="124" spans="1:14" x14ac:dyDescent="0.25">
      <c r="A124" s="335" t="s">
        <v>1002</v>
      </c>
      <c r="B124" s="338">
        <v>54</v>
      </c>
      <c r="C124" s="338">
        <v>921</v>
      </c>
      <c r="D124" s="335" t="s">
        <v>1003</v>
      </c>
      <c r="E124" s="338">
        <v>0</v>
      </c>
      <c r="F124" s="338">
        <v>0</v>
      </c>
      <c r="G124" s="338">
        <v>0</v>
      </c>
      <c r="H124" s="339">
        <v>45754.656990740739</v>
      </c>
      <c r="I124" s="338">
        <v>2.2999999999999998</v>
      </c>
      <c r="J124" s="338">
        <v>150.19</v>
      </c>
      <c r="K124" s="338">
        <v>1</v>
      </c>
      <c r="L124" s="338">
        <v>2.2999999999999998</v>
      </c>
      <c r="M124" s="338">
        <v>2.2999999999999998</v>
      </c>
      <c r="N124" s="337" t="s">
        <v>19</v>
      </c>
    </row>
    <row r="125" spans="1:14" x14ac:dyDescent="0.25">
      <c r="A125" s="335" t="s">
        <v>1020</v>
      </c>
      <c r="B125" s="338">
        <v>55</v>
      </c>
      <c r="C125" s="338">
        <v>0</v>
      </c>
      <c r="D125" s="335" t="s">
        <v>1021</v>
      </c>
      <c r="E125" s="338">
        <v>0</v>
      </c>
      <c r="F125" s="338">
        <v>0</v>
      </c>
      <c r="G125" s="338">
        <v>0</v>
      </c>
      <c r="H125" s="339">
        <v>45754.657916666663</v>
      </c>
      <c r="I125" s="338">
        <v>-0.32</v>
      </c>
      <c r="J125" s="338">
        <v>0</v>
      </c>
      <c r="K125" s="338">
        <v>1</v>
      </c>
      <c r="L125" s="338">
        <v>-0.32</v>
      </c>
      <c r="M125" s="335" t="s">
        <v>1045</v>
      </c>
      <c r="N125" s="337" t="s">
        <v>19</v>
      </c>
    </row>
    <row r="126" spans="1:14" x14ac:dyDescent="0.25">
      <c r="A126" s="335" t="s">
        <v>1000</v>
      </c>
      <c r="B126" s="338">
        <v>1</v>
      </c>
      <c r="C126" s="338">
        <v>921</v>
      </c>
      <c r="D126" s="335" t="s">
        <v>1001</v>
      </c>
      <c r="E126" s="338">
        <v>0</v>
      </c>
      <c r="F126" s="338">
        <v>0</v>
      </c>
      <c r="G126" s="338">
        <v>0</v>
      </c>
      <c r="H126" s="339">
        <v>45757.616168981483</v>
      </c>
      <c r="I126" s="338">
        <v>2.71</v>
      </c>
      <c r="J126" s="338">
        <v>181.15</v>
      </c>
      <c r="K126" s="338">
        <v>1</v>
      </c>
      <c r="L126" s="338">
        <v>2.71</v>
      </c>
      <c r="M126" s="338">
        <v>2.71</v>
      </c>
      <c r="N126" s="337" t="s">
        <v>19</v>
      </c>
    </row>
    <row r="127" spans="1:14" x14ac:dyDescent="0.25">
      <c r="A127" s="335" t="s">
        <v>1002</v>
      </c>
      <c r="B127" s="338">
        <v>2</v>
      </c>
      <c r="C127" s="338">
        <v>921</v>
      </c>
      <c r="D127" s="335" t="s">
        <v>1003</v>
      </c>
      <c r="E127" s="338">
        <v>0</v>
      </c>
      <c r="F127" s="338">
        <v>0</v>
      </c>
      <c r="G127" s="338">
        <v>0</v>
      </c>
      <c r="H127" s="339">
        <v>45757.617094907408</v>
      </c>
      <c r="I127" s="338">
        <v>2.5</v>
      </c>
      <c r="J127" s="338">
        <v>169.51</v>
      </c>
      <c r="K127" s="338">
        <v>1</v>
      </c>
      <c r="L127" s="338">
        <v>2.5</v>
      </c>
      <c r="M127" s="338">
        <v>2.5</v>
      </c>
      <c r="N127" s="337" t="s">
        <v>19</v>
      </c>
    </row>
    <row r="128" spans="1:14" x14ac:dyDescent="0.25">
      <c r="A128" s="338">
        <v>2.2200000000000002</v>
      </c>
      <c r="B128" s="338">
        <v>3</v>
      </c>
      <c r="C128" s="338">
        <v>921</v>
      </c>
      <c r="D128" s="335" t="s">
        <v>1004</v>
      </c>
      <c r="E128" s="338">
        <v>0</v>
      </c>
      <c r="F128" s="338">
        <v>0</v>
      </c>
      <c r="G128" s="338">
        <v>0</v>
      </c>
      <c r="H128" s="339">
        <v>45757.618020833332</v>
      </c>
      <c r="I128" s="338">
        <v>2.3199999999999998</v>
      </c>
      <c r="J128" s="338">
        <v>159.18</v>
      </c>
      <c r="K128" s="338">
        <v>1</v>
      </c>
      <c r="L128" s="338">
        <v>2.3199999999999998</v>
      </c>
      <c r="M128" s="338">
        <v>2.3199999999999998</v>
      </c>
      <c r="N128" s="337" t="s">
        <v>19</v>
      </c>
    </row>
    <row r="129" spans="1:14" x14ac:dyDescent="0.25">
      <c r="A129" s="338">
        <v>1.66</v>
      </c>
      <c r="B129" s="338">
        <v>4</v>
      </c>
      <c r="C129" s="338">
        <v>901</v>
      </c>
      <c r="D129" s="335" t="s">
        <v>1004</v>
      </c>
      <c r="E129" s="338">
        <v>0</v>
      </c>
      <c r="F129" s="338">
        <v>0</v>
      </c>
      <c r="G129" s="338">
        <v>0</v>
      </c>
      <c r="H129" s="339">
        <v>45757.618946759256</v>
      </c>
      <c r="I129" s="338">
        <v>1.58</v>
      </c>
      <c r="J129" s="338">
        <v>118.29</v>
      </c>
      <c r="K129" s="338">
        <v>1</v>
      </c>
      <c r="L129" s="338">
        <v>1.58</v>
      </c>
      <c r="M129" s="338">
        <v>1.58</v>
      </c>
      <c r="N129" s="337" t="s">
        <v>19</v>
      </c>
    </row>
    <row r="130" spans="1:14" x14ac:dyDescent="0.25">
      <c r="A130" s="338">
        <v>1.1100000000000001</v>
      </c>
      <c r="B130" s="338">
        <v>5</v>
      </c>
      <c r="C130" s="338">
        <v>902</v>
      </c>
      <c r="D130" s="335" t="s">
        <v>1004</v>
      </c>
      <c r="E130" s="338">
        <v>0</v>
      </c>
      <c r="F130" s="338">
        <v>0</v>
      </c>
      <c r="G130" s="338">
        <v>0</v>
      </c>
      <c r="H130" s="339">
        <v>45757.619872685187</v>
      </c>
      <c r="I130" s="338">
        <v>1.03</v>
      </c>
      <c r="J130" s="338">
        <v>87.5</v>
      </c>
      <c r="K130" s="338">
        <v>1</v>
      </c>
      <c r="L130" s="338">
        <v>1.03</v>
      </c>
      <c r="M130" s="338">
        <v>1.03</v>
      </c>
      <c r="N130" s="337" t="s">
        <v>19</v>
      </c>
    </row>
    <row r="131" spans="1:14" x14ac:dyDescent="0.25">
      <c r="A131" s="335"/>
      <c r="B131" s="338">
        <v>6</v>
      </c>
      <c r="C131" s="338">
        <v>0</v>
      </c>
      <c r="D131" s="335" t="s">
        <v>1044</v>
      </c>
      <c r="E131" s="338">
        <v>0</v>
      </c>
      <c r="F131" s="338">
        <v>0</v>
      </c>
      <c r="G131" s="338">
        <v>0</v>
      </c>
      <c r="H131" s="339">
        <v>45757.620798611111</v>
      </c>
      <c r="I131" s="338">
        <v>0.85</v>
      </c>
      <c r="J131" s="338">
        <v>77.540000000000006</v>
      </c>
      <c r="K131" s="338">
        <v>1</v>
      </c>
      <c r="L131" s="338">
        <v>0.85</v>
      </c>
      <c r="M131" s="338">
        <v>0.85</v>
      </c>
      <c r="N131" s="337" t="s">
        <v>19</v>
      </c>
    </row>
    <row r="132" spans="1:14" x14ac:dyDescent="0.25">
      <c r="A132" s="338">
        <v>0.22</v>
      </c>
      <c r="B132" s="338">
        <v>7</v>
      </c>
      <c r="C132" s="338">
        <v>904</v>
      </c>
      <c r="D132" s="335" t="s">
        <v>1004</v>
      </c>
      <c r="E132" s="338">
        <v>0</v>
      </c>
      <c r="F132" s="338">
        <v>0</v>
      </c>
      <c r="G132" s="338">
        <v>0</v>
      </c>
      <c r="H132" s="339">
        <v>45757.621724537035</v>
      </c>
      <c r="I132" s="338">
        <v>0.26</v>
      </c>
      <c r="J132" s="338">
        <v>45.13</v>
      </c>
      <c r="K132" s="338">
        <v>1</v>
      </c>
      <c r="L132" s="338">
        <v>0.26</v>
      </c>
      <c r="M132" s="338">
        <v>0.26</v>
      </c>
      <c r="N132" s="337" t="s">
        <v>19</v>
      </c>
    </row>
    <row r="133" spans="1:14" x14ac:dyDescent="0.25">
      <c r="A133" s="335" t="s">
        <v>24</v>
      </c>
      <c r="B133" s="338">
        <v>8</v>
      </c>
      <c r="C133" s="338">
        <v>905</v>
      </c>
      <c r="D133" s="335" t="s">
        <v>1004</v>
      </c>
      <c r="E133" s="338">
        <v>0</v>
      </c>
      <c r="F133" s="338">
        <v>0</v>
      </c>
      <c r="G133" s="338">
        <v>0</v>
      </c>
      <c r="H133" s="339">
        <v>45757.622650462959</v>
      </c>
      <c r="I133" s="338">
        <v>0.02</v>
      </c>
      <c r="J133" s="338">
        <v>31.76</v>
      </c>
      <c r="K133" s="338">
        <v>1</v>
      </c>
      <c r="L133" s="338">
        <v>0.02</v>
      </c>
      <c r="M133" s="335" t="s">
        <v>1048</v>
      </c>
      <c r="N133" s="337" t="s">
        <v>19</v>
      </c>
    </row>
    <row r="134" spans="1:14" x14ac:dyDescent="0.25">
      <c r="A134" s="335" t="s">
        <v>1006</v>
      </c>
      <c r="B134" s="338">
        <v>9</v>
      </c>
      <c r="C134" s="338">
        <v>0</v>
      </c>
      <c r="D134" s="335" t="s">
        <v>1007</v>
      </c>
      <c r="E134" s="338">
        <v>0</v>
      </c>
      <c r="F134" s="338">
        <v>0</v>
      </c>
      <c r="G134" s="338">
        <v>0</v>
      </c>
      <c r="H134" s="339">
        <v>45757.623576388891</v>
      </c>
      <c r="I134" s="338">
        <v>-0.55000000000000004</v>
      </c>
      <c r="J134" s="338">
        <v>0</v>
      </c>
      <c r="K134" s="338">
        <v>1</v>
      </c>
      <c r="L134" s="338">
        <v>-0.55000000000000004</v>
      </c>
      <c r="M134" s="335" t="s">
        <v>1048</v>
      </c>
      <c r="N134" s="337" t="s">
        <v>19</v>
      </c>
    </row>
    <row r="135" spans="1:14" x14ac:dyDescent="0.25">
      <c r="A135" s="335" t="s">
        <v>1009</v>
      </c>
      <c r="B135" s="338">
        <v>10</v>
      </c>
      <c r="C135" s="338">
        <v>921</v>
      </c>
      <c r="D135" s="335" t="s">
        <v>1010</v>
      </c>
      <c r="E135" s="338">
        <v>0</v>
      </c>
      <c r="F135" s="338">
        <v>1</v>
      </c>
      <c r="G135" s="338">
        <v>1</v>
      </c>
      <c r="H135" s="339">
        <v>45757.626354166663</v>
      </c>
      <c r="I135" s="338">
        <v>2.34</v>
      </c>
      <c r="J135" s="338">
        <v>160.61000000000001</v>
      </c>
      <c r="K135" s="338">
        <v>1</v>
      </c>
      <c r="L135" s="338">
        <v>2.34</v>
      </c>
      <c r="M135" s="338">
        <v>2.34</v>
      </c>
      <c r="N135" s="337" t="s">
        <v>19</v>
      </c>
    </row>
    <row r="136" spans="1:14" x14ac:dyDescent="0.25">
      <c r="A136" s="335" t="s">
        <v>1011</v>
      </c>
      <c r="B136" s="338">
        <v>11</v>
      </c>
      <c r="C136" s="338">
        <v>904</v>
      </c>
      <c r="D136" s="335" t="s">
        <v>1012</v>
      </c>
      <c r="E136" s="338">
        <v>0</v>
      </c>
      <c r="F136" s="338">
        <v>1</v>
      </c>
      <c r="G136" s="338">
        <v>2</v>
      </c>
      <c r="H136" s="339">
        <v>45757.627280092594</v>
      </c>
      <c r="I136" s="338">
        <v>0.51</v>
      </c>
      <c r="J136" s="338">
        <v>59.07</v>
      </c>
      <c r="K136" s="338">
        <v>1</v>
      </c>
      <c r="L136" s="338">
        <v>0.51</v>
      </c>
      <c r="M136" s="338">
        <v>0.51</v>
      </c>
      <c r="N136" s="337" t="s">
        <v>19</v>
      </c>
    </row>
    <row r="137" spans="1:14" x14ac:dyDescent="0.25">
      <c r="A137" s="335" t="s">
        <v>1011</v>
      </c>
      <c r="B137" s="338">
        <v>12</v>
      </c>
      <c r="C137" s="338">
        <v>904</v>
      </c>
      <c r="D137" s="335" t="s">
        <v>1012</v>
      </c>
      <c r="E137" s="338">
        <v>0</v>
      </c>
      <c r="F137" s="338">
        <v>1</v>
      </c>
      <c r="G137" s="338">
        <v>3</v>
      </c>
      <c r="H137" s="339">
        <v>45757.628206018519</v>
      </c>
      <c r="I137" s="338">
        <v>0.53</v>
      </c>
      <c r="J137" s="338">
        <v>59.74</v>
      </c>
      <c r="K137" s="338">
        <v>1</v>
      </c>
      <c r="L137" s="338">
        <v>0.53</v>
      </c>
      <c r="M137" s="338">
        <v>0.53</v>
      </c>
      <c r="N137" s="337" t="s">
        <v>19</v>
      </c>
    </row>
    <row r="138" spans="1:14" x14ac:dyDescent="0.25">
      <c r="A138" s="335" t="s">
        <v>24</v>
      </c>
      <c r="B138" s="338">
        <v>13</v>
      </c>
      <c r="C138" s="338">
        <v>905</v>
      </c>
      <c r="D138" s="335" t="s">
        <v>1013</v>
      </c>
      <c r="E138" s="338">
        <v>0</v>
      </c>
      <c r="F138" s="338">
        <v>0</v>
      </c>
      <c r="G138" s="338">
        <v>1</v>
      </c>
      <c r="H138" s="339">
        <v>45757.629131944443</v>
      </c>
      <c r="I138" s="338">
        <v>0.13</v>
      </c>
      <c r="J138" s="338">
        <v>37.64</v>
      </c>
      <c r="K138" s="338">
        <v>1</v>
      </c>
      <c r="L138" s="338">
        <v>0.13</v>
      </c>
      <c r="M138" s="335" t="s">
        <v>1048</v>
      </c>
      <c r="N138" s="337" t="s">
        <v>19</v>
      </c>
    </row>
    <row r="139" spans="1:14" x14ac:dyDescent="0.25">
      <c r="A139" s="335" t="s">
        <v>1038</v>
      </c>
      <c r="B139" s="338">
        <v>14</v>
      </c>
      <c r="C139" s="338">
        <v>906</v>
      </c>
      <c r="D139" s="335" t="s">
        <v>1015</v>
      </c>
      <c r="E139" s="338">
        <v>0</v>
      </c>
      <c r="F139" s="338">
        <v>0</v>
      </c>
      <c r="G139" s="338">
        <v>2</v>
      </c>
      <c r="H139" s="339">
        <v>45757.630057870374</v>
      </c>
      <c r="I139" s="338">
        <v>1.03</v>
      </c>
      <c r="J139" s="338">
        <v>87.53</v>
      </c>
      <c r="K139" s="338">
        <v>1</v>
      </c>
      <c r="L139" s="338">
        <v>1.03</v>
      </c>
      <c r="M139" s="338">
        <v>1.03</v>
      </c>
      <c r="N139" s="337" t="s">
        <v>19</v>
      </c>
    </row>
    <row r="140" spans="1:14" x14ac:dyDescent="0.25">
      <c r="A140" s="335" t="s">
        <v>1039</v>
      </c>
      <c r="B140" s="338">
        <v>15</v>
      </c>
      <c r="C140" s="338">
        <v>907</v>
      </c>
      <c r="D140" s="335" t="s">
        <v>1017</v>
      </c>
      <c r="E140" s="338">
        <v>0</v>
      </c>
      <c r="F140" s="338">
        <v>0</v>
      </c>
      <c r="G140" s="338">
        <v>0</v>
      </c>
      <c r="H140" s="339">
        <v>45757.630983796298</v>
      </c>
      <c r="I140" s="338">
        <v>1.42</v>
      </c>
      <c r="J140" s="338">
        <v>109.63</v>
      </c>
      <c r="K140" s="338">
        <v>1</v>
      </c>
      <c r="L140" s="338">
        <v>1.42</v>
      </c>
      <c r="M140" s="338">
        <v>1.42</v>
      </c>
      <c r="N140" s="337" t="s">
        <v>19</v>
      </c>
    </row>
    <row r="141" spans="1:14" x14ac:dyDescent="0.25">
      <c r="A141" s="335" t="s">
        <v>1006</v>
      </c>
      <c r="B141" s="338">
        <v>16</v>
      </c>
      <c r="C141" s="338">
        <v>0</v>
      </c>
      <c r="D141" s="335" t="s">
        <v>1007</v>
      </c>
      <c r="E141" s="338">
        <v>0</v>
      </c>
      <c r="F141" s="338">
        <v>0</v>
      </c>
      <c r="G141" s="338">
        <v>0</v>
      </c>
      <c r="H141" s="339">
        <v>45757.631909722222</v>
      </c>
      <c r="I141" s="338">
        <v>-0.55000000000000004</v>
      </c>
      <c r="J141" s="338">
        <v>0</v>
      </c>
      <c r="K141" s="338">
        <v>1</v>
      </c>
      <c r="L141" s="338">
        <v>-0.55000000000000004</v>
      </c>
      <c r="M141" s="335" t="s">
        <v>1048</v>
      </c>
      <c r="N141" s="337" t="s">
        <v>19</v>
      </c>
    </row>
    <row r="142" spans="1:14" x14ac:dyDescent="0.25">
      <c r="A142" s="338">
        <v>452</v>
      </c>
      <c r="B142" s="338">
        <v>17</v>
      </c>
      <c r="C142" s="338">
        <v>1</v>
      </c>
      <c r="D142" s="335" t="s">
        <v>1013</v>
      </c>
      <c r="E142" s="338">
        <v>0</v>
      </c>
      <c r="F142" s="338">
        <v>0</v>
      </c>
      <c r="G142" s="338">
        <v>0</v>
      </c>
      <c r="H142" s="339">
        <v>45757.634687500002</v>
      </c>
      <c r="I142" s="338">
        <v>0.13</v>
      </c>
      <c r="J142" s="338">
        <v>37.81</v>
      </c>
      <c r="K142" s="338">
        <v>1</v>
      </c>
      <c r="L142" s="338">
        <v>0.13</v>
      </c>
      <c r="M142" s="335" t="s">
        <v>1048</v>
      </c>
      <c r="N142" s="337" t="s">
        <v>19</v>
      </c>
    </row>
    <row r="143" spans="1:14" x14ac:dyDescent="0.25">
      <c r="A143" s="338">
        <v>699</v>
      </c>
      <c r="B143" s="338">
        <v>18</v>
      </c>
      <c r="C143" s="338">
        <v>2</v>
      </c>
      <c r="D143" s="335" t="s">
        <v>1013</v>
      </c>
      <c r="E143" s="338">
        <v>0</v>
      </c>
      <c r="F143" s="338">
        <v>0</v>
      </c>
      <c r="G143" s="338">
        <v>0</v>
      </c>
      <c r="H143" s="339">
        <v>45757.635613425926</v>
      </c>
      <c r="I143" s="338">
        <v>0.41</v>
      </c>
      <c r="J143" s="338">
        <v>53.18</v>
      </c>
      <c r="K143" s="338">
        <v>1</v>
      </c>
      <c r="L143" s="338">
        <v>0.41</v>
      </c>
      <c r="M143" s="338">
        <v>0.41</v>
      </c>
      <c r="N143" s="337" t="s">
        <v>19</v>
      </c>
    </row>
    <row r="144" spans="1:14" x14ac:dyDescent="0.25">
      <c r="A144" s="338">
        <v>712</v>
      </c>
      <c r="B144" s="338">
        <v>19</v>
      </c>
      <c r="C144" s="338">
        <v>3</v>
      </c>
      <c r="D144" s="335" t="s">
        <v>1013</v>
      </c>
      <c r="E144" s="338">
        <v>0</v>
      </c>
      <c r="F144" s="338">
        <v>0</v>
      </c>
      <c r="G144" s="338">
        <v>0</v>
      </c>
      <c r="H144" s="339">
        <v>45757.63653935185</v>
      </c>
      <c r="I144" s="338">
        <v>0.45</v>
      </c>
      <c r="J144" s="338">
        <v>55.52</v>
      </c>
      <c r="K144" s="338">
        <v>1</v>
      </c>
      <c r="L144" s="338">
        <v>0.45</v>
      </c>
      <c r="M144" s="338">
        <v>0.45</v>
      </c>
      <c r="N144" s="337" t="s">
        <v>19</v>
      </c>
    </row>
    <row r="145" spans="1:14" x14ac:dyDescent="0.25">
      <c r="A145" s="338">
        <v>725</v>
      </c>
      <c r="B145" s="338">
        <v>20</v>
      </c>
      <c r="C145" s="338">
        <v>4</v>
      </c>
      <c r="D145" s="335" t="s">
        <v>1013</v>
      </c>
      <c r="E145" s="338">
        <v>0</v>
      </c>
      <c r="F145" s="338">
        <v>0</v>
      </c>
      <c r="G145" s="338">
        <v>0</v>
      </c>
      <c r="H145" s="339">
        <v>45757.637465277781</v>
      </c>
      <c r="I145" s="338">
        <v>0.35</v>
      </c>
      <c r="J145" s="338">
        <v>49.85</v>
      </c>
      <c r="K145" s="338">
        <v>1</v>
      </c>
      <c r="L145" s="338">
        <v>0.35</v>
      </c>
      <c r="M145" s="338">
        <v>0.35</v>
      </c>
      <c r="N145" s="337" t="s">
        <v>19</v>
      </c>
    </row>
    <row r="146" spans="1:14" x14ac:dyDescent="0.25">
      <c r="A146" s="335" t="s">
        <v>1049</v>
      </c>
      <c r="B146" s="338">
        <v>21</v>
      </c>
      <c r="C146" s="338">
        <v>5</v>
      </c>
      <c r="D146" s="335" t="s">
        <v>1015</v>
      </c>
      <c r="E146" s="338">
        <v>0</v>
      </c>
      <c r="F146" s="338">
        <v>0</v>
      </c>
      <c r="G146" s="338">
        <v>1</v>
      </c>
      <c r="H146" s="339">
        <v>45757.638391203705</v>
      </c>
      <c r="I146" s="338">
        <v>1.25</v>
      </c>
      <c r="J146" s="338">
        <v>100.18</v>
      </c>
      <c r="K146" s="338">
        <v>1</v>
      </c>
      <c r="L146" s="338">
        <v>1.25</v>
      </c>
      <c r="M146" s="338">
        <v>1.25</v>
      </c>
      <c r="N146" s="337" t="s">
        <v>19</v>
      </c>
    </row>
    <row r="147" spans="1:14" x14ac:dyDescent="0.25">
      <c r="A147" s="335" t="s">
        <v>1039</v>
      </c>
      <c r="B147" s="338">
        <v>22</v>
      </c>
      <c r="C147" s="338">
        <v>907</v>
      </c>
      <c r="D147" s="335" t="s">
        <v>1017</v>
      </c>
      <c r="E147" s="338">
        <v>0</v>
      </c>
      <c r="F147" s="338">
        <v>0</v>
      </c>
      <c r="G147" s="338">
        <v>0</v>
      </c>
      <c r="H147" s="339">
        <v>45757.639317129629</v>
      </c>
      <c r="I147" s="338">
        <v>1.33</v>
      </c>
      <c r="J147" s="338">
        <v>104.56</v>
      </c>
      <c r="K147" s="338">
        <v>1</v>
      </c>
      <c r="L147" s="338">
        <v>1.33</v>
      </c>
      <c r="M147" s="338">
        <v>1.33</v>
      </c>
      <c r="N147" s="337" t="s">
        <v>19</v>
      </c>
    </row>
    <row r="148" spans="1:14" x14ac:dyDescent="0.25">
      <c r="A148" s="335" t="s">
        <v>1006</v>
      </c>
      <c r="B148" s="338">
        <v>23</v>
      </c>
      <c r="C148" s="338">
        <v>0</v>
      </c>
      <c r="D148" s="335" t="s">
        <v>1007</v>
      </c>
      <c r="E148" s="338">
        <v>0</v>
      </c>
      <c r="F148" s="338">
        <v>0</v>
      </c>
      <c r="G148" s="338">
        <v>0</v>
      </c>
      <c r="H148" s="339">
        <v>45757.640243055554</v>
      </c>
      <c r="I148" s="338">
        <v>-0.55000000000000004</v>
      </c>
      <c r="J148" s="338">
        <v>0</v>
      </c>
      <c r="K148" s="338">
        <v>1</v>
      </c>
      <c r="L148" s="338">
        <v>-0.55000000000000004</v>
      </c>
      <c r="M148" s="335" t="s">
        <v>1048</v>
      </c>
      <c r="N148" s="337" t="s">
        <v>19</v>
      </c>
    </row>
    <row r="149" spans="1:14" x14ac:dyDescent="0.25">
      <c r="A149" s="335" t="s">
        <v>24</v>
      </c>
      <c r="B149" s="338">
        <v>24</v>
      </c>
      <c r="C149" s="338">
        <v>905</v>
      </c>
      <c r="D149" s="335" t="s">
        <v>1013</v>
      </c>
      <c r="E149" s="338">
        <v>0</v>
      </c>
      <c r="F149" s="338">
        <v>0</v>
      </c>
      <c r="G149" s="338">
        <v>0</v>
      </c>
      <c r="H149" s="339">
        <v>45757.643020833333</v>
      </c>
      <c r="I149" s="338">
        <v>-0.06</v>
      </c>
      <c r="J149" s="338">
        <v>27.11</v>
      </c>
      <c r="K149" s="338">
        <v>1</v>
      </c>
      <c r="L149" s="338">
        <v>-0.06</v>
      </c>
      <c r="M149" s="335" t="s">
        <v>1048</v>
      </c>
      <c r="N149" s="337" t="s">
        <v>19</v>
      </c>
    </row>
    <row r="150" spans="1:14" x14ac:dyDescent="0.25">
      <c r="A150" s="335" t="s">
        <v>24</v>
      </c>
      <c r="B150" s="338">
        <v>25</v>
      </c>
      <c r="C150" s="338">
        <v>905</v>
      </c>
      <c r="D150" s="335" t="s">
        <v>1013</v>
      </c>
      <c r="E150" s="338">
        <v>0</v>
      </c>
      <c r="F150" s="338">
        <v>0</v>
      </c>
      <c r="G150" s="338">
        <v>0</v>
      </c>
      <c r="H150" s="339">
        <v>45757.643946759257</v>
      </c>
      <c r="I150" s="338">
        <v>0.13</v>
      </c>
      <c r="J150" s="338">
        <v>37.65</v>
      </c>
      <c r="K150" s="338">
        <v>1</v>
      </c>
      <c r="L150" s="338">
        <v>0.13</v>
      </c>
      <c r="M150" s="335" t="s">
        <v>1048</v>
      </c>
      <c r="N150" s="337" t="s">
        <v>19</v>
      </c>
    </row>
    <row r="151" spans="1:14" x14ac:dyDescent="0.25">
      <c r="A151" s="335" t="s">
        <v>24</v>
      </c>
      <c r="B151" s="338">
        <v>26</v>
      </c>
      <c r="C151" s="338">
        <v>905</v>
      </c>
      <c r="D151" s="335" t="s">
        <v>1013</v>
      </c>
      <c r="E151" s="338">
        <v>0</v>
      </c>
      <c r="F151" s="338">
        <v>0</v>
      </c>
      <c r="G151" s="338">
        <v>0</v>
      </c>
      <c r="H151" s="339">
        <v>45757.644872685189</v>
      </c>
      <c r="I151" s="338">
        <v>0.15</v>
      </c>
      <c r="J151" s="338">
        <v>39.04</v>
      </c>
      <c r="K151" s="338">
        <v>1</v>
      </c>
      <c r="L151" s="338">
        <v>0.15</v>
      </c>
      <c r="M151" s="335" t="s">
        <v>1048</v>
      </c>
      <c r="N151" s="337" t="s">
        <v>19</v>
      </c>
    </row>
    <row r="152" spans="1:14" x14ac:dyDescent="0.25">
      <c r="A152" s="335" t="s">
        <v>24</v>
      </c>
      <c r="B152" s="338">
        <v>27</v>
      </c>
      <c r="C152" s="338">
        <v>905</v>
      </c>
      <c r="D152" s="335" t="s">
        <v>1013</v>
      </c>
      <c r="E152" s="338">
        <v>0</v>
      </c>
      <c r="F152" s="338">
        <v>0</v>
      </c>
      <c r="G152" s="338">
        <v>0</v>
      </c>
      <c r="H152" s="339">
        <v>45757.645798611113</v>
      </c>
      <c r="I152" s="338">
        <v>7.0000000000000007E-2</v>
      </c>
      <c r="J152" s="338">
        <v>34.19</v>
      </c>
      <c r="K152" s="338">
        <v>1</v>
      </c>
      <c r="L152" s="338">
        <v>7.0000000000000007E-2</v>
      </c>
      <c r="M152" s="335" t="s">
        <v>1048</v>
      </c>
      <c r="N152" s="337" t="s">
        <v>19</v>
      </c>
    </row>
    <row r="153" spans="1:14" x14ac:dyDescent="0.25">
      <c r="A153" s="335" t="s">
        <v>24</v>
      </c>
      <c r="B153" s="338">
        <v>28</v>
      </c>
      <c r="C153" s="338">
        <v>905</v>
      </c>
      <c r="D153" s="335" t="s">
        <v>1013</v>
      </c>
      <c r="E153" s="338">
        <v>0</v>
      </c>
      <c r="F153" s="338">
        <v>0</v>
      </c>
      <c r="G153" s="338">
        <v>0</v>
      </c>
      <c r="H153" s="339">
        <v>45757.646724537037</v>
      </c>
      <c r="I153" s="338">
        <v>0.05</v>
      </c>
      <c r="J153" s="338">
        <v>33.200000000000003</v>
      </c>
      <c r="K153" s="338">
        <v>1</v>
      </c>
      <c r="L153" s="338">
        <v>0.05</v>
      </c>
      <c r="M153" s="335" t="s">
        <v>1048</v>
      </c>
      <c r="N153" s="337" t="s">
        <v>19</v>
      </c>
    </row>
    <row r="154" spans="1:14" x14ac:dyDescent="0.25">
      <c r="A154" s="335" t="s">
        <v>24</v>
      </c>
      <c r="B154" s="338">
        <v>29</v>
      </c>
      <c r="C154" s="338">
        <v>905</v>
      </c>
      <c r="D154" s="335" t="s">
        <v>1013</v>
      </c>
      <c r="E154" s="338">
        <v>0</v>
      </c>
      <c r="F154" s="338">
        <v>0</v>
      </c>
      <c r="G154" s="338">
        <v>0</v>
      </c>
      <c r="H154" s="339">
        <v>45757.647650462961</v>
      </c>
      <c r="I154" s="338">
        <v>0.01</v>
      </c>
      <c r="J154" s="338">
        <v>30.99</v>
      </c>
      <c r="K154" s="338">
        <v>1</v>
      </c>
      <c r="L154" s="338">
        <v>0.01</v>
      </c>
      <c r="M154" s="335" t="s">
        <v>1048</v>
      </c>
      <c r="N154" s="337" t="s">
        <v>19</v>
      </c>
    </row>
    <row r="155" spans="1:14" x14ac:dyDescent="0.25">
      <c r="A155" s="335" t="s">
        <v>24</v>
      </c>
      <c r="B155" s="338">
        <v>30</v>
      </c>
      <c r="C155" s="338">
        <v>905</v>
      </c>
      <c r="D155" s="335" t="s">
        <v>1013</v>
      </c>
      <c r="E155" s="338">
        <v>0</v>
      </c>
      <c r="F155" s="338">
        <v>0</v>
      </c>
      <c r="G155" s="338">
        <v>0</v>
      </c>
      <c r="H155" s="339">
        <v>45757.648576388892</v>
      </c>
      <c r="I155" s="338">
        <v>0.08</v>
      </c>
      <c r="J155" s="338">
        <v>34.81</v>
      </c>
      <c r="K155" s="338">
        <v>1</v>
      </c>
      <c r="L155" s="338">
        <v>0.08</v>
      </c>
      <c r="M155" s="335" t="s">
        <v>1048</v>
      </c>
      <c r="N155" s="337" t="s">
        <v>19</v>
      </c>
    </row>
    <row r="156" spans="1:14" x14ac:dyDescent="0.25">
      <c r="A156" s="335" t="s">
        <v>24</v>
      </c>
      <c r="B156" s="338">
        <v>31</v>
      </c>
      <c r="C156" s="338">
        <v>905</v>
      </c>
      <c r="D156" s="335" t="s">
        <v>1013</v>
      </c>
      <c r="E156" s="338">
        <v>0</v>
      </c>
      <c r="F156" s="338">
        <v>0</v>
      </c>
      <c r="G156" s="338">
        <v>0</v>
      </c>
      <c r="H156" s="339">
        <v>45757.649502314816</v>
      </c>
      <c r="I156" s="338">
        <v>0.05</v>
      </c>
      <c r="J156" s="338">
        <v>33.549999999999997</v>
      </c>
      <c r="K156" s="338">
        <v>1</v>
      </c>
      <c r="L156" s="338">
        <v>0.05</v>
      </c>
      <c r="M156" s="335" t="s">
        <v>1048</v>
      </c>
      <c r="N156" s="337" t="s">
        <v>19</v>
      </c>
    </row>
    <row r="157" spans="1:14" x14ac:dyDescent="0.25">
      <c r="A157" s="335" t="s">
        <v>24</v>
      </c>
      <c r="B157" s="338">
        <v>32</v>
      </c>
      <c r="C157" s="338">
        <v>905</v>
      </c>
      <c r="D157" s="335" t="s">
        <v>1013</v>
      </c>
      <c r="E157" s="338">
        <v>0</v>
      </c>
      <c r="F157" s="338">
        <v>0</v>
      </c>
      <c r="G157" s="338">
        <v>0</v>
      </c>
      <c r="H157" s="339">
        <v>45757.65042824074</v>
      </c>
      <c r="I157" s="338">
        <v>0.02</v>
      </c>
      <c r="J157" s="338">
        <v>31.85</v>
      </c>
      <c r="K157" s="338">
        <v>1</v>
      </c>
      <c r="L157" s="338">
        <v>0.02</v>
      </c>
      <c r="M157" s="335" t="s">
        <v>1048</v>
      </c>
      <c r="N157" s="337" t="s">
        <v>19</v>
      </c>
    </row>
    <row r="158" spans="1:14" x14ac:dyDescent="0.25">
      <c r="A158" s="335" t="s">
        <v>24</v>
      </c>
      <c r="B158" s="338">
        <v>33</v>
      </c>
      <c r="C158" s="338">
        <v>905</v>
      </c>
      <c r="D158" s="335" t="s">
        <v>1013</v>
      </c>
      <c r="E158" s="338">
        <v>0</v>
      </c>
      <c r="F158" s="338">
        <v>0</v>
      </c>
      <c r="G158" s="338">
        <v>0</v>
      </c>
      <c r="H158" s="339">
        <v>45757.651354166665</v>
      </c>
      <c r="I158" s="338">
        <v>-0.03</v>
      </c>
      <c r="J158" s="338">
        <v>28.93</v>
      </c>
      <c r="K158" s="338">
        <v>1</v>
      </c>
      <c r="L158" s="338">
        <v>-0.03</v>
      </c>
      <c r="M158" s="335" t="s">
        <v>1048</v>
      </c>
      <c r="N158" s="337" t="s">
        <v>19</v>
      </c>
    </row>
    <row r="159" spans="1:14" x14ac:dyDescent="0.25">
      <c r="A159" s="335" t="s">
        <v>1014</v>
      </c>
      <c r="B159" s="338">
        <v>34</v>
      </c>
      <c r="C159" s="338">
        <v>906</v>
      </c>
      <c r="D159" s="335" t="s">
        <v>1015</v>
      </c>
      <c r="E159" s="338">
        <v>0</v>
      </c>
      <c r="F159" s="338">
        <v>0</v>
      </c>
      <c r="G159" s="338">
        <v>1</v>
      </c>
      <c r="H159" s="339">
        <v>45757.652280092596</v>
      </c>
      <c r="I159" s="338">
        <v>0.93</v>
      </c>
      <c r="J159" s="338">
        <v>81.93</v>
      </c>
      <c r="K159" s="338">
        <v>1</v>
      </c>
      <c r="L159" s="338">
        <v>0.93</v>
      </c>
      <c r="M159" s="338">
        <v>0.93</v>
      </c>
      <c r="N159" s="337" t="s">
        <v>19</v>
      </c>
    </row>
    <row r="160" spans="1:14" x14ac:dyDescent="0.25">
      <c r="A160" s="335" t="s">
        <v>1039</v>
      </c>
      <c r="B160" s="338">
        <v>35</v>
      </c>
      <c r="C160" s="338">
        <v>907</v>
      </c>
      <c r="D160" s="335" t="s">
        <v>1017</v>
      </c>
      <c r="E160" s="338">
        <v>0</v>
      </c>
      <c r="F160" s="338">
        <v>0</v>
      </c>
      <c r="G160" s="338">
        <v>0</v>
      </c>
      <c r="H160" s="339">
        <v>45757.65320601852</v>
      </c>
      <c r="I160" s="338">
        <v>1.39</v>
      </c>
      <c r="J160" s="338">
        <v>107.64</v>
      </c>
      <c r="K160" s="338">
        <v>1</v>
      </c>
      <c r="L160" s="338">
        <v>1.39</v>
      </c>
      <c r="M160" s="338">
        <v>1.39</v>
      </c>
      <c r="N160" s="337" t="s">
        <v>19</v>
      </c>
    </row>
    <row r="161" spans="1:14" x14ac:dyDescent="0.25">
      <c r="A161" s="335" t="s">
        <v>1006</v>
      </c>
      <c r="B161" s="338">
        <v>36</v>
      </c>
      <c r="C161" s="338">
        <v>0</v>
      </c>
      <c r="D161" s="335" t="s">
        <v>1007</v>
      </c>
      <c r="E161" s="338">
        <v>0</v>
      </c>
      <c r="F161" s="338">
        <v>0</v>
      </c>
      <c r="G161" s="338">
        <v>0</v>
      </c>
      <c r="H161" s="339">
        <v>45757.654131944444</v>
      </c>
      <c r="I161" s="338">
        <v>-0.55000000000000004</v>
      </c>
      <c r="J161" s="338">
        <v>0</v>
      </c>
      <c r="K161" s="338">
        <v>1</v>
      </c>
      <c r="L161" s="338">
        <v>-0.55000000000000004</v>
      </c>
      <c r="M161" s="335" t="s">
        <v>1048</v>
      </c>
      <c r="N161" s="337" t="s">
        <v>19</v>
      </c>
    </row>
    <row r="162" spans="1:14" x14ac:dyDescent="0.25">
      <c r="A162" s="335" t="s">
        <v>1002</v>
      </c>
      <c r="B162" s="338">
        <v>37</v>
      </c>
      <c r="C162" s="338">
        <v>921</v>
      </c>
      <c r="D162" s="335" t="s">
        <v>1003</v>
      </c>
      <c r="E162" s="338">
        <v>0</v>
      </c>
      <c r="F162" s="338">
        <v>0</v>
      </c>
      <c r="G162" s="338">
        <v>0</v>
      </c>
      <c r="H162" s="339">
        <v>45757.656909722224</v>
      </c>
      <c r="I162" s="338">
        <v>2.5</v>
      </c>
      <c r="J162" s="338">
        <v>169.51</v>
      </c>
      <c r="K162" s="338">
        <v>1</v>
      </c>
      <c r="L162" s="338">
        <v>2.5</v>
      </c>
      <c r="M162" s="338">
        <v>2.5</v>
      </c>
      <c r="N162" s="337" t="s">
        <v>19</v>
      </c>
    </row>
    <row r="163" spans="1:14" x14ac:dyDescent="0.25">
      <c r="A163" s="335" t="s">
        <v>1020</v>
      </c>
      <c r="B163" s="338">
        <v>38</v>
      </c>
      <c r="C163" s="338">
        <v>0</v>
      </c>
      <c r="D163" s="335" t="s">
        <v>1021</v>
      </c>
      <c r="E163" s="338">
        <v>0</v>
      </c>
      <c r="F163" s="338">
        <v>0</v>
      </c>
      <c r="G163" s="338">
        <v>0</v>
      </c>
      <c r="H163" s="339">
        <v>45757.657835648148</v>
      </c>
      <c r="I163" s="338">
        <v>-0.55000000000000004</v>
      </c>
      <c r="J163" s="338">
        <v>0</v>
      </c>
      <c r="K163" s="338">
        <v>1</v>
      </c>
      <c r="L163" s="338">
        <v>-0.55000000000000004</v>
      </c>
      <c r="M163" s="335" t="s">
        <v>1048</v>
      </c>
      <c r="N163" s="337" t="s">
        <v>19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Ent</vt:lpstr>
      <vt:lpstr>SS</vt:lpstr>
      <vt:lpstr>TSS</vt:lpstr>
      <vt:lpstr>BOD</vt:lpstr>
      <vt:lpstr>Chlor.a</vt:lpstr>
      <vt:lpstr>Turbidity</vt:lpstr>
      <vt:lpstr>DIC Temperatures</vt:lpstr>
      <vt:lpstr>All DIC raw data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2026-04-22T12:45:07Z</dcterms:modified>
</cp:coreProperties>
</file>